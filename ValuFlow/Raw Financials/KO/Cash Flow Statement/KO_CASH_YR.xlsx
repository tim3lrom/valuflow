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el\Desktop\Raw Financials\KO\Cash Flow Statement\"/>
    </mc:Choice>
  </mc:AlternateContent>
  <xr:revisionPtr revIDLastSave="0" documentId="13_ncr:1_{A2892E6A-BF23-4741-B6DC-5B1FB00B6242}" xr6:coauthVersionLast="47" xr6:coauthVersionMax="47" xr10:uidLastSave="{00000000-0000-0000-0000-000000000000}"/>
  <bookViews>
    <workbookView xWindow="24495" yWindow="705" windowWidth="32355" windowHeight="20895" activeTab="2" xr2:uid="{30AA972D-F340-4963-8338-DB388F179E25}"/>
  </bookViews>
  <sheets>
    <sheet name="Raw" sheetId="1" r:id="rId1"/>
    <sheet name="Lookup" sheetId="2" r:id="rId2"/>
    <sheet name="Expo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41" i="3" l="1"/>
  <c r="AG41" i="3" a="1"/>
  <c r="AG41" i="3" s="1"/>
  <c r="AH41" i="3" s="1"/>
  <c r="AI40" i="3"/>
  <c r="AG40" i="3" a="1"/>
  <c r="AG40" i="3" s="1"/>
  <c r="AH40" i="3" s="1"/>
  <c r="AI39" i="3"/>
  <c r="AG39" i="3" a="1"/>
  <c r="AG39" i="3" s="1"/>
  <c r="AH39" i="3" s="1"/>
  <c r="AI38" i="3"/>
  <c r="AG38" i="3" a="1"/>
  <c r="AG38" i="3" s="1"/>
  <c r="AH38" i="3" s="1"/>
  <c r="AI37" i="3"/>
  <c r="AG37" i="3" a="1"/>
  <c r="AG37" i="3" s="1"/>
  <c r="AH37" i="3" s="1"/>
  <c r="AI36" i="3"/>
  <c r="AG36" i="3" a="1"/>
  <c r="AG36" i="3" s="1"/>
  <c r="AH36" i="3" s="1"/>
  <c r="AI35" i="3"/>
  <c r="AG35" i="3" a="1"/>
  <c r="AG35" i="3" s="1"/>
  <c r="AH35" i="3" s="1"/>
  <c r="AI34" i="3"/>
  <c r="AG34" i="3" a="1"/>
  <c r="AG34" i="3" s="1"/>
  <c r="AH34" i="3" s="1"/>
  <c r="AI33" i="3"/>
  <c r="AG33" i="3" a="1"/>
  <c r="AG33" i="3" s="1"/>
  <c r="AH33" i="3" s="1"/>
  <c r="AI32" i="3"/>
  <c r="AG32" i="3" a="1"/>
  <c r="AG32" i="3" s="1"/>
  <c r="AH32" i="3" s="1"/>
  <c r="AI31" i="3"/>
  <c r="AG31" i="3" a="1"/>
  <c r="AG31" i="3" s="1"/>
  <c r="AH31" i="3" s="1"/>
  <c r="AI30" i="3"/>
  <c r="AG30" i="3" a="1"/>
  <c r="AG30" i="3" s="1"/>
  <c r="AH30" i="3" s="1"/>
  <c r="AI29" i="3"/>
  <c r="AG29" i="3" a="1"/>
  <c r="AG29" i="3" s="1"/>
  <c r="AH29" i="3" s="1"/>
  <c r="AI28" i="3"/>
  <c r="AG28" i="3" a="1"/>
  <c r="AG28" i="3" s="1"/>
  <c r="AH28" i="3" s="1"/>
  <c r="AI27" i="3"/>
  <c r="AG27" i="3" a="1"/>
  <c r="AG27" i="3" s="1"/>
  <c r="AH27" i="3" s="1"/>
  <c r="AI26" i="3"/>
  <c r="AG26" i="3" a="1"/>
  <c r="AG26" i="3" s="1"/>
  <c r="AH26" i="3" s="1"/>
  <c r="AI25" i="3"/>
  <c r="AG25" i="3" a="1"/>
  <c r="AG25" i="3" s="1"/>
  <c r="AH25" i="3" s="1"/>
  <c r="AI24" i="3"/>
  <c r="AG24" i="3" a="1"/>
  <c r="AG24" i="3" s="1"/>
  <c r="AH24" i="3" s="1"/>
  <c r="AI23" i="3"/>
  <c r="AG23" i="3" a="1"/>
  <c r="AG23" i="3" s="1"/>
  <c r="AH23" i="3" s="1"/>
  <c r="AI22" i="3"/>
  <c r="AG22" i="3" a="1"/>
  <c r="AG22" i="3" s="1"/>
  <c r="AH22" i="3" s="1"/>
  <c r="AI21" i="3"/>
  <c r="AG21" i="3" a="1"/>
  <c r="AG21" i="3" s="1"/>
  <c r="AH21" i="3" s="1"/>
  <c r="AI20" i="3"/>
  <c r="AG20" i="3" a="1"/>
  <c r="AG20" i="3" s="1"/>
  <c r="AH20" i="3" s="1"/>
  <c r="AI19" i="3"/>
  <c r="AG19" i="3" a="1"/>
  <c r="AG19" i="3" s="1"/>
  <c r="AH19" i="3" s="1"/>
  <c r="AI18" i="3"/>
  <c r="AG18" i="3" a="1"/>
  <c r="AG18" i="3" s="1"/>
  <c r="AH18" i="3" s="1"/>
  <c r="AI17" i="3"/>
  <c r="AG17" i="3" a="1"/>
  <c r="AG17" i="3" s="1"/>
  <c r="AH17" i="3" s="1"/>
  <c r="AI16" i="3"/>
  <c r="AG16" i="3" a="1"/>
  <c r="AG16" i="3" s="1"/>
  <c r="AH16" i="3" s="1"/>
  <c r="AI15" i="3"/>
  <c r="AG15" i="3" a="1"/>
  <c r="AG15" i="3" s="1"/>
  <c r="AH15" i="3" s="1"/>
  <c r="AI14" i="3"/>
  <c r="AG14" i="3" a="1"/>
  <c r="AG14" i="3" s="1"/>
  <c r="AH14" i="3" s="1"/>
  <c r="AI13" i="3"/>
  <c r="AG13" i="3" a="1"/>
  <c r="AG13" i="3" s="1"/>
  <c r="AH13" i="3" s="1"/>
  <c r="AI12" i="3"/>
  <c r="AG12" i="3" a="1"/>
  <c r="AG12" i="3" s="1"/>
  <c r="AH12" i="3" s="1"/>
  <c r="AI11" i="3"/>
  <c r="AG11" i="3" a="1"/>
  <c r="AG11" i="3" s="1"/>
  <c r="AH11" i="3" s="1"/>
  <c r="AI10" i="3"/>
  <c r="AG10" i="3" a="1"/>
  <c r="AG10" i="3" s="1"/>
  <c r="AH10" i="3" s="1"/>
  <c r="AI9" i="3"/>
  <c r="AG9" i="3" a="1"/>
  <c r="AG9" i="3" s="1"/>
  <c r="AH9" i="3" s="1"/>
  <c r="AI8" i="3"/>
  <c r="AG8" i="3" a="1"/>
  <c r="AG8" i="3" s="1"/>
  <c r="AH8" i="3" s="1"/>
  <c r="AI7" i="3"/>
  <c r="AG7" i="3" a="1"/>
  <c r="AG7" i="3" s="1"/>
  <c r="AH7" i="3" s="1"/>
  <c r="AI6" i="3"/>
  <c r="AG6" i="3" a="1"/>
  <c r="AG6" i="3" s="1"/>
  <c r="AH6" i="3" s="1"/>
  <c r="AI5" i="3"/>
  <c r="AG5" i="3" a="1"/>
  <c r="AG5" i="3" s="1"/>
  <c r="AH5" i="3" s="1"/>
  <c r="AI4" i="3"/>
  <c r="AG4" i="3" a="1"/>
  <c r="AG4" i="3" s="1"/>
  <c r="AH4" i="3" s="1"/>
  <c r="AI3" i="3"/>
  <c r="AG3" i="3" a="1"/>
  <c r="AG3" i="3" s="1"/>
  <c r="AH3" i="3" s="1"/>
  <c r="AI2" i="3"/>
  <c r="AG2" i="3" a="1"/>
  <c r="AG2" i="3" s="1"/>
  <c r="AH2" i="3" s="1"/>
  <c r="A3" i="3" l="1"/>
  <c r="C3" i="3"/>
  <c r="A4" i="3"/>
  <c r="C4" i="3"/>
  <c r="A5" i="3"/>
  <c r="C5" i="3"/>
  <c r="A6" i="3"/>
  <c r="C6" i="3"/>
  <c r="A7" i="3"/>
  <c r="C7" i="3"/>
  <c r="A8" i="3"/>
  <c r="C8" i="3"/>
  <c r="A9" i="3"/>
  <c r="C9" i="3"/>
  <c r="A10" i="3"/>
  <c r="C10" i="3"/>
  <c r="A11" i="3"/>
  <c r="C11" i="3"/>
  <c r="A12" i="3"/>
  <c r="C12" i="3"/>
  <c r="A13" i="3"/>
  <c r="C13" i="3"/>
  <c r="A14" i="3"/>
  <c r="C14" i="3"/>
  <c r="A15" i="3"/>
  <c r="C15" i="3"/>
  <c r="A16" i="3"/>
  <c r="C16" i="3"/>
  <c r="A17" i="3"/>
  <c r="C17" i="3"/>
  <c r="A18" i="3"/>
  <c r="C18" i="3"/>
  <c r="A19" i="3"/>
  <c r="C19" i="3"/>
  <c r="A20" i="3"/>
  <c r="C20" i="3"/>
  <c r="A21" i="3"/>
  <c r="C21" i="3"/>
  <c r="A22" i="3"/>
  <c r="C22" i="3"/>
  <c r="A23" i="3"/>
  <c r="C23" i="3"/>
  <c r="A24" i="3"/>
  <c r="C24" i="3"/>
  <c r="A25" i="3"/>
  <c r="C25" i="3"/>
  <c r="A26" i="3"/>
  <c r="C26" i="3"/>
  <c r="A27" i="3"/>
  <c r="C27" i="3"/>
  <c r="A28" i="3"/>
  <c r="C28" i="3"/>
  <c r="A29" i="3"/>
  <c r="C29" i="3"/>
  <c r="A30" i="3"/>
  <c r="C30" i="3"/>
  <c r="A31" i="3"/>
  <c r="C31" i="3"/>
  <c r="A32" i="3"/>
  <c r="C32" i="3"/>
  <c r="A33" i="3"/>
  <c r="C33" i="3"/>
  <c r="A34" i="3"/>
  <c r="C34" i="3"/>
  <c r="A35" i="3"/>
  <c r="C35" i="3"/>
  <c r="A36" i="3"/>
  <c r="C36" i="3"/>
  <c r="A37" i="3"/>
  <c r="C37" i="3"/>
  <c r="A38" i="3"/>
  <c r="C38" i="3"/>
  <c r="A39" i="3"/>
  <c r="C39" i="3"/>
  <c r="A40" i="3"/>
  <c r="C40" i="3"/>
  <c r="A41" i="3"/>
  <c r="C41" i="3"/>
  <c r="C2" i="3"/>
  <c r="A2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2" i="2"/>
  <c r="C1" i="1"/>
  <c r="D1" i="1"/>
  <c r="E1" i="1"/>
  <c r="F1" i="1"/>
  <c r="G1" i="1"/>
  <c r="H1" i="1"/>
  <c r="I1" i="1"/>
  <c r="J1" i="1"/>
  <c r="K1" i="1"/>
  <c r="L1" i="1"/>
  <c r="M1" i="1"/>
  <c r="N1" i="1"/>
  <c r="O1" i="1"/>
  <c r="P1" i="1"/>
  <c r="Q1" i="1"/>
  <c r="R1" i="1"/>
  <c r="S1" i="1"/>
  <c r="T1" i="1"/>
  <c r="U1" i="1"/>
  <c r="V1" i="1"/>
  <c r="W1" i="1"/>
  <c r="X1" i="1"/>
  <c r="Y1" i="1"/>
  <c r="Z1" i="1"/>
  <c r="AA1" i="1"/>
  <c r="AB1" i="1"/>
  <c r="AC1" i="1"/>
  <c r="AD1" i="1"/>
  <c r="AE1" i="1"/>
  <c r="AF1" i="1"/>
  <c r="AG1" i="1"/>
  <c r="AH1" i="1"/>
  <c r="AI1" i="1"/>
  <c r="AJ1" i="1"/>
  <c r="AK1" i="1"/>
  <c r="AL1" i="1"/>
  <c r="AM1" i="1"/>
  <c r="AN1" i="1"/>
  <c r="AO1" i="1"/>
  <c r="B1" i="1"/>
  <c r="E2" i="2" l="1"/>
  <c r="E2" i="3" s="1"/>
  <c r="U2" i="2"/>
  <c r="U2" i="3" s="1"/>
  <c r="I3" i="2"/>
  <c r="I3" i="3" s="1"/>
  <c r="Y3" i="2"/>
  <c r="Y3" i="3" s="1"/>
  <c r="M4" i="2"/>
  <c r="M4" i="3" s="1"/>
  <c r="AC4" i="2"/>
  <c r="AC4" i="3" s="1"/>
  <c r="Q5" i="2"/>
  <c r="Q5" i="3" s="1"/>
  <c r="E6" i="2"/>
  <c r="E6" i="3" s="1"/>
  <c r="U6" i="2"/>
  <c r="U6" i="3" s="1"/>
  <c r="G2" i="2"/>
  <c r="G2" i="3" s="1"/>
  <c r="W2" i="2"/>
  <c r="W2" i="3" s="1"/>
  <c r="K3" i="2"/>
  <c r="K3" i="3" s="1"/>
  <c r="AA3" i="2"/>
  <c r="AA3" i="3" s="1"/>
  <c r="O4" i="2"/>
  <c r="O4" i="3" s="1"/>
  <c r="AE4" i="2"/>
  <c r="AE4" i="3" s="1"/>
  <c r="S5" i="2"/>
  <c r="S5" i="3" s="1"/>
  <c r="G6" i="2"/>
  <c r="G6" i="3" s="1"/>
  <c r="W6" i="2"/>
  <c r="W6" i="3" s="1"/>
  <c r="K7" i="2"/>
  <c r="K7" i="3" s="1"/>
  <c r="AA7" i="2"/>
  <c r="AA7" i="3" s="1"/>
  <c r="O8" i="2"/>
  <c r="O8" i="3" s="1"/>
  <c r="AE8" i="2"/>
  <c r="AE8" i="3" s="1"/>
  <c r="S9" i="2"/>
  <c r="S9" i="3" s="1"/>
  <c r="G10" i="2"/>
  <c r="G10" i="3" s="1"/>
  <c r="W10" i="2"/>
  <c r="W10" i="3" s="1"/>
  <c r="K11" i="2"/>
  <c r="K11" i="3" s="1"/>
  <c r="AA11" i="2"/>
  <c r="AA11" i="3" s="1"/>
  <c r="O12" i="2"/>
  <c r="O12" i="3" s="1"/>
  <c r="AE12" i="2"/>
  <c r="AE12" i="3" s="1"/>
  <c r="S13" i="2"/>
  <c r="S13" i="3" s="1"/>
  <c r="G14" i="2"/>
  <c r="G14" i="3" s="1"/>
  <c r="W14" i="2"/>
  <c r="W14" i="3" s="1"/>
  <c r="K15" i="2"/>
  <c r="K15" i="3" s="1"/>
  <c r="AA15" i="2"/>
  <c r="AA15" i="3" s="1"/>
  <c r="O16" i="2"/>
  <c r="O16" i="3" s="1"/>
  <c r="AE16" i="2"/>
  <c r="AE16" i="3" s="1"/>
  <c r="S17" i="2"/>
  <c r="S17" i="3" s="1"/>
  <c r="G18" i="2"/>
  <c r="G18" i="3" s="1"/>
  <c r="W18" i="2"/>
  <c r="W18" i="3" s="1"/>
  <c r="K19" i="2"/>
  <c r="K19" i="3" s="1"/>
  <c r="AA19" i="2"/>
  <c r="AA19" i="3" s="1"/>
  <c r="O20" i="2"/>
  <c r="O20" i="3" s="1"/>
  <c r="AE20" i="2"/>
  <c r="AE20" i="3" s="1"/>
  <c r="S21" i="2"/>
  <c r="S21" i="3" s="1"/>
  <c r="G22" i="2"/>
  <c r="G22" i="3" s="1"/>
  <c r="W22" i="2"/>
  <c r="W22" i="3" s="1"/>
  <c r="K23" i="2"/>
  <c r="K23" i="3" s="1"/>
  <c r="AA23" i="2"/>
  <c r="AA23" i="3" s="1"/>
  <c r="O24" i="2"/>
  <c r="O24" i="3" s="1"/>
  <c r="AE24" i="2"/>
  <c r="AE24" i="3" s="1"/>
  <c r="S25" i="2"/>
  <c r="S25" i="3" s="1"/>
  <c r="G26" i="2"/>
  <c r="G26" i="3" s="1"/>
  <c r="W26" i="2"/>
  <c r="W26" i="3" s="1"/>
  <c r="K27" i="2"/>
  <c r="K27" i="3" s="1"/>
  <c r="AA27" i="2"/>
  <c r="AA27" i="3" s="1"/>
  <c r="O28" i="2"/>
  <c r="O28" i="3" s="1"/>
  <c r="AE28" i="2"/>
  <c r="AE28" i="3" s="1"/>
  <c r="S29" i="2"/>
  <c r="S29" i="3" s="1"/>
  <c r="G30" i="2"/>
  <c r="G30" i="3" s="1"/>
  <c r="W30" i="2"/>
  <c r="W30" i="3" s="1"/>
  <c r="K31" i="2"/>
  <c r="K31" i="3" s="1"/>
  <c r="AA31" i="2"/>
  <c r="AA31" i="3" s="1"/>
  <c r="O32" i="2"/>
  <c r="O32" i="3" s="1"/>
  <c r="AE32" i="2"/>
  <c r="AE32" i="3" s="1"/>
  <c r="S33" i="2"/>
  <c r="S33" i="3" s="1"/>
  <c r="G34" i="2"/>
  <c r="G34" i="3" s="1"/>
  <c r="W34" i="2"/>
  <c r="W34" i="3" s="1"/>
  <c r="K35" i="2"/>
  <c r="K35" i="3" s="1"/>
  <c r="AA35" i="2"/>
  <c r="AA35" i="3" s="1"/>
  <c r="O36" i="2"/>
  <c r="O36" i="3" s="1"/>
  <c r="AE36" i="2"/>
  <c r="AE36" i="3" s="1"/>
  <c r="S37" i="2"/>
  <c r="S37" i="3" s="1"/>
  <c r="G38" i="2"/>
  <c r="G38" i="3" s="1"/>
  <c r="W38" i="2"/>
  <c r="W38" i="3" s="1"/>
  <c r="K39" i="2"/>
  <c r="K39" i="3" s="1"/>
  <c r="AA39" i="2"/>
  <c r="AA39" i="3" s="1"/>
  <c r="I2" i="2"/>
  <c r="I2" i="3" s="1"/>
  <c r="Y2" i="2"/>
  <c r="Y2" i="3" s="1"/>
  <c r="M3" i="2"/>
  <c r="M3" i="3" s="1"/>
  <c r="AC3" i="2"/>
  <c r="AC3" i="3" s="1"/>
  <c r="Q4" i="2"/>
  <c r="Q4" i="3" s="1"/>
  <c r="E5" i="2"/>
  <c r="E5" i="3" s="1"/>
  <c r="U5" i="2"/>
  <c r="U5" i="3" s="1"/>
  <c r="I6" i="2"/>
  <c r="I6" i="3" s="1"/>
  <c r="Y6" i="2"/>
  <c r="Y6" i="3" s="1"/>
  <c r="M7" i="2"/>
  <c r="M7" i="3" s="1"/>
  <c r="AC7" i="2"/>
  <c r="AC7" i="3" s="1"/>
  <c r="Q8" i="2"/>
  <c r="Q8" i="3" s="1"/>
  <c r="E9" i="2"/>
  <c r="E9" i="3" s="1"/>
  <c r="U9" i="2"/>
  <c r="U9" i="3" s="1"/>
  <c r="I10" i="2"/>
  <c r="I10" i="3" s="1"/>
  <c r="Y10" i="2"/>
  <c r="Y10" i="3" s="1"/>
  <c r="M11" i="2"/>
  <c r="M11" i="3" s="1"/>
  <c r="AC11" i="2"/>
  <c r="AC11" i="3" s="1"/>
  <c r="Q12" i="2"/>
  <c r="Q12" i="3" s="1"/>
  <c r="E13" i="2"/>
  <c r="E13" i="3" s="1"/>
  <c r="U13" i="2"/>
  <c r="U13" i="3" s="1"/>
  <c r="I14" i="2"/>
  <c r="I14" i="3" s="1"/>
  <c r="Y14" i="2"/>
  <c r="Y14" i="3" s="1"/>
  <c r="M15" i="2"/>
  <c r="M15" i="3" s="1"/>
  <c r="AC15" i="2"/>
  <c r="AC15" i="3" s="1"/>
  <c r="Q16" i="2"/>
  <c r="Q16" i="3" s="1"/>
  <c r="J2" i="2"/>
  <c r="J2" i="3" s="1"/>
  <c r="Z2" i="2"/>
  <c r="Z2" i="3" s="1"/>
  <c r="N3" i="2"/>
  <c r="N3" i="3" s="1"/>
  <c r="AD3" i="2"/>
  <c r="AD3" i="3" s="1"/>
  <c r="R4" i="2"/>
  <c r="R4" i="3" s="1"/>
  <c r="F5" i="2"/>
  <c r="F5" i="3" s="1"/>
  <c r="V5" i="2"/>
  <c r="V5" i="3" s="1"/>
  <c r="J6" i="2"/>
  <c r="J6" i="3" s="1"/>
  <c r="Z6" i="2"/>
  <c r="Z6" i="3" s="1"/>
  <c r="N7" i="2"/>
  <c r="N7" i="3" s="1"/>
  <c r="AD7" i="2"/>
  <c r="AD7" i="3" s="1"/>
  <c r="K2" i="2"/>
  <c r="K2" i="3" s="1"/>
  <c r="AA2" i="2"/>
  <c r="AA2" i="3" s="1"/>
  <c r="M2" i="2"/>
  <c r="M2" i="3" s="1"/>
  <c r="AC2" i="2"/>
  <c r="AC2" i="3" s="1"/>
  <c r="Q3" i="2"/>
  <c r="Q3" i="3" s="1"/>
  <c r="E4" i="2"/>
  <c r="E4" i="3" s="1"/>
  <c r="U4" i="2"/>
  <c r="U4" i="3" s="1"/>
  <c r="I5" i="2"/>
  <c r="I5" i="3" s="1"/>
  <c r="Y5" i="2"/>
  <c r="Y5" i="3" s="1"/>
  <c r="M6" i="2"/>
  <c r="M6" i="3" s="1"/>
  <c r="AC6" i="2"/>
  <c r="AC6" i="3" s="1"/>
  <c r="Q7" i="2"/>
  <c r="Q7" i="3" s="1"/>
  <c r="E8" i="2"/>
  <c r="E8" i="3" s="1"/>
  <c r="U8" i="2"/>
  <c r="U8" i="3" s="1"/>
  <c r="I9" i="2"/>
  <c r="I9" i="3" s="1"/>
  <c r="Y9" i="2"/>
  <c r="Y9" i="3" s="1"/>
  <c r="M10" i="2"/>
  <c r="M10" i="3" s="1"/>
  <c r="AC10" i="2"/>
  <c r="AC10" i="3" s="1"/>
  <c r="Q11" i="2"/>
  <c r="Q11" i="3" s="1"/>
  <c r="E12" i="2"/>
  <c r="E12" i="3" s="1"/>
  <c r="U12" i="2"/>
  <c r="U12" i="3" s="1"/>
  <c r="I13" i="2"/>
  <c r="I13" i="3" s="1"/>
  <c r="Y13" i="2"/>
  <c r="Y13" i="3" s="1"/>
  <c r="M14" i="2"/>
  <c r="M14" i="3" s="1"/>
  <c r="AC14" i="2"/>
  <c r="AC14" i="3" s="1"/>
  <c r="Q15" i="2"/>
  <c r="Q15" i="3" s="1"/>
  <c r="E16" i="2"/>
  <c r="E16" i="3" s="1"/>
  <c r="U16" i="2"/>
  <c r="U16" i="3" s="1"/>
  <c r="I17" i="2"/>
  <c r="I17" i="3" s="1"/>
  <c r="Y17" i="2"/>
  <c r="Y17" i="3" s="1"/>
  <c r="M18" i="2"/>
  <c r="M18" i="3" s="1"/>
  <c r="AC18" i="2"/>
  <c r="AC18" i="3" s="1"/>
  <c r="Q19" i="2"/>
  <c r="Q19" i="3" s="1"/>
  <c r="E20" i="2"/>
  <c r="E20" i="3" s="1"/>
  <c r="U20" i="2"/>
  <c r="U20" i="3" s="1"/>
  <c r="I21" i="2"/>
  <c r="I21" i="3" s="1"/>
  <c r="Y21" i="2"/>
  <c r="Y21" i="3" s="1"/>
  <c r="M22" i="2"/>
  <c r="M22" i="3" s="1"/>
  <c r="AC22" i="2"/>
  <c r="AC22" i="3" s="1"/>
  <c r="Q23" i="2"/>
  <c r="Q23" i="3" s="1"/>
  <c r="E24" i="2"/>
  <c r="E24" i="3" s="1"/>
  <c r="U24" i="2"/>
  <c r="U24" i="3" s="1"/>
  <c r="I25" i="2"/>
  <c r="I25" i="3" s="1"/>
  <c r="Y25" i="2"/>
  <c r="Y25" i="3" s="1"/>
  <c r="M26" i="2"/>
  <c r="M26" i="3" s="1"/>
  <c r="AC26" i="2"/>
  <c r="AC26" i="3" s="1"/>
  <c r="Q27" i="2"/>
  <c r="Q27" i="3" s="1"/>
  <c r="E28" i="2"/>
  <c r="E28" i="3" s="1"/>
  <c r="U28" i="2"/>
  <c r="U28" i="3" s="1"/>
  <c r="I29" i="2"/>
  <c r="I29" i="3" s="1"/>
  <c r="Y29" i="2"/>
  <c r="Y29" i="3" s="1"/>
  <c r="M30" i="2"/>
  <c r="M30" i="3" s="1"/>
  <c r="AC30" i="2"/>
  <c r="AC30" i="3" s="1"/>
  <c r="Q31" i="2"/>
  <c r="Q31" i="3" s="1"/>
  <c r="E32" i="2"/>
  <c r="E32" i="3" s="1"/>
  <c r="U32" i="2"/>
  <c r="U32" i="3" s="1"/>
  <c r="I33" i="2"/>
  <c r="I33" i="3" s="1"/>
  <c r="O2" i="2"/>
  <c r="O2" i="3" s="1"/>
  <c r="AE2" i="2"/>
  <c r="AE2" i="3" s="1"/>
  <c r="S3" i="2"/>
  <c r="S3" i="3" s="1"/>
  <c r="G4" i="2"/>
  <c r="G4" i="3" s="1"/>
  <c r="W4" i="2"/>
  <c r="W4" i="3" s="1"/>
  <c r="K5" i="2"/>
  <c r="K5" i="3" s="1"/>
  <c r="AA5" i="2"/>
  <c r="AA5" i="3" s="1"/>
  <c r="O6" i="2"/>
  <c r="O6" i="3" s="1"/>
  <c r="AE6" i="2"/>
  <c r="AE6" i="3" s="1"/>
  <c r="S7" i="2"/>
  <c r="S7" i="3" s="1"/>
  <c r="G8" i="2"/>
  <c r="G8" i="3" s="1"/>
  <c r="W8" i="2"/>
  <c r="W8" i="3" s="1"/>
  <c r="K9" i="2"/>
  <c r="K9" i="3" s="1"/>
  <c r="AA9" i="2"/>
  <c r="AA9" i="3" s="1"/>
  <c r="O10" i="2"/>
  <c r="O10" i="3" s="1"/>
  <c r="AE10" i="2"/>
  <c r="AE10" i="3" s="1"/>
  <c r="S11" i="2"/>
  <c r="S11" i="3" s="1"/>
  <c r="G12" i="2"/>
  <c r="G12" i="3" s="1"/>
  <c r="W12" i="2"/>
  <c r="W12" i="3" s="1"/>
  <c r="K13" i="2"/>
  <c r="K13" i="3" s="1"/>
  <c r="AA13" i="2"/>
  <c r="AA13" i="3" s="1"/>
  <c r="O14" i="2"/>
  <c r="O14" i="3" s="1"/>
  <c r="AE14" i="2"/>
  <c r="AE14" i="3" s="1"/>
  <c r="S15" i="2"/>
  <c r="S15" i="3" s="1"/>
  <c r="G16" i="2"/>
  <c r="G16" i="3" s="1"/>
  <c r="W16" i="2"/>
  <c r="W16" i="3" s="1"/>
  <c r="K17" i="2"/>
  <c r="K17" i="3" s="1"/>
  <c r="AA17" i="2"/>
  <c r="AA17" i="3" s="1"/>
  <c r="O18" i="2"/>
  <c r="O18" i="3" s="1"/>
  <c r="AE18" i="2"/>
  <c r="AE18" i="3" s="1"/>
  <c r="S19" i="2"/>
  <c r="S19" i="3" s="1"/>
  <c r="G20" i="2"/>
  <c r="G20" i="3" s="1"/>
  <c r="W20" i="2"/>
  <c r="W20" i="3" s="1"/>
  <c r="K21" i="2"/>
  <c r="K21" i="3" s="1"/>
  <c r="AA21" i="2"/>
  <c r="AA21" i="3" s="1"/>
  <c r="O22" i="2"/>
  <c r="O22" i="3" s="1"/>
  <c r="AE22" i="2"/>
  <c r="AE22" i="3" s="1"/>
  <c r="S23" i="2"/>
  <c r="S23" i="3" s="1"/>
  <c r="G24" i="2"/>
  <c r="G24" i="3" s="1"/>
  <c r="W24" i="2"/>
  <c r="W24" i="3" s="1"/>
  <c r="K25" i="2"/>
  <c r="K25" i="3" s="1"/>
  <c r="AA25" i="2"/>
  <c r="AA25" i="3" s="1"/>
  <c r="O26" i="2"/>
  <c r="O26" i="3" s="1"/>
  <c r="AE26" i="2"/>
  <c r="AE26" i="3" s="1"/>
  <c r="S27" i="2"/>
  <c r="S27" i="3" s="1"/>
  <c r="G28" i="2"/>
  <c r="G28" i="3" s="1"/>
  <c r="W28" i="2"/>
  <c r="W28" i="3" s="1"/>
  <c r="K29" i="2"/>
  <c r="K29" i="3" s="1"/>
  <c r="AA29" i="2"/>
  <c r="AA29" i="3" s="1"/>
  <c r="O30" i="2"/>
  <c r="O30" i="3" s="1"/>
  <c r="AE30" i="2"/>
  <c r="AE30" i="3" s="1"/>
  <c r="S31" i="2"/>
  <c r="S31" i="3" s="1"/>
  <c r="G32" i="2"/>
  <c r="G32" i="3" s="1"/>
  <c r="W32" i="2"/>
  <c r="W32" i="3" s="1"/>
  <c r="K33" i="2"/>
  <c r="K33" i="3" s="1"/>
  <c r="AA33" i="2"/>
  <c r="AA33" i="3" s="1"/>
  <c r="O34" i="2"/>
  <c r="O34" i="3" s="1"/>
  <c r="AE34" i="2"/>
  <c r="AE34" i="3" s="1"/>
  <c r="S35" i="2"/>
  <c r="S35" i="3" s="1"/>
  <c r="G36" i="2"/>
  <c r="G36" i="3" s="1"/>
  <c r="W36" i="2"/>
  <c r="W36" i="3" s="1"/>
  <c r="K37" i="2"/>
  <c r="K37" i="3" s="1"/>
  <c r="AA37" i="2"/>
  <c r="AA37" i="3" s="1"/>
  <c r="O38" i="2"/>
  <c r="O38" i="3" s="1"/>
  <c r="AE38" i="2"/>
  <c r="AE38" i="3" s="1"/>
  <c r="S39" i="2"/>
  <c r="S39" i="3" s="1"/>
  <c r="G40" i="2"/>
  <c r="G40" i="3" s="1"/>
  <c r="W40" i="2"/>
  <c r="W40" i="3" s="1"/>
  <c r="K41" i="2"/>
  <c r="K41" i="3" s="1"/>
  <c r="AA41" i="2"/>
  <c r="AA41" i="3" s="1"/>
  <c r="D13" i="2"/>
  <c r="D13" i="3" s="1"/>
  <c r="D29" i="2"/>
  <c r="D29" i="3" s="1"/>
  <c r="H4" i="2"/>
  <c r="H4" i="3" s="1"/>
  <c r="AB5" i="2"/>
  <c r="AB5" i="3" s="1"/>
  <c r="P6" i="2"/>
  <c r="P6" i="3" s="1"/>
  <c r="T7" i="2"/>
  <c r="T7" i="3" s="1"/>
  <c r="H8" i="2"/>
  <c r="H8" i="3" s="1"/>
  <c r="L9" i="2"/>
  <c r="L9" i="3" s="1"/>
  <c r="AB9" i="2"/>
  <c r="AB9" i="3" s="1"/>
  <c r="P10" i="2"/>
  <c r="P10" i="3" s="1"/>
  <c r="T11" i="2"/>
  <c r="T11" i="3" s="1"/>
  <c r="H12" i="2"/>
  <c r="H12" i="3" s="1"/>
  <c r="X12" i="2"/>
  <c r="X12" i="3" s="1"/>
  <c r="AB13" i="2"/>
  <c r="AB13" i="3" s="1"/>
  <c r="T15" i="2"/>
  <c r="T15" i="3" s="1"/>
  <c r="P2" i="2"/>
  <c r="P2" i="3" s="1"/>
  <c r="AF2" i="2"/>
  <c r="AF2" i="3" s="1"/>
  <c r="T3" i="2"/>
  <c r="T3" i="3" s="1"/>
  <c r="X4" i="2"/>
  <c r="X4" i="3" s="1"/>
  <c r="L5" i="2"/>
  <c r="L5" i="3" s="1"/>
  <c r="AF6" i="2"/>
  <c r="AF6" i="3" s="1"/>
  <c r="X8" i="2"/>
  <c r="X8" i="3" s="1"/>
  <c r="AF10" i="2"/>
  <c r="AF10" i="3" s="1"/>
  <c r="L13" i="2"/>
  <c r="L13" i="3" s="1"/>
  <c r="P14" i="2"/>
  <c r="P14" i="3" s="1"/>
  <c r="AF14" i="2"/>
  <c r="AF14" i="3" s="1"/>
  <c r="H16" i="2"/>
  <c r="H16" i="3" s="1"/>
  <c r="Q2" i="2"/>
  <c r="Q2" i="3" s="1"/>
  <c r="E3" i="2"/>
  <c r="E3" i="3" s="1"/>
  <c r="U3" i="2"/>
  <c r="U3" i="3" s="1"/>
  <c r="I4" i="2"/>
  <c r="I4" i="3" s="1"/>
  <c r="Y4" i="2"/>
  <c r="Y4" i="3" s="1"/>
  <c r="M5" i="2"/>
  <c r="M5" i="3" s="1"/>
  <c r="AC5" i="2"/>
  <c r="AC5" i="3" s="1"/>
  <c r="Q6" i="2"/>
  <c r="Q6" i="3" s="1"/>
  <c r="E7" i="2"/>
  <c r="E7" i="3" s="1"/>
  <c r="U7" i="2"/>
  <c r="U7" i="3" s="1"/>
  <c r="I8" i="2"/>
  <c r="I8" i="3" s="1"/>
  <c r="Y8" i="2"/>
  <c r="Y8" i="3" s="1"/>
  <c r="M9" i="2"/>
  <c r="M9" i="3" s="1"/>
  <c r="AC9" i="2"/>
  <c r="AC9" i="3" s="1"/>
  <c r="Q10" i="2"/>
  <c r="Q10" i="3" s="1"/>
  <c r="E11" i="2"/>
  <c r="E11" i="3" s="1"/>
  <c r="U11" i="2"/>
  <c r="U11" i="3" s="1"/>
  <c r="I12" i="2"/>
  <c r="I12" i="3" s="1"/>
  <c r="Y12" i="2"/>
  <c r="Y12" i="3" s="1"/>
  <c r="M13" i="2"/>
  <c r="M13" i="3" s="1"/>
  <c r="AC13" i="2"/>
  <c r="AC13" i="3" s="1"/>
  <c r="Q14" i="2"/>
  <c r="Q14" i="3" s="1"/>
  <c r="E15" i="2"/>
  <c r="E15" i="3" s="1"/>
  <c r="U15" i="2"/>
  <c r="U15" i="3" s="1"/>
  <c r="I16" i="2"/>
  <c r="I16" i="3" s="1"/>
  <c r="Y16" i="2"/>
  <c r="Y16" i="3" s="1"/>
  <c r="M17" i="2"/>
  <c r="M17" i="3" s="1"/>
  <c r="AC17" i="2"/>
  <c r="AC17" i="3" s="1"/>
  <c r="Q18" i="2"/>
  <c r="Q18" i="3" s="1"/>
  <c r="E19" i="2"/>
  <c r="E19" i="3" s="1"/>
  <c r="U19" i="2"/>
  <c r="U19" i="3" s="1"/>
  <c r="I20" i="2"/>
  <c r="I20" i="3" s="1"/>
  <c r="Y20" i="2"/>
  <c r="Y20" i="3" s="1"/>
  <c r="M21" i="2"/>
  <c r="M21" i="3" s="1"/>
  <c r="AC21" i="2"/>
  <c r="AC21" i="3" s="1"/>
  <c r="Q22" i="2"/>
  <c r="Q22" i="3" s="1"/>
  <c r="E23" i="2"/>
  <c r="E23" i="3" s="1"/>
  <c r="U23" i="2"/>
  <c r="U23" i="3" s="1"/>
  <c r="I24" i="2"/>
  <c r="I24" i="3" s="1"/>
  <c r="Y24" i="2"/>
  <c r="Y24" i="3" s="1"/>
  <c r="M25" i="2"/>
  <c r="M25" i="3" s="1"/>
  <c r="AC25" i="2"/>
  <c r="AC25" i="3" s="1"/>
  <c r="Q26" i="2"/>
  <c r="Q26" i="3" s="1"/>
  <c r="E27" i="2"/>
  <c r="E27" i="3" s="1"/>
  <c r="U27" i="2"/>
  <c r="U27" i="3" s="1"/>
  <c r="I28" i="2"/>
  <c r="I28" i="3" s="1"/>
  <c r="Y28" i="2"/>
  <c r="Y28" i="3" s="1"/>
  <c r="M29" i="2"/>
  <c r="M29" i="3" s="1"/>
  <c r="AC29" i="2"/>
  <c r="AC29" i="3" s="1"/>
  <c r="Q30" i="2"/>
  <c r="Q30" i="3" s="1"/>
  <c r="E31" i="2"/>
  <c r="E31" i="3" s="1"/>
  <c r="U31" i="2"/>
  <c r="U31" i="3" s="1"/>
  <c r="I32" i="2"/>
  <c r="I32" i="3" s="1"/>
  <c r="Y32" i="2"/>
  <c r="Y32" i="3" s="1"/>
  <c r="S2" i="2"/>
  <c r="S2" i="3" s="1"/>
  <c r="G3" i="2"/>
  <c r="G3" i="3" s="1"/>
  <c r="W3" i="2"/>
  <c r="W3" i="3" s="1"/>
  <c r="K4" i="2"/>
  <c r="K4" i="3" s="1"/>
  <c r="AA4" i="2"/>
  <c r="AA4" i="3" s="1"/>
  <c r="O5" i="2"/>
  <c r="O5" i="3" s="1"/>
  <c r="AE5" i="2"/>
  <c r="AE5" i="3" s="1"/>
  <c r="S6" i="2"/>
  <c r="S6" i="3" s="1"/>
  <c r="G7" i="2"/>
  <c r="G7" i="3" s="1"/>
  <c r="W7" i="2"/>
  <c r="W7" i="3" s="1"/>
  <c r="K8" i="2"/>
  <c r="K8" i="3" s="1"/>
  <c r="AA8" i="2"/>
  <c r="AA8" i="3" s="1"/>
  <c r="O9" i="2"/>
  <c r="O9" i="3" s="1"/>
  <c r="AE9" i="2"/>
  <c r="AE9" i="3" s="1"/>
  <c r="S10" i="2"/>
  <c r="S10" i="3" s="1"/>
  <c r="G11" i="2"/>
  <c r="G11" i="3" s="1"/>
  <c r="W11" i="2"/>
  <c r="W11" i="3" s="1"/>
  <c r="K12" i="2"/>
  <c r="K12" i="3" s="1"/>
  <c r="AA12" i="2"/>
  <c r="AA12" i="3" s="1"/>
  <c r="O13" i="2"/>
  <c r="O13" i="3" s="1"/>
  <c r="AE13" i="2"/>
  <c r="AE13" i="3" s="1"/>
  <c r="S14" i="2"/>
  <c r="S14" i="3" s="1"/>
  <c r="G15" i="2"/>
  <c r="G15" i="3" s="1"/>
  <c r="W15" i="2"/>
  <c r="W15" i="3" s="1"/>
  <c r="K16" i="2"/>
  <c r="K16" i="3" s="1"/>
  <c r="AA16" i="2"/>
  <c r="AA16" i="3" s="1"/>
  <c r="O17" i="2"/>
  <c r="O17" i="3" s="1"/>
  <c r="AE17" i="2"/>
  <c r="AE17" i="3" s="1"/>
  <c r="S18" i="2"/>
  <c r="S18" i="3" s="1"/>
  <c r="G19" i="2"/>
  <c r="G19" i="3" s="1"/>
  <c r="W19" i="2"/>
  <c r="W19" i="3" s="1"/>
  <c r="K20" i="2"/>
  <c r="K20" i="3" s="1"/>
  <c r="AA20" i="2"/>
  <c r="AA20" i="3" s="1"/>
  <c r="O21" i="2"/>
  <c r="O21" i="3" s="1"/>
  <c r="AE21" i="2"/>
  <c r="AE21" i="3" s="1"/>
  <c r="S22" i="2"/>
  <c r="S22" i="3" s="1"/>
  <c r="G23" i="2"/>
  <c r="G23" i="3" s="1"/>
  <c r="W23" i="2"/>
  <c r="W23" i="3" s="1"/>
  <c r="K24" i="2"/>
  <c r="K24" i="3" s="1"/>
  <c r="AA24" i="2"/>
  <c r="AA24" i="3" s="1"/>
  <c r="O25" i="2"/>
  <c r="O25" i="3" s="1"/>
  <c r="AE25" i="2"/>
  <c r="AE25" i="3" s="1"/>
  <c r="S26" i="2"/>
  <c r="S26" i="3" s="1"/>
  <c r="G27" i="2"/>
  <c r="G27" i="3" s="1"/>
  <c r="W27" i="2"/>
  <c r="W27" i="3" s="1"/>
  <c r="K28" i="2"/>
  <c r="K28" i="3" s="1"/>
  <c r="AA28" i="2"/>
  <c r="AA28" i="3" s="1"/>
  <c r="O29" i="2"/>
  <c r="O29" i="3" s="1"/>
  <c r="AE29" i="2"/>
  <c r="AE29" i="3" s="1"/>
  <c r="S30" i="2"/>
  <c r="S30" i="3" s="1"/>
  <c r="G31" i="2"/>
  <c r="G31" i="3" s="1"/>
  <c r="W31" i="2"/>
  <c r="W31" i="3" s="1"/>
  <c r="K32" i="2"/>
  <c r="K32" i="3" s="1"/>
  <c r="AA32" i="2"/>
  <c r="AA32" i="3" s="1"/>
  <c r="O33" i="2"/>
  <c r="O33" i="3" s="1"/>
  <c r="AE33" i="2"/>
  <c r="AE33" i="3" s="1"/>
  <c r="S34" i="2"/>
  <c r="S34" i="3" s="1"/>
  <c r="G35" i="2"/>
  <c r="G35" i="3" s="1"/>
  <c r="W35" i="2"/>
  <c r="W35" i="3" s="1"/>
  <c r="K36" i="2"/>
  <c r="K36" i="3" s="1"/>
  <c r="AA36" i="2"/>
  <c r="AA36" i="3" s="1"/>
  <c r="O37" i="2"/>
  <c r="O37" i="3" s="1"/>
  <c r="AE37" i="2"/>
  <c r="AE37" i="3" s="1"/>
  <c r="S38" i="2"/>
  <c r="S38" i="3" s="1"/>
  <c r="G39" i="2"/>
  <c r="G39" i="3" s="1"/>
  <c r="W39" i="2"/>
  <c r="W39" i="3" s="1"/>
  <c r="K40" i="2"/>
  <c r="K40" i="3" s="1"/>
  <c r="AA40" i="2"/>
  <c r="AA40" i="3" s="1"/>
  <c r="O41" i="2"/>
  <c r="O41" i="3" s="1"/>
  <c r="AE41" i="2"/>
  <c r="AE41" i="3" s="1"/>
  <c r="D17" i="2"/>
  <c r="D17" i="3" s="1"/>
  <c r="D33" i="2"/>
  <c r="D33" i="3" s="1"/>
  <c r="F2" i="2"/>
  <c r="F2" i="3" s="1"/>
  <c r="R3" i="2"/>
  <c r="R3" i="3" s="1"/>
  <c r="AB4" i="2"/>
  <c r="AB4" i="3" s="1"/>
  <c r="H6" i="2"/>
  <c r="H6" i="3" s="1"/>
  <c r="O7" i="2"/>
  <c r="O7" i="3" s="1"/>
  <c r="R8" i="2"/>
  <c r="R8" i="3" s="1"/>
  <c r="R9" i="2"/>
  <c r="R9" i="3" s="1"/>
  <c r="T10" i="2"/>
  <c r="T10" i="3" s="1"/>
  <c r="R11" i="2"/>
  <c r="R11" i="3" s="1"/>
  <c r="S12" i="2"/>
  <c r="S12" i="3" s="1"/>
  <c r="T13" i="2"/>
  <c r="T13" i="3" s="1"/>
  <c r="U14" i="2"/>
  <c r="U14" i="3" s="1"/>
  <c r="V15" i="2"/>
  <c r="V15" i="3" s="1"/>
  <c r="T16" i="2"/>
  <c r="T16" i="3" s="1"/>
  <c r="Q17" i="2"/>
  <c r="Q17" i="3" s="1"/>
  <c r="K18" i="2"/>
  <c r="K18" i="3" s="1"/>
  <c r="H19" i="2"/>
  <c r="H19" i="3" s="1"/>
  <c r="AD19" i="2"/>
  <c r="AD19" i="3" s="1"/>
  <c r="Z20" i="2"/>
  <c r="Z20" i="3" s="1"/>
  <c r="U21" i="2"/>
  <c r="U21" i="3" s="1"/>
  <c r="P22" i="2"/>
  <c r="P22" i="3" s="1"/>
  <c r="L23" i="2"/>
  <c r="L23" i="3" s="1"/>
  <c r="F24" i="2"/>
  <c r="F24" i="3" s="1"/>
  <c r="AD24" i="2"/>
  <c r="AD24" i="3" s="1"/>
  <c r="X25" i="2"/>
  <c r="X25" i="3" s="1"/>
  <c r="U26" i="2"/>
  <c r="U26" i="3" s="1"/>
  <c r="O27" i="2"/>
  <c r="O27" i="3" s="1"/>
  <c r="L28" i="2"/>
  <c r="L28" i="3" s="1"/>
  <c r="F29" i="2"/>
  <c r="F29" i="3" s="1"/>
  <c r="AD29" i="2"/>
  <c r="AD29" i="3" s="1"/>
  <c r="Y30" i="2"/>
  <c r="Y30" i="3" s="1"/>
  <c r="T31" i="2"/>
  <c r="T31" i="3" s="1"/>
  <c r="P32" i="2"/>
  <c r="P32" i="3" s="1"/>
  <c r="J33" i="2"/>
  <c r="J33" i="3" s="1"/>
  <c r="AD33" i="2"/>
  <c r="AD33" i="3" s="1"/>
  <c r="V34" i="2"/>
  <c r="V34" i="3" s="1"/>
  <c r="N35" i="2"/>
  <c r="N35" i="3" s="1"/>
  <c r="E36" i="2"/>
  <c r="E36" i="3" s="1"/>
  <c r="Y36" i="2"/>
  <c r="Y36" i="3" s="1"/>
  <c r="Q37" i="2"/>
  <c r="Q37" i="3" s="1"/>
  <c r="I38" i="2"/>
  <c r="I38" i="3" s="1"/>
  <c r="AB38" i="2"/>
  <c r="AB38" i="3" s="1"/>
  <c r="T39" i="2"/>
  <c r="T39" i="3" s="1"/>
  <c r="L40" i="2"/>
  <c r="L40" i="3" s="1"/>
  <c r="AD40" i="2"/>
  <c r="AD40" i="3" s="1"/>
  <c r="T41" i="2"/>
  <c r="T41" i="3" s="1"/>
  <c r="D8" i="2"/>
  <c r="D8" i="3" s="1"/>
  <c r="D26" i="2"/>
  <c r="D26" i="3" s="1"/>
  <c r="H2" i="2"/>
  <c r="H2" i="3" s="1"/>
  <c r="V3" i="2"/>
  <c r="V3" i="3" s="1"/>
  <c r="AD4" i="2"/>
  <c r="AD4" i="3" s="1"/>
  <c r="K6" i="2"/>
  <c r="K6" i="3" s="1"/>
  <c r="P7" i="2"/>
  <c r="P7" i="3" s="1"/>
  <c r="S8" i="2"/>
  <c r="S8" i="3" s="1"/>
  <c r="T9" i="2"/>
  <c r="T9" i="3" s="1"/>
  <c r="U10" i="2"/>
  <c r="U10" i="3" s="1"/>
  <c r="V11" i="2"/>
  <c r="V11" i="3" s="1"/>
  <c r="T12" i="2"/>
  <c r="T12" i="3" s="1"/>
  <c r="V13" i="2"/>
  <c r="V13" i="3" s="1"/>
  <c r="V14" i="2"/>
  <c r="V14" i="3" s="1"/>
  <c r="X15" i="2"/>
  <c r="X15" i="3" s="1"/>
  <c r="V16" i="2"/>
  <c r="V16" i="3" s="1"/>
  <c r="R17" i="2"/>
  <c r="R17" i="3" s="1"/>
  <c r="L18" i="2"/>
  <c r="L18" i="3" s="1"/>
  <c r="I19" i="2"/>
  <c r="I19" i="3" s="1"/>
  <c r="AE19" i="2"/>
  <c r="AE19" i="3" s="1"/>
  <c r="AB20" i="2"/>
  <c r="AB20" i="3" s="1"/>
  <c r="V21" i="2"/>
  <c r="V21" i="3" s="1"/>
  <c r="R22" i="2"/>
  <c r="R22" i="3" s="1"/>
  <c r="M23" i="2"/>
  <c r="M23" i="3" s="1"/>
  <c r="H24" i="2"/>
  <c r="H24" i="3" s="1"/>
  <c r="AF24" i="2"/>
  <c r="AF24" i="3" s="1"/>
  <c r="Z25" i="2"/>
  <c r="Z25" i="3" s="1"/>
  <c r="V26" i="2"/>
  <c r="V26" i="3" s="1"/>
  <c r="P27" i="2"/>
  <c r="P27" i="3" s="1"/>
  <c r="M28" i="2"/>
  <c r="M28" i="3" s="1"/>
  <c r="G29" i="2"/>
  <c r="G29" i="3" s="1"/>
  <c r="AF29" i="2"/>
  <c r="AF29" i="3" s="1"/>
  <c r="Z30" i="2"/>
  <c r="Z30" i="3" s="1"/>
  <c r="V31" i="2"/>
  <c r="V31" i="3" s="1"/>
  <c r="Q32" i="2"/>
  <c r="Q32" i="3" s="1"/>
  <c r="L33" i="2"/>
  <c r="L33" i="3" s="1"/>
  <c r="AF33" i="2"/>
  <c r="AF33" i="3" s="1"/>
  <c r="X34" i="2"/>
  <c r="X34" i="3" s="1"/>
  <c r="O35" i="2"/>
  <c r="O35" i="3" s="1"/>
  <c r="F36" i="2"/>
  <c r="F36" i="3" s="1"/>
  <c r="L2" i="2"/>
  <c r="L2" i="3" s="1"/>
  <c r="X3" i="2"/>
  <c r="X3" i="3" s="1"/>
  <c r="AF4" i="2"/>
  <c r="AF4" i="3" s="1"/>
  <c r="L6" i="2"/>
  <c r="L6" i="3" s="1"/>
  <c r="R7" i="2"/>
  <c r="R7" i="3" s="1"/>
  <c r="T8" i="2"/>
  <c r="T8" i="3" s="1"/>
  <c r="V9" i="2"/>
  <c r="V9" i="3" s="1"/>
  <c r="V10" i="2"/>
  <c r="V10" i="3" s="1"/>
  <c r="X11" i="2"/>
  <c r="X11" i="3" s="1"/>
  <c r="V12" i="2"/>
  <c r="V12" i="3" s="1"/>
  <c r="W13" i="2"/>
  <c r="W13" i="3" s="1"/>
  <c r="X14" i="2"/>
  <c r="X14" i="3" s="1"/>
  <c r="Y15" i="2"/>
  <c r="Y15" i="3" s="1"/>
  <c r="X16" i="2"/>
  <c r="X16" i="3" s="1"/>
  <c r="T17" i="2"/>
  <c r="T17" i="3" s="1"/>
  <c r="N18" i="2"/>
  <c r="N18" i="3" s="1"/>
  <c r="J19" i="2"/>
  <c r="J19" i="3" s="1"/>
  <c r="AF19" i="2"/>
  <c r="AF19" i="3" s="1"/>
  <c r="AC20" i="2"/>
  <c r="AC20" i="3" s="1"/>
  <c r="W21" i="2"/>
  <c r="W21" i="3" s="1"/>
  <c r="T22" i="2"/>
  <c r="T22" i="3" s="1"/>
  <c r="N23" i="2"/>
  <c r="N23" i="3" s="1"/>
  <c r="J24" i="2"/>
  <c r="J24" i="3" s="1"/>
  <c r="E25" i="2"/>
  <c r="E25" i="3" s="1"/>
  <c r="AB25" i="2"/>
  <c r="AB25" i="3" s="1"/>
  <c r="X26" i="2"/>
  <c r="X26" i="3" s="1"/>
  <c r="R27" i="2"/>
  <c r="R27" i="3" s="1"/>
  <c r="N28" i="2"/>
  <c r="N28" i="3" s="1"/>
  <c r="H29" i="2"/>
  <c r="H29" i="3" s="1"/>
  <c r="E30" i="2"/>
  <c r="E30" i="3" s="1"/>
  <c r="AA30" i="2"/>
  <c r="AA30" i="3" s="1"/>
  <c r="X31" i="2"/>
  <c r="X31" i="3" s="1"/>
  <c r="R32" i="2"/>
  <c r="R32" i="3" s="1"/>
  <c r="M33" i="2"/>
  <c r="M33" i="3" s="1"/>
  <c r="E34" i="2"/>
  <c r="E34" i="3" s="1"/>
  <c r="Y34" i="2"/>
  <c r="Y34" i="3" s="1"/>
  <c r="P35" i="2"/>
  <c r="P35" i="3" s="1"/>
  <c r="H36" i="2"/>
  <c r="H36" i="3" s="1"/>
  <c r="AB36" i="2"/>
  <c r="AB36" i="3" s="1"/>
  <c r="T37" i="2"/>
  <c r="T37" i="3" s="1"/>
  <c r="K38" i="2"/>
  <c r="K38" i="3" s="1"/>
  <c r="AD38" i="2"/>
  <c r="AD38" i="3" s="1"/>
  <c r="V39" i="2"/>
  <c r="V39" i="3" s="1"/>
  <c r="N40" i="2"/>
  <c r="N40" i="3" s="1"/>
  <c r="AF40" i="2"/>
  <c r="AF40" i="3" s="1"/>
  <c r="V41" i="2"/>
  <c r="V41" i="3" s="1"/>
  <c r="D10" i="2"/>
  <c r="D10" i="3" s="1"/>
  <c r="D28" i="2"/>
  <c r="D28" i="3" s="1"/>
  <c r="N2" i="2"/>
  <c r="N2" i="3" s="1"/>
  <c r="Z3" i="2"/>
  <c r="Z3" i="3" s="1"/>
  <c r="G5" i="2"/>
  <c r="G5" i="3" s="1"/>
  <c r="N6" i="2"/>
  <c r="N6" i="3" s="1"/>
  <c r="V7" i="2"/>
  <c r="V7" i="3" s="1"/>
  <c r="V8" i="2"/>
  <c r="V8" i="3" s="1"/>
  <c r="W9" i="2"/>
  <c r="W9" i="3" s="1"/>
  <c r="X10" i="2"/>
  <c r="X10" i="3" s="1"/>
  <c r="Y11" i="2"/>
  <c r="Y11" i="3" s="1"/>
  <c r="Z12" i="2"/>
  <c r="Z12" i="3" s="1"/>
  <c r="X13" i="2"/>
  <c r="X13" i="3" s="1"/>
  <c r="Z14" i="2"/>
  <c r="Z14" i="3" s="1"/>
  <c r="Z15" i="2"/>
  <c r="Z15" i="3" s="1"/>
  <c r="Z16" i="2"/>
  <c r="Z16" i="3" s="1"/>
  <c r="U17" i="2"/>
  <c r="U17" i="3" s="1"/>
  <c r="P18" i="2"/>
  <c r="P18" i="3" s="1"/>
  <c r="L19" i="2"/>
  <c r="L19" i="3" s="1"/>
  <c r="F20" i="2"/>
  <c r="F20" i="3" s="1"/>
  <c r="AD20" i="2"/>
  <c r="AD20" i="3" s="1"/>
  <c r="X21" i="2"/>
  <c r="X21" i="3" s="1"/>
  <c r="U22" i="2"/>
  <c r="U22" i="3" s="1"/>
  <c r="O23" i="2"/>
  <c r="O23" i="3" s="1"/>
  <c r="L24" i="2"/>
  <c r="L24" i="3" s="1"/>
  <c r="F25" i="2"/>
  <c r="F25" i="3" s="1"/>
  <c r="AD25" i="2"/>
  <c r="AD25" i="3" s="1"/>
  <c r="Y26" i="2"/>
  <c r="Y26" i="3" s="1"/>
  <c r="T27" i="2"/>
  <c r="T27" i="3" s="1"/>
  <c r="P28" i="2"/>
  <c r="P28" i="3" s="1"/>
  <c r="J29" i="2"/>
  <c r="J29" i="3" s="1"/>
  <c r="F30" i="2"/>
  <c r="F30" i="3" s="1"/>
  <c r="AB30" i="2"/>
  <c r="AB30" i="3" s="1"/>
  <c r="Y31" i="2"/>
  <c r="Y31" i="3" s="1"/>
  <c r="S32" i="2"/>
  <c r="S32" i="3" s="1"/>
  <c r="N33" i="2"/>
  <c r="N33" i="3" s="1"/>
  <c r="F34" i="2"/>
  <c r="F34" i="3" s="1"/>
  <c r="Z34" i="2"/>
  <c r="Z34" i="3" s="1"/>
  <c r="Q35" i="2"/>
  <c r="Q35" i="3" s="1"/>
  <c r="I36" i="2"/>
  <c r="I36" i="3" s="1"/>
  <c r="AC36" i="2"/>
  <c r="AC36" i="3" s="1"/>
  <c r="U37" i="2"/>
  <c r="U37" i="3" s="1"/>
  <c r="L38" i="2"/>
  <c r="L38" i="3" s="1"/>
  <c r="AF38" i="2"/>
  <c r="AF38" i="3" s="1"/>
  <c r="X39" i="2"/>
  <c r="X39" i="3" s="1"/>
  <c r="O40" i="2"/>
  <c r="O40" i="3" s="1"/>
  <c r="E41" i="2"/>
  <c r="E41" i="3" s="1"/>
  <c r="W41" i="2"/>
  <c r="W41" i="3" s="1"/>
  <c r="D11" i="2"/>
  <c r="D11" i="3" s="1"/>
  <c r="D30" i="2"/>
  <c r="D30" i="3" s="1"/>
  <c r="L10" i="2"/>
  <c r="L10" i="3" s="1"/>
  <c r="P16" i="2"/>
  <c r="P16" i="3" s="1"/>
  <c r="AD18" i="2"/>
  <c r="AD18" i="3" s="1"/>
  <c r="H23" i="2"/>
  <c r="H23" i="3" s="1"/>
  <c r="U25" i="2"/>
  <c r="U25" i="3" s="1"/>
  <c r="R2" i="2"/>
  <c r="R2" i="3" s="1"/>
  <c r="AB3" i="2"/>
  <c r="AB3" i="3" s="1"/>
  <c r="H5" i="2"/>
  <c r="H5" i="3" s="1"/>
  <c r="R6" i="2"/>
  <c r="R6" i="3" s="1"/>
  <c r="X7" i="2"/>
  <c r="X7" i="3" s="1"/>
  <c r="Z8" i="2"/>
  <c r="Z8" i="3" s="1"/>
  <c r="X9" i="2"/>
  <c r="X9" i="3" s="1"/>
  <c r="Z10" i="2"/>
  <c r="Z10" i="3" s="1"/>
  <c r="Z11" i="2"/>
  <c r="Z11" i="3" s="1"/>
  <c r="AB12" i="2"/>
  <c r="AB12" i="3" s="1"/>
  <c r="Z13" i="2"/>
  <c r="Z13" i="3" s="1"/>
  <c r="AA14" i="2"/>
  <c r="AA14" i="3" s="1"/>
  <c r="AB15" i="2"/>
  <c r="AB15" i="3" s="1"/>
  <c r="AB16" i="2"/>
  <c r="AB16" i="3" s="1"/>
  <c r="V17" i="2"/>
  <c r="V17" i="3" s="1"/>
  <c r="R18" i="2"/>
  <c r="R18" i="3" s="1"/>
  <c r="M19" i="2"/>
  <c r="M19" i="3" s="1"/>
  <c r="H20" i="2"/>
  <c r="H20" i="3" s="1"/>
  <c r="AF20" i="2"/>
  <c r="AF20" i="3" s="1"/>
  <c r="Z21" i="2"/>
  <c r="Z21" i="3" s="1"/>
  <c r="V22" i="2"/>
  <c r="V22" i="3" s="1"/>
  <c r="P23" i="2"/>
  <c r="P23" i="3" s="1"/>
  <c r="M24" i="2"/>
  <c r="M24" i="3" s="1"/>
  <c r="G25" i="2"/>
  <c r="G25" i="3" s="1"/>
  <c r="AF25" i="2"/>
  <c r="AF25" i="3" s="1"/>
  <c r="Z26" i="2"/>
  <c r="Z26" i="3" s="1"/>
  <c r="V27" i="2"/>
  <c r="V27" i="3" s="1"/>
  <c r="Q28" i="2"/>
  <c r="Q28" i="3" s="1"/>
  <c r="L29" i="2"/>
  <c r="L29" i="3" s="1"/>
  <c r="H30" i="2"/>
  <c r="H30" i="3" s="1"/>
  <c r="AD30" i="2"/>
  <c r="AD30" i="3" s="1"/>
  <c r="Z31" i="2"/>
  <c r="Z31" i="3" s="1"/>
  <c r="T32" i="2"/>
  <c r="T32" i="3" s="1"/>
  <c r="P33" i="2"/>
  <c r="P33" i="3" s="1"/>
  <c r="H34" i="2"/>
  <c r="H34" i="3" s="1"/>
  <c r="AA34" i="2"/>
  <c r="AA34" i="3" s="1"/>
  <c r="R35" i="2"/>
  <c r="R35" i="3" s="1"/>
  <c r="J36" i="2"/>
  <c r="J36" i="3" s="1"/>
  <c r="AD36" i="2"/>
  <c r="AD36" i="3" s="1"/>
  <c r="V37" i="2"/>
  <c r="V37" i="3" s="1"/>
  <c r="M38" i="2"/>
  <c r="M38" i="3" s="1"/>
  <c r="E39" i="2"/>
  <c r="E39" i="3" s="1"/>
  <c r="Y39" i="2"/>
  <c r="Y39" i="3" s="1"/>
  <c r="P40" i="2"/>
  <c r="P40" i="3" s="1"/>
  <c r="F41" i="2"/>
  <c r="F41" i="3" s="1"/>
  <c r="X41" i="2"/>
  <c r="X41" i="3" s="1"/>
  <c r="D12" i="2"/>
  <c r="D12" i="3" s="1"/>
  <c r="D31" i="2"/>
  <c r="D31" i="3" s="1"/>
  <c r="X2" i="2"/>
  <c r="X2" i="3" s="1"/>
  <c r="P5" i="2"/>
  <c r="P5" i="3" s="1"/>
  <c r="X6" i="2"/>
  <c r="X6" i="3" s="1"/>
  <c r="AB7" i="2"/>
  <c r="AB7" i="3" s="1"/>
  <c r="AF9" i="2"/>
  <c r="AF9" i="3" s="1"/>
  <c r="AD10" i="2"/>
  <c r="AD10" i="3" s="1"/>
  <c r="AF12" i="2"/>
  <c r="AF12" i="3" s="1"/>
  <c r="E14" i="2"/>
  <c r="E14" i="3" s="1"/>
  <c r="AF16" i="2"/>
  <c r="AF16" i="3" s="1"/>
  <c r="V18" i="2"/>
  <c r="V18" i="3" s="1"/>
  <c r="M20" i="2"/>
  <c r="M20" i="3" s="1"/>
  <c r="AF21" i="2"/>
  <c r="AF21" i="3" s="1"/>
  <c r="Q24" i="2"/>
  <c r="Q24" i="3" s="1"/>
  <c r="AD26" i="2"/>
  <c r="AD26" i="3" s="1"/>
  <c r="Q29" i="2"/>
  <c r="Q29" i="3" s="1"/>
  <c r="H31" i="2"/>
  <c r="H31" i="3" s="1"/>
  <c r="Z32" i="2"/>
  <c r="Z32" i="3" s="1"/>
  <c r="AD34" i="2"/>
  <c r="AD34" i="3" s="1"/>
  <c r="F37" i="2"/>
  <c r="F37" i="3" s="1"/>
  <c r="I39" i="2"/>
  <c r="I39" i="3" s="1"/>
  <c r="S40" i="2"/>
  <c r="S40" i="3" s="1"/>
  <c r="AB41" i="2"/>
  <c r="AB41" i="3" s="1"/>
  <c r="J21" i="2"/>
  <c r="J21" i="3" s="1"/>
  <c r="Y23" i="2"/>
  <c r="Y23" i="3" s="1"/>
  <c r="F27" i="2"/>
  <c r="F27" i="3" s="1"/>
  <c r="N30" i="2"/>
  <c r="N30" i="3" s="1"/>
  <c r="V33" i="2"/>
  <c r="V33" i="3" s="1"/>
  <c r="Q36" i="2"/>
  <c r="Q36" i="3" s="1"/>
  <c r="L39" i="2"/>
  <c r="L39" i="3" s="1"/>
  <c r="AD41" i="2"/>
  <c r="AD41" i="3" s="1"/>
  <c r="L3" i="2"/>
  <c r="L3" i="3" s="1"/>
  <c r="AD5" i="2"/>
  <c r="AD5" i="3" s="1"/>
  <c r="N9" i="2"/>
  <c r="N9" i="3" s="1"/>
  <c r="N12" i="2"/>
  <c r="N12" i="3" s="1"/>
  <c r="N14" i="2"/>
  <c r="N14" i="3" s="1"/>
  <c r="H18" i="2"/>
  <c r="H18" i="3" s="1"/>
  <c r="Q21" i="2"/>
  <c r="Q21" i="3" s="1"/>
  <c r="T2" i="2"/>
  <c r="T2" i="3" s="1"/>
  <c r="AE3" i="2"/>
  <c r="AE3" i="3" s="1"/>
  <c r="J5" i="2"/>
  <c r="J5" i="3" s="1"/>
  <c r="T6" i="2"/>
  <c r="T6" i="3" s="1"/>
  <c r="Y7" i="2"/>
  <c r="Y7" i="3" s="1"/>
  <c r="AB8" i="2"/>
  <c r="AB8" i="3" s="1"/>
  <c r="Z9" i="2"/>
  <c r="Z9" i="3" s="1"/>
  <c r="AA10" i="2"/>
  <c r="AA10" i="3" s="1"/>
  <c r="AB11" i="2"/>
  <c r="AB11" i="3" s="1"/>
  <c r="AC12" i="2"/>
  <c r="AC12" i="3" s="1"/>
  <c r="AD13" i="2"/>
  <c r="AD13" i="3" s="1"/>
  <c r="AB14" i="2"/>
  <c r="AB14" i="3" s="1"/>
  <c r="AD15" i="2"/>
  <c r="AD15" i="3" s="1"/>
  <c r="AC16" i="2"/>
  <c r="AC16" i="3" s="1"/>
  <c r="W17" i="2"/>
  <c r="W17" i="3" s="1"/>
  <c r="T18" i="2"/>
  <c r="T18" i="3" s="1"/>
  <c r="N19" i="2"/>
  <c r="N19" i="3" s="1"/>
  <c r="J20" i="2"/>
  <c r="J20" i="3" s="1"/>
  <c r="E21" i="2"/>
  <c r="E21" i="3" s="1"/>
  <c r="AB21" i="2"/>
  <c r="AB21" i="3" s="1"/>
  <c r="X22" i="2"/>
  <c r="X22" i="3" s="1"/>
  <c r="R23" i="2"/>
  <c r="R23" i="3" s="1"/>
  <c r="N24" i="2"/>
  <c r="N24" i="3" s="1"/>
  <c r="H25" i="2"/>
  <c r="H25" i="3" s="1"/>
  <c r="E26" i="2"/>
  <c r="E26" i="3" s="1"/>
  <c r="AA26" i="2"/>
  <c r="AA26" i="3" s="1"/>
  <c r="X27" i="2"/>
  <c r="X27" i="3" s="1"/>
  <c r="R28" i="2"/>
  <c r="R28" i="3" s="1"/>
  <c r="N29" i="2"/>
  <c r="N29" i="3" s="1"/>
  <c r="I30" i="2"/>
  <c r="I30" i="3" s="1"/>
  <c r="AF30" i="2"/>
  <c r="AF30" i="3" s="1"/>
  <c r="AB31" i="2"/>
  <c r="AB31" i="3" s="1"/>
  <c r="V32" i="2"/>
  <c r="V32" i="3" s="1"/>
  <c r="Q33" i="2"/>
  <c r="Q33" i="3" s="1"/>
  <c r="I34" i="2"/>
  <c r="I34" i="3" s="1"/>
  <c r="AB34" i="2"/>
  <c r="AB34" i="3" s="1"/>
  <c r="T35" i="2"/>
  <c r="T35" i="3" s="1"/>
  <c r="L36" i="2"/>
  <c r="L36" i="3" s="1"/>
  <c r="AF36" i="2"/>
  <c r="AF36" i="3" s="1"/>
  <c r="W37" i="2"/>
  <c r="W37" i="3" s="1"/>
  <c r="N38" i="2"/>
  <c r="N38" i="3" s="1"/>
  <c r="F39" i="2"/>
  <c r="F39" i="3" s="1"/>
  <c r="Z39" i="2"/>
  <c r="Z39" i="3" s="1"/>
  <c r="Q40" i="2"/>
  <c r="Q40" i="3" s="1"/>
  <c r="G41" i="2"/>
  <c r="G41" i="3" s="1"/>
  <c r="Y41" i="2"/>
  <c r="Y41" i="3" s="1"/>
  <c r="D14" i="2"/>
  <c r="D14" i="3" s="1"/>
  <c r="D32" i="2"/>
  <c r="D32" i="3" s="1"/>
  <c r="P38" i="2"/>
  <c r="P38" i="3" s="1"/>
  <c r="AB39" i="2"/>
  <c r="AB39" i="3" s="1"/>
  <c r="Z41" i="2"/>
  <c r="Z41" i="3" s="1"/>
  <c r="D34" i="2"/>
  <c r="D34" i="3" s="1"/>
  <c r="AF15" i="2"/>
  <c r="AF15" i="3" s="1"/>
  <c r="G21" i="2"/>
  <c r="G21" i="3" s="1"/>
  <c r="V23" i="2"/>
  <c r="V23" i="3" s="1"/>
  <c r="H26" i="2"/>
  <c r="H26" i="3" s="1"/>
  <c r="T28" i="2"/>
  <c r="T28" i="3" s="1"/>
  <c r="AD31" i="2"/>
  <c r="AD31" i="3" s="1"/>
  <c r="K34" i="2"/>
  <c r="K34" i="3" s="1"/>
  <c r="N36" i="2"/>
  <c r="N36" i="3" s="1"/>
  <c r="Y37" i="2"/>
  <c r="Y37" i="3" s="1"/>
  <c r="AC39" i="2"/>
  <c r="AC39" i="3" s="1"/>
  <c r="D35" i="2"/>
  <c r="D35" i="3" s="1"/>
  <c r="F22" i="2"/>
  <c r="F22" i="3" s="1"/>
  <c r="P25" i="2"/>
  <c r="P25" i="3" s="1"/>
  <c r="T29" i="2"/>
  <c r="T29" i="3" s="1"/>
  <c r="J31" i="2"/>
  <c r="J31" i="3" s="1"/>
  <c r="M34" i="2"/>
  <c r="M34" i="3" s="1"/>
  <c r="H37" i="2"/>
  <c r="H37" i="3" s="1"/>
  <c r="T38" i="2"/>
  <c r="T38" i="3" s="1"/>
  <c r="L41" i="2"/>
  <c r="L41" i="3" s="1"/>
  <c r="D37" i="2"/>
  <c r="D37" i="3" s="1"/>
  <c r="T4" i="2"/>
  <c r="T4" i="3" s="1"/>
  <c r="I7" i="2"/>
  <c r="I7" i="3" s="1"/>
  <c r="M8" i="2"/>
  <c r="M8" i="3" s="1"/>
  <c r="N11" i="2"/>
  <c r="N11" i="3" s="1"/>
  <c r="P13" i="2"/>
  <c r="P13" i="3" s="1"/>
  <c r="L17" i="2"/>
  <c r="L17" i="3" s="1"/>
  <c r="Z19" i="2"/>
  <c r="Z19" i="3" s="1"/>
  <c r="Z24" i="2"/>
  <c r="Z24" i="3" s="1"/>
  <c r="V2" i="2"/>
  <c r="V2" i="3" s="1"/>
  <c r="AF3" i="2"/>
  <c r="AF3" i="3" s="1"/>
  <c r="N5" i="2"/>
  <c r="N5" i="3" s="1"/>
  <c r="V6" i="2"/>
  <c r="V6" i="3" s="1"/>
  <c r="Z7" i="2"/>
  <c r="Z7" i="3" s="1"/>
  <c r="AC8" i="2"/>
  <c r="AC8" i="3" s="1"/>
  <c r="AD9" i="2"/>
  <c r="AD9" i="3" s="1"/>
  <c r="AB10" i="2"/>
  <c r="AB10" i="3" s="1"/>
  <c r="AD11" i="2"/>
  <c r="AD11" i="3" s="1"/>
  <c r="AD12" i="2"/>
  <c r="AD12" i="3" s="1"/>
  <c r="AF13" i="2"/>
  <c r="AF13" i="3" s="1"/>
  <c r="AD14" i="2"/>
  <c r="AD14" i="3" s="1"/>
  <c r="AE15" i="2"/>
  <c r="AE15" i="3" s="1"/>
  <c r="AD16" i="2"/>
  <c r="AD16" i="3" s="1"/>
  <c r="X17" i="2"/>
  <c r="X17" i="3" s="1"/>
  <c r="U18" i="2"/>
  <c r="U18" i="3" s="1"/>
  <c r="O19" i="2"/>
  <c r="O19" i="3" s="1"/>
  <c r="L20" i="2"/>
  <c r="L20" i="3" s="1"/>
  <c r="F21" i="2"/>
  <c r="F21" i="3" s="1"/>
  <c r="AD21" i="2"/>
  <c r="AD21" i="3" s="1"/>
  <c r="Y22" i="2"/>
  <c r="Y22" i="3" s="1"/>
  <c r="T23" i="2"/>
  <c r="T23" i="3" s="1"/>
  <c r="P24" i="2"/>
  <c r="P24" i="3" s="1"/>
  <c r="J25" i="2"/>
  <c r="J25" i="3" s="1"/>
  <c r="F26" i="2"/>
  <c r="F26" i="3" s="1"/>
  <c r="AB26" i="2"/>
  <c r="AB26" i="3" s="1"/>
  <c r="Y27" i="2"/>
  <c r="Y27" i="3" s="1"/>
  <c r="S28" i="2"/>
  <c r="S28" i="3" s="1"/>
  <c r="P29" i="2"/>
  <c r="P29" i="3" s="1"/>
  <c r="J30" i="2"/>
  <c r="J30" i="3" s="1"/>
  <c r="F31" i="2"/>
  <c r="F31" i="3" s="1"/>
  <c r="AC31" i="2"/>
  <c r="AC31" i="3" s="1"/>
  <c r="X32" i="2"/>
  <c r="X32" i="3" s="1"/>
  <c r="R33" i="2"/>
  <c r="R33" i="3" s="1"/>
  <c r="J34" i="2"/>
  <c r="J34" i="3" s="1"/>
  <c r="AC34" i="2"/>
  <c r="AC34" i="3" s="1"/>
  <c r="U35" i="2"/>
  <c r="U35" i="3" s="1"/>
  <c r="M36" i="2"/>
  <c r="M36" i="3" s="1"/>
  <c r="E37" i="2"/>
  <c r="E37" i="3" s="1"/>
  <c r="X37" i="2"/>
  <c r="X37" i="3" s="1"/>
  <c r="H39" i="2"/>
  <c r="H39" i="3" s="1"/>
  <c r="R40" i="2"/>
  <c r="R40" i="3" s="1"/>
  <c r="H41" i="2"/>
  <c r="H41" i="3" s="1"/>
  <c r="D15" i="2"/>
  <c r="D15" i="3" s="1"/>
  <c r="F4" i="2"/>
  <c r="F4" i="3" s="1"/>
  <c r="AD8" i="2"/>
  <c r="AD8" i="3" s="1"/>
  <c r="AE11" i="2"/>
  <c r="AE11" i="3" s="1"/>
  <c r="F15" i="2"/>
  <c r="F15" i="3" s="1"/>
  <c r="Z17" i="2"/>
  <c r="Z17" i="3" s="1"/>
  <c r="P19" i="2"/>
  <c r="P19" i="3" s="1"/>
  <c r="Z22" i="2"/>
  <c r="Z22" i="3" s="1"/>
  <c r="L25" i="2"/>
  <c r="L25" i="3" s="1"/>
  <c r="Z27" i="2"/>
  <c r="Z27" i="3" s="1"/>
  <c r="K30" i="2"/>
  <c r="K30" i="3" s="1"/>
  <c r="T33" i="2"/>
  <c r="T33" i="3" s="1"/>
  <c r="V35" i="2"/>
  <c r="V35" i="3" s="1"/>
  <c r="Q38" i="2"/>
  <c r="Q38" i="3" s="1"/>
  <c r="I41" i="2"/>
  <c r="I41" i="3" s="1"/>
  <c r="D16" i="2"/>
  <c r="D16" i="3" s="1"/>
  <c r="P20" i="2"/>
  <c r="P20" i="3" s="1"/>
  <c r="S24" i="2"/>
  <c r="S24" i="3" s="1"/>
  <c r="X28" i="2"/>
  <c r="X28" i="3" s="1"/>
  <c r="AC32" i="2"/>
  <c r="AC32" i="3" s="1"/>
  <c r="Y35" i="2"/>
  <c r="Y35" i="3" s="1"/>
  <c r="AE39" i="2"/>
  <c r="AE39" i="3" s="1"/>
  <c r="D19" i="2"/>
  <c r="D19" i="3" s="1"/>
  <c r="AD23" i="2"/>
  <c r="AD23" i="3" s="1"/>
  <c r="AB2" i="2"/>
  <c r="AB2" i="3" s="1"/>
  <c r="J4" i="2"/>
  <c r="J4" i="3" s="1"/>
  <c r="R5" i="2"/>
  <c r="R5" i="3" s="1"/>
  <c r="AA6" i="2"/>
  <c r="AA6" i="3" s="1"/>
  <c r="AE7" i="2"/>
  <c r="AE7" i="3" s="1"/>
  <c r="AF8" i="2"/>
  <c r="AF8" i="3" s="1"/>
  <c r="E10" i="2"/>
  <c r="E10" i="3" s="1"/>
  <c r="F11" i="2"/>
  <c r="F11" i="3" s="1"/>
  <c r="AF11" i="2"/>
  <c r="AF11" i="3" s="1"/>
  <c r="F13" i="2"/>
  <c r="F13" i="3" s="1"/>
  <c r="F14" i="2"/>
  <c r="F14" i="3" s="1"/>
  <c r="H15" i="2"/>
  <c r="H15" i="3" s="1"/>
  <c r="F16" i="2"/>
  <c r="F16" i="3" s="1"/>
  <c r="E17" i="2"/>
  <c r="E17" i="3" s="1"/>
  <c r="AB17" i="2"/>
  <c r="AB17" i="3" s="1"/>
  <c r="X18" i="2"/>
  <c r="X18" i="3" s="1"/>
  <c r="R19" i="2"/>
  <c r="R19" i="3" s="1"/>
  <c r="N20" i="2"/>
  <c r="N20" i="3" s="1"/>
  <c r="H21" i="2"/>
  <c r="H21" i="3" s="1"/>
  <c r="E22" i="2"/>
  <c r="E22" i="3" s="1"/>
  <c r="AA22" i="2"/>
  <c r="AA22" i="3" s="1"/>
  <c r="X23" i="2"/>
  <c r="X23" i="3" s="1"/>
  <c r="R24" i="2"/>
  <c r="R24" i="3" s="1"/>
  <c r="N25" i="2"/>
  <c r="N25" i="3" s="1"/>
  <c r="I26" i="2"/>
  <c r="I26" i="3" s="1"/>
  <c r="AF26" i="2"/>
  <c r="AF26" i="3" s="1"/>
  <c r="AB27" i="2"/>
  <c r="AB27" i="3" s="1"/>
  <c r="V28" i="2"/>
  <c r="V28" i="3" s="1"/>
  <c r="R29" i="2"/>
  <c r="R29" i="3" s="1"/>
  <c r="L30" i="2"/>
  <c r="L30" i="3" s="1"/>
  <c r="I31" i="2"/>
  <c r="I31" i="3" s="1"/>
  <c r="AE31" i="2"/>
  <c r="AE31" i="3" s="1"/>
  <c r="AB32" i="2"/>
  <c r="AB32" i="3" s="1"/>
  <c r="U33" i="2"/>
  <c r="U33" i="3" s="1"/>
  <c r="L34" i="2"/>
  <c r="L34" i="3" s="1"/>
  <c r="AF34" i="2"/>
  <c r="AF34" i="3" s="1"/>
  <c r="X35" i="2"/>
  <c r="X35" i="3" s="1"/>
  <c r="P36" i="2"/>
  <c r="P36" i="3" s="1"/>
  <c r="G37" i="2"/>
  <c r="G37" i="3" s="1"/>
  <c r="Z37" i="2"/>
  <c r="Z37" i="3" s="1"/>
  <c r="R38" i="2"/>
  <c r="R38" i="3" s="1"/>
  <c r="J39" i="2"/>
  <c r="J39" i="3" s="1"/>
  <c r="AD39" i="2"/>
  <c r="AD39" i="3" s="1"/>
  <c r="T40" i="2"/>
  <c r="T40" i="3" s="1"/>
  <c r="J41" i="2"/>
  <c r="J41" i="3" s="1"/>
  <c r="AC41" i="2"/>
  <c r="AC41" i="3" s="1"/>
  <c r="D18" i="2"/>
  <c r="D18" i="3" s="1"/>
  <c r="D36" i="2"/>
  <c r="D36" i="3" s="1"/>
  <c r="AD2" i="2"/>
  <c r="AD2" i="3" s="1"/>
  <c r="L4" i="2"/>
  <c r="L4" i="3" s="1"/>
  <c r="T5" i="2"/>
  <c r="T5" i="3" s="1"/>
  <c r="AB6" i="2"/>
  <c r="AB6" i="3" s="1"/>
  <c r="AF7" i="2"/>
  <c r="AF7" i="3" s="1"/>
  <c r="F9" i="2"/>
  <c r="F9" i="3" s="1"/>
  <c r="F10" i="2"/>
  <c r="F10" i="3" s="1"/>
  <c r="H11" i="2"/>
  <c r="H11" i="3" s="1"/>
  <c r="F12" i="2"/>
  <c r="F12" i="3" s="1"/>
  <c r="G13" i="2"/>
  <c r="G13" i="3" s="1"/>
  <c r="H14" i="2"/>
  <c r="H14" i="3" s="1"/>
  <c r="I15" i="2"/>
  <c r="I15" i="3" s="1"/>
  <c r="J16" i="2"/>
  <c r="J16" i="3" s="1"/>
  <c r="F17" i="2"/>
  <c r="F17" i="3" s="1"/>
  <c r="AD17" i="2"/>
  <c r="AD17" i="3" s="1"/>
  <c r="Y18" i="2"/>
  <c r="Y18" i="3" s="1"/>
  <c r="T19" i="2"/>
  <c r="T19" i="3" s="1"/>
  <c r="AB22" i="2"/>
  <c r="AB22" i="3" s="1"/>
  <c r="J26" i="2"/>
  <c r="J26" i="3" s="1"/>
  <c r="AC27" i="2"/>
  <c r="AC27" i="3" s="1"/>
  <c r="AF31" i="2"/>
  <c r="AF31" i="3" s="1"/>
  <c r="E35" i="2"/>
  <c r="E35" i="3" s="1"/>
  <c r="AB37" i="2"/>
  <c r="AB37" i="3" s="1"/>
  <c r="U40" i="2"/>
  <c r="U40" i="3" s="1"/>
  <c r="T20" i="2"/>
  <c r="T20" i="3" s="1"/>
  <c r="F3" i="2"/>
  <c r="F3" i="3" s="1"/>
  <c r="N4" i="2"/>
  <c r="N4" i="3" s="1"/>
  <c r="W5" i="2"/>
  <c r="W5" i="3" s="1"/>
  <c r="AD6" i="2"/>
  <c r="AD6" i="3" s="1"/>
  <c r="F8" i="2"/>
  <c r="F8" i="3" s="1"/>
  <c r="G9" i="2"/>
  <c r="G9" i="3" s="1"/>
  <c r="H10" i="2"/>
  <c r="H10" i="3" s="1"/>
  <c r="I11" i="2"/>
  <c r="I11" i="3" s="1"/>
  <c r="J12" i="2"/>
  <c r="J12" i="3" s="1"/>
  <c r="H13" i="2"/>
  <c r="H13" i="3" s="1"/>
  <c r="J14" i="2"/>
  <c r="J14" i="3" s="1"/>
  <c r="J15" i="2"/>
  <c r="J15" i="3" s="1"/>
  <c r="L16" i="2"/>
  <c r="L16" i="3" s="1"/>
  <c r="G17" i="2"/>
  <c r="G17" i="3" s="1"/>
  <c r="AF17" i="2"/>
  <c r="AF17" i="3" s="1"/>
  <c r="Z18" i="2"/>
  <c r="Z18" i="3" s="1"/>
  <c r="V19" i="2"/>
  <c r="V19" i="3" s="1"/>
  <c r="Q20" i="2"/>
  <c r="Q20" i="3" s="1"/>
  <c r="L21" i="2"/>
  <c r="L21" i="3" s="1"/>
  <c r="H22" i="2"/>
  <c r="H22" i="3" s="1"/>
  <c r="AD22" i="2"/>
  <c r="AD22" i="3" s="1"/>
  <c r="Z23" i="2"/>
  <c r="Z23" i="3" s="1"/>
  <c r="T24" i="2"/>
  <c r="T24" i="3" s="1"/>
  <c r="Q25" i="2"/>
  <c r="Q25" i="3" s="1"/>
  <c r="K26" i="2"/>
  <c r="K26" i="3" s="1"/>
  <c r="H27" i="2"/>
  <c r="H27" i="3" s="1"/>
  <c r="AD27" i="2"/>
  <c r="AD27" i="3" s="1"/>
  <c r="Z28" i="2"/>
  <c r="Z28" i="3" s="1"/>
  <c r="U29" i="2"/>
  <c r="U29" i="3" s="1"/>
  <c r="P30" i="2"/>
  <c r="P30" i="3" s="1"/>
  <c r="L31" i="2"/>
  <c r="L31" i="3" s="1"/>
  <c r="F32" i="2"/>
  <c r="F32" i="3" s="1"/>
  <c r="AD32" i="2"/>
  <c r="AD32" i="3" s="1"/>
  <c r="W33" i="2"/>
  <c r="W33" i="3" s="1"/>
  <c r="N34" i="2"/>
  <c r="N34" i="3" s="1"/>
  <c r="F35" i="2"/>
  <c r="F35" i="3" s="1"/>
  <c r="Z35" i="2"/>
  <c r="Z35" i="3" s="1"/>
  <c r="R36" i="2"/>
  <c r="R36" i="3" s="1"/>
  <c r="I37" i="2"/>
  <c r="I37" i="3" s="1"/>
  <c r="AC37" i="2"/>
  <c r="AC37" i="3" s="1"/>
  <c r="U38" i="2"/>
  <c r="U38" i="3" s="1"/>
  <c r="M39" i="2"/>
  <c r="M39" i="3" s="1"/>
  <c r="AF39" i="2"/>
  <c r="AF39" i="3" s="1"/>
  <c r="V40" i="2"/>
  <c r="V40" i="3" s="1"/>
  <c r="M41" i="2"/>
  <c r="M41" i="3" s="1"/>
  <c r="AF41" i="2"/>
  <c r="AF41" i="3" s="1"/>
  <c r="D20" i="2"/>
  <c r="D20" i="3" s="1"/>
  <c r="D38" i="2"/>
  <c r="D38" i="3" s="1"/>
  <c r="D39" i="2"/>
  <c r="D39" i="3" s="1"/>
  <c r="J3" i="2"/>
  <c r="J3" i="3" s="1"/>
  <c r="Z5" i="2"/>
  <c r="Z5" i="3" s="1"/>
  <c r="L8" i="2"/>
  <c r="L8" i="3" s="1"/>
  <c r="L11" i="2"/>
  <c r="L11" i="3" s="1"/>
  <c r="N13" i="2"/>
  <c r="N13" i="3" s="1"/>
  <c r="N15" i="2"/>
  <c r="N15" i="3" s="1"/>
  <c r="J17" i="2"/>
  <c r="J17" i="3" s="1"/>
  <c r="AB18" i="2"/>
  <c r="AB18" i="3" s="1"/>
  <c r="S20" i="2"/>
  <c r="S20" i="3" s="1"/>
  <c r="J22" i="2"/>
  <c r="J22" i="3" s="1"/>
  <c r="X24" i="2"/>
  <c r="X24" i="3" s="1"/>
  <c r="N26" i="2"/>
  <c r="N26" i="3" s="1"/>
  <c r="J27" i="2"/>
  <c r="J27" i="3" s="1"/>
  <c r="AC28" i="2"/>
  <c r="AC28" i="3" s="1"/>
  <c r="T30" i="2"/>
  <c r="T30" i="3" s="1"/>
  <c r="J32" i="2"/>
  <c r="J32" i="3" s="1"/>
  <c r="Y33" i="2"/>
  <c r="Y33" i="3" s="1"/>
  <c r="I35" i="2"/>
  <c r="I35" i="3" s="1"/>
  <c r="AC35" i="2"/>
  <c r="AC35" i="3" s="1"/>
  <c r="AF37" i="2"/>
  <c r="AF37" i="3" s="1"/>
  <c r="O39" i="2"/>
  <c r="O39" i="3" s="1"/>
  <c r="Y40" i="2"/>
  <c r="Y40" i="3" s="1"/>
  <c r="D4" i="2"/>
  <c r="D4" i="3" s="1"/>
  <c r="D40" i="2"/>
  <c r="D40" i="3" s="1"/>
  <c r="H3" i="2"/>
  <c r="H3" i="3" s="1"/>
  <c r="P4" i="2"/>
  <c r="P4" i="3" s="1"/>
  <c r="X5" i="2"/>
  <c r="X5" i="3" s="1"/>
  <c r="F7" i="2"/>
  <c r="F7" i="3" s="1"/>
  <c r="J8" i="2"/>
  <c r="J8" i="3" s="1"/>
  <c r="H9" i="2"/>
  <c r="H9" i="3" s="1"/>
  <c r="J10" i="2"/>
  <c r="J10" i="3" s="1"/>
  <c r="J11" i="2"/>
  <c r="J11" i="3" s="1"/>
  <c r="L12" i="2"/>
  <c r="L12" i="3" s="1"/>
  <c r="J13" i="2"/>
  <c r="J13" i="3" s="1"/>
  <c r="K14" i="2"/>
  <c r="K14" i="3" s="1"/>
  <c r="L15" i="2"/>
  <c r="L15" i="3" s="1"/>
  <c r="M16" i="2"/>
  <c r="M16" i="3" s="1"/>
  <c r="H17" i="2"/>
  <c r="H17" i="3" s="1"/>
  <c r="E18" i="2"/>
  <c r="E18" i="3" s="1"/>
  <c r="AA18" i="2"/>
  <c r="AA18" i="3" s="1"/>
  <c r="X19" i="2"/>
  <c r="X19" i="3" s="1"/>
  <c r="R20" i="2"/>
  <c r="R20" i="3" s="1"/>
  <c r="N21" i="2"/>
  <c r="N21" i="3" s="1"/>
  <c r="I22" i="2"/>
  <c r="I22" i="3" s="1"/>
  <c r="AF22" i="2"/>
  <c r="AF22" i="3" s="1"/>
  <c r="AB23" i="2"/>
  <c r="AB23" i="3" s="1"/>
  <c r="V24" i="2"/>
  <c r="V24" i="3" s="1"/>
  <c r="R25" i="2"/>
  <c r="R25" i="3" s="1"/>
  <c r="L26" i="2"/>
  <c r="L26" i="3" s="1"/>
  <c r="I27" i="2"/>
  <c r="I27" i="3" s="1"/>
  <c r="AE27" i="2"/>
  <c r="AE27" i="3" s="1"/>
  <c r="AB28" i="2"/>
  <c r="AB28" i="3" s="1"/>
  <c r="V29" i="2"/>
  <c r="V29" i="3" s="1"/>
  <c r="R30" i="2"/>
  <c r="R30" i="3" s="1"/>
  <c r="M31" i="2"/>
  <c r="M31" i="3" s="1"/>
  <c r="H32" i="2"/>
  <c r="H32" i="3" s="1"/>
  <c r="AF32" i="2"/>
  <c r="AF32" i="3" s="1"/>
  <c r="X33" i="2"/>
  <c r="X33" i="3" s="1"/>
  <c r="P34" i="2"/>
  <c r="P34" i="3" s="1"/>
  <c r="H35" i="2"/>
  <c r="H35" i="3" s="1"/>
  <c r="AB35" i="2"/>
  <c r="AB35" i="3" s="1"/>
  <c r="S36" i="2"/>
  <c r="S36" i="3" s="1"/>
  <c r="J37" i="2"/>
  <c r="J37" i="3" s="1"/>
  <c r="AD37" i="2"/>
  <c r="AD37" i="3" s="1"/>
  <c r="V38" i="2"/>
  <c r="V38" i="3" s="1"/>
  <c r="N39" i="2"/>
  <c r="N39" i="3" s="1"/>
  <c r="E40" i="2"/>
  <c r="E40" i="3" s="1"/>
  <c r="X40" i="2"/>
  <c r="X40" i="3" s="1"/>
  <c r="N41" i="2"/>
  <c r="N41" i="3" s="1"/>
  <c r="D3" i="2"/>
  <c r="D3" i="3" s="1"/>
  <c r="D21" i="2"/>
  <c r="D21" i="3" s="1"/>
  <c r="S4" i="2"/>
  <c r="S4" i="3" s="1"/>
  <c r="H7" i="2"/>
  <c r="H7" i="3" s="1"/>
  <c r="J9" i="2"/>
  <c r="J9" i="3" s="1"/>
  <c r="K10" i="2"/>
  <c r="K10" i="3" s="1"/>
  <c r="M12" i="2"/>
  <c r="M12" i="3" s="1"/>
  <c r="L14" i="2"/>
  <c r="L14" i="3" s="1"/>
  <c r="N16" i="2"/>
  <c r="N16" i="3" s="1"/>
  <c r="F18" i="2"/>
  <c r="F18" i="3" s="1"/>
  <c r="Y19" i="2"/>
  <c r="Y19" i="3" s="1"/>
  <c r="P21" i="2"/>
  <c r="P21" i="3" s="1"/>
  <c r="F23" i="2"/>
  <c r="F23" i="3" s="1"/>
  <c r="AC23" i="2"/>
  <c r="AC23" i="3" s="1"/>
  <c r="T25" i="2"/>
  <c r="T25" i="3" s="1"/>
  <c r="AF27" i="2"/>
  <c r="AF27" i="3" s="1"/>
  <c r="W29" i="2"/>
  <c r="W29" i="3" s="1"/>
  <c r="N31" i="2"/>
  <c r="N31" i="3" s="1"/>
  <c r="E33" i="2"/>
  <c r="E33" i="3" s="1"/>
  <c r="Q34" i="2"/>
  <c r="Q34" i="3" s="1"/>
  <c r="T36" i="2"/>
  <c r="T36" i="3" s="1"/>
  <c r="L37" i="2"/>
  <c r="L37" i="3" s="1"/>
  <c r="X38" i="2"/>
  <c r="X38" i="3" s="1"/>
  <c r="F40" i="2"/>
  <c r="F40" i="3" s="1"/>
  <c r="P41" i="2"/>
  <c r="P41" i="3" s="1"/>
  <c r="D22" i="2"/>
  <c r="D22" i="3" s="1"/>
  <c r="O15" i="2"/>
  <c r="O15" i="3" s="1"/>
  <c r="K22" i="2"/>
  <c r="K22" i="3" s="1"/>
  <c r="O3" i="2"/>
  <c r="O3" i="3" s="1"/>
  <c r="V4" i="2"/>
  <c r="V4" i="3" s="1"/>
  <c r="AF5" i="2"/>
  <c r="AF5" i="3" s="1"/>
  <c r="J7" i="2"/>
  <c r="J7" i="3" s="1"/>
  <c r="N8" i="2"/>
  <c r="N8" i="3" s="1"/>
  <c r="P9" i="2"/>
  <c r="P9" i="3" s="1"/>
  <c r="N10" i="2"/>
  <c r="N10" i="3" s="1"/>
  <c r="O11" i="2"/>
  <c r="O11" i="3" s="1"/>
  <c r="P12" i="2"/>
  <c r="P12" i="3" s="1"/>
  <c r="Q13" i="2"/>
  <c r="Q13" i="3" s="1"/>
  <c r="R14" i="2"/>
  <c r="R14" i="3" s="1"/>
  <c r="P15" i="2"/>
  <c r="P15" i="3" s="1"/>
  <c r="R16" i="2"/>
  <c r="R16" i="3" s="1"/>
  <c r="N17" i="2"/>
  <c r="N17" i="3" s="1"/>
  <c r="I18" i="2"/>
  <c r="I18" i="3" s="1"/>
  <c r="AF18" i="2"/>
  <c r="AF18" i="3" s="1"/>
  <c r="AB19" i="2"/>
  <c r="AB19" i="3" s="1"/>
  <c r="V20" i="2"/>
  <c r="V20" i="3" s="1"/>
  <c r="R21" i="2"/>
  <c r="R21" i="3" s="1"/>
  <c r="L22" i="2"/>
  <c r="L22" i="3" s="1"/>
  <c r="I23" i="2"/>
  <c r="I23" i="3" s="1"/>
  <c r="AE23" i="2"/>
  <c r="AE23" i="3" s="1"/>
  <c r="AB24" i="2"/>
  <c r="AB24" i="3" s="1"/>
  <c r="V25" i="2"/>
  <c r="V25" i="3" s="1"/>
  <c r="R26" i="2"/>
  <c r="R26" i="3" s="1"/>
  <c r="M27" i="2"/>
  <c r="M27" i="3" s="1"/>
  <c r="P3" i="2"/>
  <c r="P3" i="3" s="1"/>
  <c r="AC19" i="2"/>
  <c r="AC19" i="3" s="1"/>
  <c r="AF28" i="2"/>
  <c r="AF28" i="3" s="1"/>
  <c r="H33" i="2"/>
  <c r="H33" i="3" s="1"/>
  <c r="Z36" i="2"/>
  <c r="Z36" i="3" s="1"/>
  <c r="U39" i="2"/>
  <c r="U39" i="3" s="1"/>
  <c r="D9" i="2"/>
  <c r="D9" i="3" s="1"/>
  <c r="AC33" i="2"/>
  <c r="AC33" i="3" s="1"/>
  <c r="R34" i="2"/>
  <c r="R34" i="3" s="1"/>
  <c r="Z40" i="2"/>
  <c r="Z40" i="3" s="1"/>
  <c r="U34" i="2"/>
  <c r="U34" i="3" s="1"/>
  <c r="L35" i="2"/>
  <c r="L35" i="3" s="1"/>
  <c r="Q41" i="2"/>
  <c r="Q41" i="3" s="1"/>
  <c r="R15" i="2"/>
  <c r="R15" i="3" s="1"/>
  <c r="P17" i="2"/>
  <c r="P17" i="3" s="1"/>
  <c r="F19" i="2"/>
  <c r="F19" i="3" s="1"/>
  <c r="Z4" i="2"/>
  <c r="Z4" i="3" s="1"/>
  <c r="X20" i="2"/>
  <c r="X20" i="3" s="1"/>
  <c r="E29" i="2"/>
  <c r="E29" i="3" s="1"/>
  <c r="Z33" i="2"/>
  <c r="Z33" i="3" s="1"/>
  <c r="M37" i="2"/>
  <c r="M37" i="3" s="1"/>
  <c r="H40" i="2"/>
  <c r="H40" i="3" s="1"/>
  <c r="D23" i="2"/>
  <c r="D23" i="3" s="1"/>
  <c r="N37" i="2"/>
  <c r="N37" i="3" s="1"/>
  <c r="D24" i="2"/>
  <c r="D24" i="3" s="1"/>
  <c r="P37" i="2"/>
  <c r="P37" i="3" s="1"/>
  <c r="J23" i="2"/>
  <c r="J23" i="3" s="1"/>
  <c r="U30" i="2"/>
  <c r="U30" i="3" s="1"/>
  <c r="D41" i="2"/>
  <c r="D41" i="3" s="1"/>
  <c r="AB40" i="2"/>
  <c r="AB40" i="3" s="1"/>
  <c r="O31" i="2"/>
  <c r="O31" i="3" s="1"/>
  <c r="AD35" i="2"/>
  <c r="AD35" i="3" s="1"/>
  <c r="AF35" i="2"/>
  <c r="AF35" i="3" s="1"/>
  <c r="Q39" i="2"/>
  <c r="Q39" i="3" s="1"/>
  <c r="F6" i="2"/>
  <c r="F6" i="3" s="1"/>
  <c r="T21" i="2"/>
  <c r="T21" i="3" s="1"/>
  <c r="X29" i="2"/>
  <c r="X29" i="3" s="1"/>
  <c r="AB33" i="2"/>
  <c r="AB33" i="3" s="1"/>
  <c r="I40" i="2"/>
  <c r="I40" i="3" s="1"/>
  <c r="D25" i="2"/>
  <c r="D25" i="3" s="1"/>
  <c r="AB29" i="2"/>
  <c r="AB29" i="3" s="1"/>
  <c r="M40" i="2"/>
  <c r="M40" i="3" s="1"/>
  <c r="T34" i="2"/>
  <c r="T34" i="3" s="1"/>
  <c r="V30" i="2"/>
  <c r="V30" i="3" s="1"/>
  <c r="H38" i="2"/>
  <c r="H38" i="3" s="1"/>
  <c r="J38" i="2"/>
  <c r="J38" i="3" s="1"/>
  <c r="Z38" i="2"/>
  <c r="Z38" i="3" s="1"/>
  <c r="F28" i="2"/>
  <c r="F28" i="3" s="1"/>
  <c r="U36" i="2"/>
  <c r="U36" i="3" s="1"/>
  <c r="L7" i="2"/>
  <c r="L7" i="3" s="1"/>
  <c r="N22" i="2"/>
  <c r="N22" i="3" s="1"/>
  <c r="Z29" i="2"/>
  <c r="Z29" i="3" s="1"/>
  <c r="J40" i="2"/>
  <c r="J40" i="3" s="1"/>
  <c r="D27" i="2"/>
  <c r="D27" i="3" s="1"/>
  <c r="E38" i="2"/>
  <c r="E38" i="3" s="1"/>
  <c r="AC24" i="2"/>
  <c r="AC24" i="3" s="1"/>
  <c r="AC40" i="2"/>
  <c r="AC40" i="3" s="1"/>
  <c r="P31" i="2"/>
  <c r="P31" i="3" s="1"/>
  <c r="R41" i="2"/>
  <c r="R41" i="3" s="1"/>
  <c r="AC38" i="2"/>
  <c r="AC38" i="3" s="1"/>
  <c r="J28" i="2"/>
  <c r="J28" i="3" s="1"/>
  <c r="R39" i="2"/>
  <c r="R39" i="3" s="1"/>
  <c r="P8" i="2"/>
  <c r="P8" i="3" s="1"/>
  <c r="R37" i="2"/>
  <c r="R37" i="3" s="1"/>
  <c r="F38" i="2"/>
  <c r="F38" i="3" s="1"/>
  <c r="P26" i="2"/>
  <c r="P26" i="3" s="1"/>
  <c r="R31" i="2"/>
  <c r="R31" i="3" s="1"/>
  <c r="M32" i="2"/>
  <c r="M32" i="3" s="1"/>
  <c r="V36" i="2"/>
  <c r="V36" i="3" s="1"/>
  <c r="Q9" i="2"/>
  <c r="Q9" i="3" s="1"/>
  <c r="AF23" i="2"/>
  <c r="AF23" i="3" s="1"/>
  <c r="X30" i="2"/>
  <c r="X30" i="3" s="1"/>
  <c r="M35" i="2"/>
  <c r="M35" i="3" s="1"/>
  <c r="S41" i="2"/>
  <c r="S41" i="3" s="1"/>
  <c r="P39" i="2"/>
  <c r="P39" i="3" s="1"/>
  <c r="AD28" i="2"/>
  <c r="AD28" i="3" s="1"/>
  <c r="R10" i="2"/>
  <c r="R10" i="3" s="1"/>
  <c r="D2" i="2"/>
  <c r="D2" i="3" s="1"/>
  <c r="L27" i="2"/>
  <c r="L27" i="3" s="1"/>
  <c r="S16" i="2"/>
  <c r="S16" i="3" s="1"/>
  <c r="D5" i="2"/>
  <c r="D5" i="3" s="1"/>
  <c r="G33" i="2"/>
  <c r="G33" i="3" s="1"/>
  <c r="P11" i="2"/>
  <c r="P11" i="3" s="1"/>
  <c r="W25" i="2"/>
  <c r="W25" i="3" s="1"/>
  <c r="J35" i="2"/>
  <c r="J35" i="3" s="1"/>
  <c r="AE40" i="2"/>
  <c r="AE40" i="3" s="1"/>
  <c r="AA38" i="2"/>
  <c r="AA38" i="3" s="1"/>
  <c r="N32" i="2"/>
  <c r="N32" i="3" s="1"/>
  <c r="R12" i="2"/>
  <c r="R12" i="3" s="1"/>
  <c r="J18" i="2"/>
  <c r="J18" i="3" s="1"/>
  <c r="R13" i="2"/>
  <c r="R13" i="3" s="1"/>
  <c r="T26" i="2"/>
  <c r="T26" i="3" s="1"/>
  <c r="Y38" i="2"/>
  <c r="Y38" i="3" s="1"/>
  <c r="AE35" i="2"/>
  <c r="AE35" i="3" s="1"/>
  <c r="H28" i="2"/>
  <c r="H28" i="3" s="1"/>
  <c r="T14" i="2"/>
  <c r="T14" i="3" s="1"/>
  <c r="L32" i="2"/>
  <c r="L32" i="3" s="1"/>
  <c r="U41" i="2"/>
  <c r="U41" i="3" s="1"/>
  <c r="D6" i="2"/>
  <c r="D6" i="3" s="1"/>
  <c r="X36" i="2"/>
  <c r="X36" i="3" s="1"/>
  <c r="N27" i="2"/>
  <c r="N27" i="3" s="1"/>
  <c r="F33" i="2"/>
  <c r="F33" i="3" s="1"/>
  <c r="D7" i="2"/>
  <c r="D7" i="3" s="1"/>
  <c r="B2" i="3"/>
  <c r="B9" i="3"/>
  <c r="B6" i="3"/>
  <c r="B40" i="3"/>
  <c r="B4" i="3"/>
  <c r="B8" i="3"/>
  <c r="B23" i="3"/>
  <c r="B21" i="3"/>
  <c r="B19" i="3"/>
  <c r="B26" i="3"/>
  <c r="B22" i="3"/>
  <c r="B10" i="3"/>
  <c r="B34" i="3"/>
  <c r="B17" i="3"/>
  <c r="B18" i="3"/>
  <c r="B16" i="3"/>
  <c r="B24" i="3"/>
  <c r="B20" i="3"/>
  <c r="B33" i="3"/>
  <c r="B31" i="3"/>
  <c r="B15" i="3"/>
  <c r="B41" i="3"/>
  <c r="B3" i="3"/>
  <c r="B14" i="3"/>
  <c r="B25" i="3"/>
  <c r="B7" i="3"/>
  <c r="B38" i="3"/>
  <c r="B36" i="3"/>
  <c r="B35" i="3"/>
  <c r="B32" i="3"/>
  <c r="B30" i="3"/>
  <c r="B29" i="3"/>
  <c r="B13" i="3"/>
  <c r="B39" i="3"/>
  <c r="B37" i="3"/>
  <c r="B28" i="3"/>
  <c r="B12" i="3"/>
  <c r="B5" i="3"/>
  <c r="B27" i="3"/>
  <c r="B1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<sst xmlns="http://schemas.openxmlformats.org/spreadsheetml/2006/main" count="137" uniqueCount="66">
  <si>
    <t>Metric Name</t>
  </si>
  <si>
    <t>Net Income/Loss</t>
  </si>
  <si>
    <t>Total Depreciation And Amortization - Cash Flow</t>
  </si>
  <si>
    <t>Other Non-Cash Items</t>
  </si>
  <si>
    <t>Total Non-Cash Items</t>
  </si>
  <si>
    <t>Change In Accounts Receivable</t>
  </si>
  <si>
    <t>Change In Inventories</t>
  </si>
  <si>
    <t>Change In Accounts Payable</t>
  </si>
  <si>
    <t>Change In Assets/Liabilities</t>
  </si>
  <si>
    <t>Total Change In Assets/Liabilities</t>
  </si>
  <si>
    <t>Cash Flow From Operating Activities</t>
  </si>
  <si>
    <t>Net Change In Property, Plant, And Equipment</t>
  </si>
  <si>
    <t>Net Change In Intangible Assets</t>
  </si>
  <si>
    <t>Net Acquisitions/Divestitures</t>
  </si>
  <si>
    <t>Net Change In Short-term Investments</t>
  </si>
  <si>
    <t>Net Change In Long-Term Investments</t>
  </si>
  <si>
    <t>Net Change In Investments - Total</t>
  </si>
  <si>
    <t>Investing Activities - Other</t>
  </si>
  <si>
    <t>Cash Flow From Investing Activities</t>
  </si>
  <si>
    <t>Net Long-Term Debt</t>
  </si>
  <si>
    <t>Net Current Debt</t>
  </si>
  <si>
    <t>Debt Issuance/Retirement Net - Total</t>
  </si>
  <si>
    <t>Net Common Equity Issued/Repurchased</t>
  </si>
  <si>
    <t>Net Total Equity Issued/Repurchased</t>
  </si>
  <si>
    <t>Total Common And Preferred Stock Dividends Paid</t>
  </si>
  <si>
    <t>Financial Activities - Other</t>
  </si>
  <si>
    <t>Cash Flow From Financial Activities</t>
  </si>
  <si>
    <t>Net Cash Flow</t>
  </si>
  <si>
    <t>Stock-Based Compensation</t>
  </si>
  <si>
    <t>Common Stock Dividends Paid</t>
  </si>
  <si>
    <t>NET_INCOME</t>
  </si>
  <si>
    <t>OTHER_NONCASH</t>
  </si>
  <si>
    <t>TOTAL_NONCASH</t>
  </si>
  <si>
    <t>OPERATING_CASHFLOW</t>
  </si>
  <si>
    <t>CHANGE_AR</t>
  </si>
  <si>
    <t>CHANGE_INVENTORY</t>
  </si>
  <si>
    <t>CHANGE_AP</t>
  </si>
  <si>
    <t>CHANGE_ASSETS_LIABILITIES</t>
  </si>
  <si>
    <t>NET_CHANGE_PPE</t>
  </si>
  <si>
    <t>NET_CHANGE_INTANGIBLE_ASSETS</t>
  </si>
  <si>
    <t>NET_AQUISITIONS_DIVESTITURES</t>
  </si>
  <si>
    <t>NET_CHANGE_SHORT_INVESTMENTS</t>
  </si>
  <si>
    <t>NET_CHANGE_LONG_INVESTMENTS</t>
  </si>
  <si>
    <t>NET_CHANGE_TOTAL_INVESTMENTS</t>
  </si>
  <si>
    <t>OTHER_INVESTING_ACTIVITIES</t>
  </si>
  <si>
    <t>INVESTING_ACTIVITIES_CASHFLOW</t>
  </si>
  <si>
    <t>NET_LONG_DEBT</t>
  </si>
  <si>
    <t>NET_CURRENT_DEBT</t>
  </si>
  <si>
    <t>NET_TOTAL_DEBT_ISSUANCE_RETIREMENT</t>
  </si>
  <si>
    <t>NET_COMMON_EQUITY_ISSUES_REPURCHASED</t>
  </si>
  <si>
    <t>NET_TOTAL_EQUITY_ISSUED_REPURCHASED</t>
  </si>
  <si>
    <t>TOTAL_COMMON_PERFERED_DIVIDENDS_PAID</t>
  </si>
  <si>
    <t>OTHER_FINANCIAL_ACTIVITIES</t>
  </si>
  <si>
    <t>CASHFLOW_FINANCIAL_ACTIVITIES</t>
  </si>
  <si>
    <t>NET_CASHFLOW</t>
  </si>
  <si>
    <t>STOCK_BASED_COMPENSATION</t>
  </si>
  <si>
    <t>COMMON_STOCK_DIVIDENDS_PAID</t>
  </si>
  <si>
    <t>D_A</t>
  </si>
  <si>
    <t>TICKER</t>
  </si>
  <si>
    <t>ASOF_DATE</t>
  </si>
  <si>
    <t>YR</t>
  </si>
  <si>
    <t>KO</t>
  </si>
  <si>
    <t>SOURCE_FILE</t>
  </si>
  <si>
    <t>LOAD_BATCH_ID</t>
  </si>
  <si>
    <t>LOADED_AT</t>
  </si>
  <si>
    <t>TOTAL_CHANGE_IN_ASSETS_LIABILITIES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</si>
</sst>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64" fontId="0" fillId="0" borderId="0" xfId="1" applyNumberFormat="1" applyFont="1"/>
    <xf numFmtId="0" fontId="18" fillId="0" borderId="0" xfId="0" applyFont="1" applyAlignment="1">
      <alignment horizontal="center"/>
    </xf>
    <xf numFmtId="14" fontId="18" fillId="0" borderId="0" xfId="0" applyNumberFormat="1" applyFont="1" applyAlignment="1">
      <alignment horizontal="center"/>
    </xf>
    <xf numFmtId="0" fontId="16" fillId="0" borderId="10" xfId="0" applyFont="1" applyBorder="1"/>
    <xf numFmtId="164" fontId="16" fillId="0" borderId="10" xfId="1" applyNumberFormat="1" applyFont="1" applyBorder="1"/>
    <xf numFmtId="14" fontId="0" fillId="0" borderId="0" xfId="0" applyNumberFormat="1" applyAlignment="1">
      <alignment horizontal="center"/>
    </xf>
    <xf numFmtId="0" fontId="16" fillId="0" borderId="11" xfId="0" applyFont="1" applyBorder="1" applyAlignment="1">
      <alignment horizontal="center"/>
    </xf>
    <xf numFmtId="22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2B207-CF21-4320-BEEE-242110A52309}">
  <dimension ref="A1:AO39"/>
  <sheetViews>
    <sheetView showGridLines="0" workbookViewId="0">
      <selection activeCell="B4" sqref="B4:AO29"/>
    </sheetView>
  </sheetViews>
  <sheetFormatPr defaultColWidth="20.7109375" defaultRowHeight="15" x14ac:dyDescent="0.25"/>
  <cols>
    <col min="1" max="1" width="46" bestFit="1" customWidth="1"/>
    <col min="2" max="4" width="18" bestFit="1" customWidth="1"/>
    <col min="5" max="16" width="16.85546875" bestFit="1" customWidth="1"/>
    <col min="17" max="17" width="18" bestFit="1" customWidth="1"/>
    <col min="18" max="39" width="16.85546875" bestFit="1" customWidth="1"/>
    <col min="40" max="41" width="15.28515625" bestFit="1" customWidth="1"/>
  </cols>
  <sheetData>
    <row r="1" spans="1:41" x14ac:dyDescent="0.25">
      <c r="B1" s="4">
        <f>YEAR(B2)</f>
        <v>2025</v>
      </c>
      <c r="C1" s="4">
        <f t="shared" ref="C1:AO1" si="0">YEAR(C2)</f>
        <v>2024</v>
      </c>
      <c r="D1" s="4">
        <f t="shared" si="0"/>
        <v>2023</v>
      </c>
      <c r="E1" s="4">
        <f t="shared" si="0"/>
        <v>2022</v>
      </c>
      <c r="F1" s="4">
        <f t="shared" si="0"/>
        <v>2021</v>
      </c>
      <c r="G1" s="4">
        <f t="shared" si="0"/>
        <v>2020</v>
      </c>
      <c r="H1" s="4">
        <f t="shared" si="0"/>
        <v>2019</v>
      </c>
      <c r="I1" s="4">
        <f t="shared" si="0"/>
        <v>2018</v>
      </c>
      <c r="J1" s="4">
        <f t="shared" si="0"/>
        <v>2017</v>
      </c>
      <c r="K1" s="4">
        <f t="shared" si="0"/>
        <v>2016</v>
      </c>
      <c r="L1" s="4">
        <f t="shared" si="0"/>
        <v>2015</v>
      </c>
      <c r="M1" s="4">
        <f t="shared" si="0"/>
        <v>2014</v>
      </c>
      <c r="N1" s="4">
        <f t="shared" si="0"/>
        <v>2013</v>
      </c>
      <c r="O1" s="4">
        <f t="shared" si="0"/>
        <v>2012</v>
      </c>
      <c r="P1" s="4">
        <f t="shared" si="0"/>
        <v>2011</v>
      </c>
      <c r="Q1" s="4">
        <f t="shared" si="0"/>
        <v>2010</v>
      </c>
      <c r="R1" s="4">
        <f t="shared" si="0"/>
        <v>2009</v>
      </c>
      <c r="S1" s="4">
        <f t="shared" si="0"/>
        <v>2008</v>
      </c>
      <c r="T1" s="4">
        <f t="shared" si="0"/>
        <v>2007</v>
      </c>
      <c r="U1" s="4">
        <f t="shared" si="0"/>
        <v>2006</v>
      </c>
      <c r="V1" s="4">
        <f t="shared" si="0"/>
        <v>2005</v>
      </c>
      <c r="W1" s="4">
        <f t="shared" si="0"/>
        <v>2004</v>
      </c>
      <c r="X1" s="4">
        <f t="shared" si="0"/>
        <v>2003</v>
      </c>
      <c r="Y1" s="4">
        <f t="shared" si="0"/>
        <v>2002</v>
      </c>
      <c r="Z1" s="4">
        <f t="shared" si="0"/>
        <v>2001</v>
      </c>
      <c r="AA1" s="4">
        <f t="shared" si="0"/>
        <v>2000</v>
      </c>
      <c r="AB1" s="4">
        <f t="shared" si="0"/>
        <v>1999</v>
      </c>
      <c r="AC1" s="4">
        <f t="shared" si="0"/>
        <v>1998</v>
      </c>
      <c r="AD1" s="4">
        <f t="shared" si="0"/>
        <v>1997</v>
      </c>
      <c r="AE1" s="4">
        <f t="shared" si="0"/>
        <v>1996</v>
      </c>
      <c r="AF1" s="4">
        <f t="shared" si="0"/>
        <v>1995</v>
      </c>
      <c r="AG1" s="4">
        <f t="shared" si="0"/>
        <v>1994</v>
      </c>
      <c r="AH1" s="4">
        <f t="shared" si="0"/>
        <v>1993</v>
      </c>
      <c r="AI1" s="4">
        <f t="shared" si="0"/>
        <v>1992</v>
      </c>
      <c r="AJ1" s="4">
        <f t="shared" si="0"/>
        <v>1991</v>
      </c>
      <c r="AK1" s="4">
        <f t="shared" si="0"/>
        <v>1990</v>
      </c>
      <c r="AL1" s="4">
        <f t="shared" si="0"/>
        <v>1989</v>
      </c>
      <c r="AM1" s="4">
        <f t="shared" si="0"/>
        <v>1988</v>
      </c>
      <c r="AN1" s="4">
        <f t="shared" si="0"/>
        <v>1987</v>
      </c>
      <c r="AO1" s="4">
        <f t="shared" si="0"/>
        <v>1986</v>
      </c>
    </row>
    <row r="2" spans="1:41" x14ac:dyDescent="0.25">
      <c r="A2" t="s">
        <v>0</v>
      </c>
      <c r="B2" s="5">
        <v>46022</v>
      </c>
      <c r="C2" s="5">
        <v>45657</v>
      </c>
      <c r="D2" s="5">
        <v>45291</v>
      </c>
      <c r="E2" s="5">
        <v>44926</v>
      </c>
      <c r="F2" s="5">
        <v>44561</v>
      </c>
      <c r="G2" s="5">
        <v>44196</v>
      </c>
      <c r="H2" s="5">
        <v>43830</v>
      </c>
      <c r="I2" s="5">
        <v>43465</v>
      </c>
      <c r="J2" s="5">
        <v>43100</v>
      </c>
      <c r="K2" s="5">
        <v>42735</v>
      </c>
      <c r="L2" s="5">
        <v>42369</v>
      </c>
      <c r="M2" s="5">
        <v>42004</v>
      </c>
      <c r="N2" s="5">
        <v>41639</v>
      </c>
      <c r="O2" s="5">
        <v>41274</v>
      </c>
      <c r="P2" s="5">
        <v>40908</v>
      </c>
      <c r="Q2" s="5">
        <v>40543</v>
      </c>
      <c r="R2" s="5">
        <v>40178</v>
      </c>
      <c r="S2" s="5">
        <v>39813</v>
      </c>
      <c r="T2" s="5">
        <v>39447</v>
      </c>
      <c r="U2" s="5">
        <v>39082</v>
      </c>
      <c r="V2" s="5">
        <v>38717</v>
      </c>
      <c r="W2" s="5">
        <v>38352</v>
      </c>
      <c r="X2" s="5">
        <v>37986</v>
      </c>
      <c r="Y2" s="5">
        <v>37621</v>
      </c>
      <c r="Z2" s="5">
        <v>37256</v>
      </c>
      <c r="AA2" s="5">
        <v>36891</v>
      </c>
      <c r="AB2" s="5">
        <v>36525</v>
      </c>
      <c r="AC2" s="5">
        <v>36160</v>
      </c>
      <c r="AD2" s="5">
        <v>35795</v>
      </c>
      <c r="AE2" s="5">
        <v>35430</v>
      </c>
      <c r="AF2" s="5">
        <v>35064</v>
      </c>
      <c r="AG2" s="5">
        <v>34699</v>
      </c>
      <c r="AH2" s="5">
        <v>34334</v>
      </c>
      <c r="AI2" s="5">
        <v>33969</v>
      </c>
      <c r="AJ2" s="5">
        <v>33603</v>
      </c>
      <c r="AK2" s="5">
        <v>33238</v>
      </c>
      <c r="AL2" s="5">
        <v>32873</v>
      </c>
      <c r="AM2" s="5">
        <v>32508</v>
      </c>
      <c r="AN2" s="5">
        <v>32142</v>
      </c>
      <c r="AO2" s="5">
        <v>31777</v>
      </c>
    </row>
    <row r="3" spans="1:41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 x14ac:dyDescent="0.25">
      <c r="A4" t="s">
        <v>1</v>
      </c>
      <c r="B4" s="3">
        <v>13137000000</v>
      </c>
      <c r="C4" s="3">
        <v>10649000000</v>
      </c>
      <c r="D4" s="3">
        <v>10703000000</v>
      </c>
      <c r="E4" s="3">
        <v>9571000000</v>
      </c>
      <c r="F4" s="3">
        <v>9804000000</v>
      </c>
      <c r="G4" s="3">
        <v>7768000000</v>
      </c>
      <c r="H4" s="3">
        <v>8985000000</v>
      </c>
      <c r="I4" s="3">
        <v>6476000000</v>
      </c>
      <c r="J4" s="3">
        <v>1283000000</v>
      </c>
      <c r="K4" s="3">
        <v>6550000000</v>
      </c>
      <c r="L4" s="3">
        <v>7366000000</v>
      </c>
      <c r="M4" s="3">
        <v>7124000000</v>
      </c>
      <c r="N4" s="3">
        <v>8626000000</v>
      </c>
      <c r="O4" s="3">
        <v>9086000000</v>
      </c>
      <c r="P4" s="3">
        <v>8646000000</v>
      </c>
      <c r="Q4" s="3">
        <v>11837000000</v>
      </c>
      <c r="R4" s="3">
        <v>6906000000</v>
      </c>
      <c r="S4" s="3">
        <v>5874000000</v>
      </c>
      <c r="T4" s="3">
        <v>6027000000</v>
      </c>
      <c r="U4" s="3">
        <v>5080000000</v>
      </c>
      <c r="V4" s="3">
        <v>4872000000</v>
      </c>
      <c r="W4" s="3">
        <v>4847000000</v>
      </c>
      <c r="X4" s="3">
        <v>4347000000</v>
      </c>
      <c r="Y4" s="3">
        <v>3050000000</v>
      </c>
      <c r="Z4" s="3">
        <v>3969000000</v>
      </c>
      <c r="AA4" s="3">
        <v>2177000000</v>
      </c>
      <c r="AB4" s="3">
        <v>2431000000</v>
      </c>
      <c r="AC4" s="3">
        <v>3533000000</v>
      </c>
      <c r="AD4" s="3">
        <v>4129000000</v>
      </c>
      <c r="AE4" s="3">
        <v>3492000000</v>
      </c>
      <c r="AF4" s="3">
        <v>2986000000</v>
      </c>
      <c r="AG4" s="3">
        <v>2554000000</v>
      </c>
      <c r="AH4" s="3">
        <v>2176000000</v>
      </c>
      <c r="AI4" s="3">
        <v>1664382000</v>
      </c>
      <c r="AJ4" s="3">
        <v>1618002000</v>
      </c>
      <c r="AK4" s="3">
        <v>1381904000</v>
      </c>
      <c r="AL4" s="3">
        <v>1723825000</v>
      </c>
      <c r="AM4" s="3">
        <v>1044703000</v>
      </c>
      <c r="AN4" s="3">
        <v>916136000</v>
      </c>
      <c r="AO4" s="3">
        <v>934347000</v>
      </c>
    </row>
    <row r="5" spans="1:41" x14ac:dyDescent="0.25">
      <c r="A5" t="s">
        <v>2</v>
      </c>
      <c r="B5" s="3">
        <v>1050000000</v>
      </c>
      <c r="C5" s="3">
        <v>1075000000</v>
      </c>
      <c r="D5" s="3">
        <v>1128000000</v>
      </c>
      <c r="E5" s="3">
        <v>1260000000</v>
      </c>
      <c r="F5" s="3">
        <v>1452000000</v>
      </c>
      <c r="G5" s="3">
        <v>1536000000</v>
      </c>
      <c r="H5" s="3">
        <v>1365000000</v>
      </c>
      <c r="I5" s="3">
        <v>1086000000</v>
      </c>
      <c r="J5" s="3">
        <v>1260000000</v>
      </c>
      <c r="K5" s="3">
        <v>1787000000</v>
      </c>
      <c r="L5" s="3">
        <v>1970000000</v>
      </c>
      <c r="M5" s="3">
        <v>1976000000</v>
      </c>
      <c r="N5" s="3">
        <v>1977000000</v>
      </c>
      <c r="O5" s="3">
        <v>1982000000</v>
      </c>
      <c r="P5" s="3">
        <v>1954000000</v>
      </c>
      <c r="Q5" s="3">
        <v>1443000000</v>
      </c>
      <c r="R5" s="3">
        <v>1236000000</v>
      </c>
      <c r="S5" s="3">
        <v>1228000000</v>
      </c>
      <c r="T5" s="3">
        <v>1163000000</v>
      </c>
      <c r="U5" s="3">
        <v>938000000</v>
      </c>
      <c r="V5" s="3">
        <v>932000000</v>
      </c>
      <c r="W5" s="3">
        <v>893000000</v>
      </c>
      <c r="X5" s="3">
        <v>850000000</v>
      </c>
      <c r="Y5" s="3">
        <v>806000000</v>
      </c>
      <c r="Z5" s="3">
        <v>803000000</v>
      </c>
      <c r="AA5" s="3">
        <v>773000000</v>
      </c>
      <c r="AB5" s="3">
        <v>792000000</v>
      </c>
      <c r="AC5" s="3">
        <v>645000000</v>
      </c>
      <c r="AD5" s="3">
        <v>626000000</v>
      </c>
      <c r="AE5" s="3">
        <v>479000000</v>
      </c>
      <c r="AF5" s="3">
        <v>454000000</v>
      </c>
      <c r="AG5" s="3">
        <v>411000000</v>
      </c>
      <c r="AH5" s="3">
        <v>360000000</v>
      </c>
      <c r="AI5" s="3">
        <v>321922000</v>
      </c>
      <c r="AJ5" s="3">
        <v>261427000.00000003</v>
      </c>
      <c r="AK5" s="3">
        <v>243888000</v>
      </c>
      <c r="AL5" s="3">
        <v>183765000</v>
      </c>
      <c r="AM5" s="3">
        <v>169768000</v>
      </c>
      <c r="AN5" s="3">
        <v>151904000</v>
      </c>
      <c r="AO5" s="3">
        <v>166829000</v>
      </c>
    </row>
    <row r="6" spans="1:41" x14ac:dyDescent="0.25">
      <c r="A6" t="s">
        <v>3</v>
      </c>
      <c r="B6" s="3">
        <v>429000000</v>
      </c>
      <c r="C6" s="3">
        <v>1315000000</v>
      </c>
      <c r="D6" s="3">
        <v>614000000</v>
      </c>
      <c r="E6" s="3">
        <v>792000000</v>
      </c>
      <c r="F6" s="3">
        <v>44000000</v>
      </c>
      <c r="G6" s="3">
        <v>-150000000</v>
      </c>
      <c r="H6" s="3">
        <v>-245000000</v>
      </c>
      <c r="I6" s="3">
        <v>1305000000</v>
      </c>
      <c r="J6" s="3">
        <v>1056000000</v>
      </c>
      <c r="K6" s="3">
        <v>680000000</v>
      </c>
      <c r="L6" s="3">
        <v>1349000000</v>
      </c>
      <c r="M6" s="3">
        <v>1954000000</v>
      </c>
      <c r="N6" s="3">
        <v>871000000</v>
      </c>
      <c r="O6" s="3">
        <v>657000000</v>
      </c>
      <c r="P6" s="3">
        <v>767000000</v>
      </c>
      <c r="Q6" s="3">
        <v>-4118000000</v>
      </c>
      <c r="R6" s="3">
        <v>608000000</v>
      </c>
      <c r="S6" s="3">
        <v>1224000000</v>
      </c>
      <c r="T6" s="3">
        <v>0</v>
      </c>
      <c r="U6" s="3">
        <v>554000000</v>
      </c>
      <c r="V6" s="3">
        <v>189000000</v>
      </c>
      <c r="W6" s="3">
        <v>845000000</v>
      </c>
      <c r="X6" s="3">
        <v>427000000</v>
      </c>
      <c r="Y6" s="3">
        <v>1293000000</v>
      </c>
      <c r="Z6" s="3">
        <v>-200000000</v>
      </c>
      <c r="AA6" s="3">
        <v>1487000000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12000000</v>
      </c>
      <c r="AI6" s="3">
        <v>219433000</v>
      </c>
      <c r="AJ6" s="3">
        <v>0</v>
      </c>
      <c r="AK6" s="3">
        <v>0</v>
      </c>
      <c r="AL6" s="3">
        <v>0</v>
      </c>
      <c r="AM6" s="3">
        <v>0</v>
      </c>
      <c r="AN6" s="3">
        <v>-79701000</v>
      </c>
      <c r="AO6" s="3">
        <v>0</v>
      </c>
    </row>
    <row r="7" spans="1:41" x14ac:dyDescent="0.25">
      <c r="A7" t="s">
        <v>4</v>
      </c>
      <c r="B7" s="3">
        <v>1479000000</v>
      </c>
      <c r="C7" s="3">
        <v>2390000000</v>
      </c>
      <c r="D7" s="3">
        <v>1742000000</v>
      </c>
      <c r="E7" s="3">
        <v>2052000000</v>
      </c>
      <c r="F7" s="3">
        <v>1496000000</v>
      </c>
      <c r="G7" s="3">
        <v>1386000000</v>
      </c>
      <c r="H7" s="3">
        <v>1120000000</v>
      </c>
      <c r="I7" s="3">
        <v>2391000000</v>
      </c>
      <c r="J7" s="3">
        <v>2316000000</v>
      </c>
      <c r="K7" s="3">
        <v>2467000000</v>
      </c>
      <c r="L7" s="3">
        <v>3319000000</v>
      </c>
      <c r="M7" s="3">
        <v>3930000000</v>
      </c>
      <c r="N7" s="3">
        <v>2848000000</v>
      </c>
      <c r="O7" s="3">
        <v>2639000000</v>
      </c>
      <c r="P7" s="3">
        <v>2721000000</v>
      </c>
      <c r="Q7" s="3">
        <v>-2675000000</v>
      </c>
      <c r="R7" s="3">
        <v>1844000000</v>
      </c>
      <c r="S7" s="3">
        <v>2452000000</v>
      </c>
      <c r="T7" s="3">
        <v>1163000000</v>
      </c>
      <c r="U7" s="3">
        <v>1492000000</v>
      </c>
      <c r="V7" s="3">
        <v>1121000000</v>
      </c>
      <c r="W7" s="3">
        <v>1738000000</v>
      </c>
      <c r="X7" s="3">
        <v>1277000000</v>
      </c>
      <c r="Y7" s="3">
        <v>2099000000</v>
      </c>
      <c r="Z7" s="3">
        <v>603000000</v>
      </c>
      <c r="AA7" s="3">
        <v>2260000000</v>
      </c>
      <c r="AB7" s="3">
        <v>792000000</v>
      </c>
      <c r="AC7" s="3">
        <v>645000000</v>
      </c>
      <c r="AD7" s="3">
        <v>626000000</v>
      </c>
      <c r="AE7" s="3">
        <v>479000000</v>
      </c>
      <c r="AF7" s="3">
        <v>454000000</v>
      </c>
      <c r="AG7" s="3">
        <v>411000000</v>
      </c>
      <c r="AH7" s="3">
        <v>372000000</v>
      </c>
      <c r="AI7" s="3">
        <v>541355000</v>
      </c>
      <c r="AJ7" s="3">
        <v>261427000.00000003</v>
      </c>
      <c r="AK7" s="3">
        <v>243888000</v>
      </c>
      <c r="AL7" s="3">
        <v>183765000</v>
      </c>
      <c r="AM7" s="3">
        <v>169768000</v>
      </c>
      <c r="AN7" s="3">
        <v>72203000</v>
      </c>
      <c r="AO7" s="3">
        <v>166829000</v>
      </c>
    </row>
    <row r="9" spans="1:41" x14ac:dyDescent="0.25">
      <c r="A9" t="s">
        <v>5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</row>
    <row r="10" spans="1:41" x14ac:dyDescent="0.25">
      <c r="A10" t="s">
        <v>6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</row>
    <row r="11" spans="1:41" x14ac:dyDescent="0.25">
      <c r="A11" t="s">
        <v>7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</row>
    <row r="12" spans="1:41" x14ac:dyDescent="0.25">
      <c r="A12" t="s">
        <v>8</v>
      </c>
      <c r="B12" s="3">
        <v>-7208000000</v>
      </c>
      <c r="C12" s="3">
        <v>-6234000000</v>
      </c>
      <c r="D12" s="3">
        <v>-846000000</v>
      </c>
      <c r="E12" s="3">
        <v>-605000000</v>
      </c>
      <c r="F12" s="3">
        <v>1325000000</v>
      </c>
      <c r="G12" s="3">
        <v>690000000</v>
      </c>
      <c r="H12" s="3">
        <v>366000000</v>
      </c>
      <c r="I12" s="3">
        <v>-1240000000</v>
      </c>
      <c r="J12" s="3">
        <v>3442000000</v>
      </c>
      <c r="K12" s="3">
        <v>-225000000</v>
      </c>
      <c r="L12" s="3">
        <v>-157000000</v>
      </c>
      <c r="M12" s="3">
        <v>-439000000</v>
      </c>
      <c r="N12" s="3">
        <v>-932000000</v>
      </c>
      <c r="O12" s="3">
        <v>-1080000000</v>
      </c>
      <c r="P12" s="3">
        <v>-1893000000</v>
      </c>
      <c r="Q12" s="3">
        <v>370000000</v>
      </c>
      <c r="R12" s="3">
        <v>-564000000</v>
      </c>
      <c r="S12" s="3">
        <v>-755000000</v>
      </c>
      <c r="T12" s="3">
        <v>-40000000</v>
      </c>
      <c r="U12" s="3">
        <v>-615000000</v>
      </c>
      <c r="V12" s="3">
        <v>430000000</v>
      </c>
      <c r="W12" s="3">
        <v>-617000000</v>
      </c>
      <c r="X12" s="3">
        <v>-168000000</v>
      </c>
      <c r="Y12" s="3">
        <v>-407000000</v>
      </c>
      <c r="Z12" s="3">
        <v>-462000000</v>
      </c>
      <c r="AA12" s="3">
        <v>-852000000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</row>
    <row r="13" spans="1:41" x14ac:dyDescent="0.25">
      <c r="A13" t="s">
        <v>9</v>
      </c>
      <c r="B13" s="3">
        <v>-7208000000</v>
      </c>
      <c r="C13" s="3">
        <v>-6234000000</v>
      </c>
      <c r="D13" s="3">
        <v>-846000000</v>
      </c>
      <c r="E13" s="3">
        <v>-605000000</v>
      </c>
      <c r="F13" s="3">
        <v>1325000000</v>
      </c>
      <c r="G13" s="3">
        <v>690000000</v>
      </c>
      <c r="H13" s="3">
        <v>366000000</v>
      </c>
      <c r="I13" s="3">
        <v>-1240000000</v>
      </c>
      <c r="J13" s="3">
        <v>3442000000</v>
      </c>
      <c r="K13" s="3">
        <v>-225000000</v>
      </c>
      <c r="L13" s="3">
        <v>-157000000</v>
      </c>
      <c r="M13" s="3">
        <v>-439000000</v>
      </c>
      <c r="N13" s="3">
        <v>-932000000</v>
      </c>
      <c r="O13" s="3">
        <v>-1080000000</v>
      </c>
      <c r="P13" s="3">
        <v>-1893000000</v>
      </c>
      <c r="Q13" s="3">
        <v>370000000</v>
      </c>
      <c r="R13" s="3">
        <v>-564000000</v>
      </c>
      <c r="S13" s="3">
        <v>-755000000</v>
      </c>
      <c r="T13" s="3">
        <v>-40000000</v>
      </c>
      <c r="U13" s="3">
        <v>-615000000</v>
      </c>
      <c r="V13" s="3">
        <v>430000000</v>
      </c>
      <c r="W13" s="3">
        <v>-617000000</v>
      </c>
      <c r="X13" s="3">
        <v>-168000000</v>
      </c>
      <c r="Y13" s="3">
        <v>-407000000</v>
      </c>
      <c r="Z13" s="3">
        <v>-462000000</v>
      </c>
      <c r="AA13" s="3">
        <v>-852000000</v>
      </c>
      <c r="AB13" s="3">
        <v>-557000000</v>
      </c>
      <c r="AC13" s="3">
        <v>-550000000</v>
      </c>
      <c r="AD13" s="3">
        <v>-47000000</v>
      </c>
      <c r="AE13" s="3">
        <v>36000000</v>
      </c>
      <c r="AF13" s="3">
        <v>-405000000</v>
      </c>
      <c r="AG13" s="3">
        <v>129000000</v>
      </c>
      <c r="AH13" s="3">
        <v>54000000</v>
      </c>
      <c r="AI13" s="3">
        <v>-43130000</v>
      </c>
      <c r="AJ13" s="3">
        <v>222837000</v>
      </c>
      <c r="AK13" s="3">
        <v>-178202000</v>
      </c>
      <c r="AL13" s="3">
        <v>279382000</v>
      </c>
      <c r="AM13" s="3">
        <v>-83736000</v>
      </c>
      <c r="AN13" s="3">
        <v>-28706000</v>
      </c>
      <c r="AO13" s="3">
        <v>94524000</v>
      </c>
    </row>
    <row r="15" spans="1:41" x14ac:dyDescent="0.25">
      <c r="A15" s="6" t="s">
        <v>10</v>
      </c>
      <c r="B15" s="7">
        <v>7408000000</v>
      </c>
      <c r="C15" s="7">
        <v>6805000000</v>
      </c>
      <c r="D15" s="7">
        <v>11599000000</v>
      </c>
      <c r="E15" s="7">
        <v>11018000000</v>
      </c>
      <c r="F15" s="7">
        <v>12625000000</v>
      </c>
      <c r="G15" s="7">
        <v>9844000000</v>
      </c>
      <c r="H15" s="7">
        <v>10471000000</v>
      </c>
      <c r="I15" s="7">
        <v>7627000000</v>
      </c>
      <c r="J15" s="7">
        <v>7041000000</v>
      </c>
      <c r="K15" s="7">
        <v>8792000000</v>
      </c>
      <c r="L15" s="7">
        <v>10528000000</v>
      </c>
      <c r="M15" s="7">
        <v>10615000000</v>
      </c>
      <c r="N15" s="7">
        <v>10542000000</v>
      </c>
      <c r="O15" s="7">
        <v>10645000000</v>
      </c>
      <c r="P15" s="7">
        <v>9474000000</v>
      </c>
      <c r="Q15" s="7">
        <v>9532000000</v>
      </c>
      <c r="R15" s="7">
        <v>8186000000</v>
      </c>
      <c r="S15" s="7">
        <v>7571000000</v>
      </c>
      <c r="T15" s="7">
        <v>7150000000</v>
      </c>
      <c r="U15" s="7">
        <v>5957000000</v>
      </c>
      <c r="V15" s="7">
        <v>6423000000</v>
      </c>
      <c r="W15" s="7">
        <v>5968000000</v>
      </c>
      <c r="X15" s="7">
        <v>5456000000</v>
      </c>
      <c r="Y15" s="7">
        <v>4742000000</v>
      </c>
      <c r="Z15" s="7">
        <v>4110000000</v>
      </c>
      <c r="AA15" s="7">
        <v>3585000000</v>
      </c>
      <c r="AB15" s="7">
        <v>3883000000</v>
      </c>
      <c r="AC15" s="7">
        <v>3433000000</v>
      </c>
      <c r="AD15" s="7">
        <v>4033000000</v>
      </c>
      <c r="AE15" s="7">
        <v>3463000000</v>
      </c>
      <c r="AF15" s="7">
        <v>3115000000</v>
      </c>
      <c r="AG15" s="7">
        <v>3183000000</v>
      </c>
      <c r="AH15" s="7">
        <v>2508000000</v>
      </c>
      <c r="AI15" s="7">
        <v>2232370000</v>
      </c>
      <c r="AJ15" s="7">
        <v>2084400999.9999998</v>
      </c>
      <c r="AK15" s="7">
        <v>1283927000</v>
      </c>
      <c r="AL15" s="7">
        <v>1110213000</v>
      </c>
      <c r="AM15" s="7">
        <v>1166837000</v>
      </c>
      <c r="AN15" s="7">
        <v>958768000</v>
      </c>
      <c r="AO15" s="7">
        <v>1016287000</v>
      </c>
    </row>
    <row r="17" spans="1:41" x14ac:dyDescent="0.25">
      <c r="A17" t="s">
        <v>11</v>
      </c>
      <c r="B17" s="3">
        <v>-2099000000</v>
      </c>
      <c r="C17" s="3">
        <v>-2024000000</v>
      </c>
      <c r="D17" s="3">
        <v>-1778000000</v>
      </c>
      <c r="E17" s="3">
        <v>-1409000000</v>
      </c>
      <c r="F17" s="3">
        <v>-1259000000</v>
      </c>
      <c r="G17" s="3">
        <v>-988000000</v>
      </c>
      <c r="H17" s="3">
        <v>-1076000000</v>
      </c>
      <c r="I17" s="3">
        <v>-1300000000</v>
      </c>
      <c r="J17" s="3">
        <v>-1642000000</v>
      </c>
      <c r="K17" s="3">
        <v>-2112000000</v>
      </c>
      <c r="L17" s="3">
        <v>-2468000000</v>
      </c>
      <c r="M17" s="3">
        <v>-2183000000</v>
      </c>
      <c r="N17" s="3">
        <v>-2439000000</v>
      </c>
      <c r="O17" s="3">
        <v>-2637000000</v>
      </c>
      <c r="P17" s="3">
        <v>-2819000000</v>
      </c>
      <c r="Q17" s="3">
        <v>-2081000000</v>
      </c>
      <c r="R17" s="3">
        <v>-1889000000</v>
      </c>
      <c r="S17" s="3">
        <v>-1839000000</v>
      </c>
      <c r="T17" s="3">
        <v>-1409000000</v>
      </c>
      <c r="U17" s="3">
        <v>-767000000</v>
      </c>
      <c r="V17" s="3">
        <v>-811000000</v>
      </c>
      <c r="W17" s="3">
        <v>-414000000</v>
      </c>
      <c r="X17" s="3">
        <v>-725000000</v>
      </c>
      <c r="Y17" s="3">
        <v>-782000000</v>
      </c>
      <c r="Z17" s="3">
        <v>-678000000</v>
      </c>
      <c r="AA17" s="3">
        <v>-688000000</v>
      </c>
      <c r="AB17" s="3">
        <v>-1024000000</v>
      </c>
      <c r="AC17" s="3">
        <v>-809000000</v>
      </c>
      <c r="AD17" s="3">
        <v>-1022000000</v>
      </c>
      <c r="AE17" s="3">
        <v>-909000000</v>
      </c>
      <c r="AF17" s="3">
        <v>-893000000</v>
      </c>
      <c r="AG17" s="3">
        <v>-769000000</v>
      </c>
      <c r="AH17" s="3">
        <v>-488000000</v>
      </c>
      <c r="AI17" s="3">
        <v>-1036192000</v>
      </c>
      <c r="AJ17" s="3">
        <v>-747719000</v>
      </c>
      <c r="AK17" s="3">
        <v>-573763000</v>
      </c>
      <c r="AL17" s="3">
        <v>-401801000</v>
      </c>
      <c r="AM17" s="3">
        <v>-343425000</v>
      </c>
      <c r="AN17" s="3">
        <v>0</v>
      </c>
      <c r="AO17" s="3">
        <v>0</v>
      </c>
    </row>
    <row r="18" spans="1:41" x14ac:dyDescent="0.25">
      <c r="A18" t="s">
        <v>12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</row>
    <row r="19" spans="1:41" x14ac:dyDescent="0.25">
      <c r="A19" t="s">
        <v>13</v>
      </c>
      <c r="B19" s="3">
        <v>3106000000</v>
      </c>
      <c r="C19" s="3">
        <v>3170000000</v>
      </c>
      <c r="D19" s="3">
        <v>368000000</v>
      </c>
      <c r="E19" s="3">
        <v>385000000</v>
      </c>
      <c r="F19" s="3">
        <v>-2586000000</v>
      </c>
      <c r="G19" s="3">
        <v>-863000000</v>
      </c>
      <c r="H19" s="3">
        <v>-5113000000</v>
      </c>
      <c r="I19" s="3">
        <v>99000000</v>
      </c>
      <c r="J19" s="3">
        <v>12000000</v>
      </c>
      <c r="K19" s="3">
        <v>197000000</v>
      </c>
      <c r="L19" s="3">
        <v>-1926000000</v>
      </c>
      <c r="M19" s="3">
        <v>-241000000</v>
      </c>
      <c r="N19" s="3">
        <v>519000000</v>
      </c>
      <c r="O19" s="3">
        <v>-1466000000</v>
      </c>
      <c r="P19" s="3">
        <v>-573000000</v>
      </c>
      <c r="Q19" s="3">
        <v>-1539000000</v>
      </c>
      <c r="R19" s="3">
        <v>-60000000</v>
      </c>
      <c r="S19" s="3">
        <v>-280000000</v>
      </c>
      <c r="T19" s="3">
        <v>-5653000000</v>
      </c>
      <c r="U19" s="3">
        <v>-901000000</v>
      </c>
      <c r="V19" s="3">
        <v>-637000000</v>
      </c>
      <c r="W19" s="3">
        <v>-267000000</v>
      </c>
      <c r="X19" s="3">
        <v>-359000000</v>
      </c>
      <c r="Y19" s="3">
        <v>-544000000</v>
      </c>
      <c r="Z19" s="3">
        <v>-651000000</v>
      </c>
      <c r="AA19" s="3">
        <v>-397000000</v>
      </c>
      <c r="AB19" s="3">
        <v>-1876000000</v>
      </c>
      <c r="AC19" s="3">
        <v>-1428000000</v>
      </c>
      <c r="AD19" s="3">
        <v>-1100000000</v>
      </c>
      <c r="AE19" s="3">
        <v>-645000000</v>
      </c>
      <c r="AF19" s="3">
        <v>0</v>
      </c>
      <c r="AG19" s="3">
        <v>0</v>
      </c>
      <c r="AH19" s="3">
        <v>-816000000</v>
      </c>
      <c r="AI19" s="3">
        <v>-717487000</v>
      </c>
      <c r="AJ19" s="3">
        <v>0</v>
      </c>
      <c r="AK19" s="3">
        <v>0</v>
      </c>
      <c r="AL19" s="3">
        <v>1680073000</v>
      </c>
      <c r="AM19" s="3">
        <v>0</v>
      </c>
      <c r="AN19" s="3">
        <v>124505000</v>
      </c>
      <c r="AO19" s="3">
        <v>167417000</v>
      </c>
    </row>
    <row r="20" spans="1:41" x14ac:dyDescent="0.25">
      <c r="A20" t="s">
        <v>14</v>
      </c>
      <c r="B20" s="3">
        <v>0</v>
      </c>
      <c r="C20" s="3">
        <v>949000000</v>
      </c>
      <c r="D20" s="3">
        <v>-2344000000</v>
      </c>
      <c r="E20" s="3">
        <v>1020000000</v>
      </c>
      <c r="F20" s="3">
        <v>1029000000</v>
      </c>
      <c r="G20" s="3">
        <v>252000000</v>
      </c>
      <c r="H20" s="3">
        <v>-4704000000</v>
      </c>
      <c r="I20" s="3">
        <v>7188000000</v>
      </c>
      <c r="J20" s="3">
        <v>-602000000</v>
      </c>
      <c r="K20" s="3">
        <v>1216000000</v>
      </c>
      <c r="L20" s="3">
        <v>-1752000000</v>
      </c>
      <c r="M20" s="3">
        <v>-4814000000</v>
      </c>
      <c r="N20" s="3">
        <v>-1991000000</v>
      </c>
      <c r="O20" s="3">
        <v>-7033000000</v>
      </c>
      <c r="P20" s="3">
        <v>1013000000</v>
      </c>
      <c r="Q20" s="3">
        <v>-547000000</v>
      </c>
      <c r="R20" s="3">
        <v>-2130000000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</row>
    <row r="21" spans="1:41" x14ac:dyDescent="0.25">
      <c r="A21" t="s">
        <v>15</v>
      </c>
      <c r="B21" s="3">
        <v>-1495000000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6973000000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-132000000</v>
      </c>
      <c r="R21" s="3">
        <v>-22000000</v>
      </c>
      <c r="S21" s="3">
        <v>-240000000</v>
      </c>
      <c r="T21" s="3">
        <v>349000000</v>
      </c>
      <c r="U21" s="3">
        <v>30000000</v>
      </c>
      <c r="V21" s="3">
        <v>-20000000</v>
      </c>
      <c r="W21" s="3">
        <v>115000000</v>
      </c>
      <c r="X21" s="3">
        <v>-30000000</v>
      </c>
      <c r="Y21" s="3">
        <v>102000000</v>
      </c>
      <c r="Z21" s="3">
        <v>-1000000</v>
      </c>
      <c r="AA21" s="3">
        <v>-218000000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</row>
    <row r="22" spans="1:41" x14ac:dyDescent="0.25">
      <c r="A22" t="s">
        <v>16</v>
      </c>
      <c r="B22" s="3">
        <v>-1495000000</v>
      </c>
      <c r="C22" s="3">
        <v>949000000</v>
      </c>
      <c r="D22" s="3">
        <v>-2344000000</v>
      </c>
      <c r="E22" s="3">
        <v>1020000000</v>
      </c>
      <c r="F22" s="3">
        <v>1029000000</v>
      </c>
      <c r="G22" s="3">
        <v>252000000</v>
      </c>
      <c r="H22" s="3">
        <v>2269000000</v>
      </c>
      <c r="I22" s="3">
        <v>7188000000</v>
      </c>
      <c r="J22" s="3">
        <v>-602000000</v>
      </c>
      <c r="K22" s="3">
        <v>1216000000</v>
      </c>
      <c r="L22" s="3">
        <v>-1752000000</v>
      </c>
      <c r="M22" s="3">
        <v>-4814000000</v>
      </c>
      <c r="N22" s="3">
        <v>-1991000000</v>
      </c>
      <c r="O22" s="3">
        <v>-7033000000</v>
      </c>
      <c r="P22" s="3">
        <v>1013000000</v>
      </c>
      <c r="Q22" s="3">
        <v>-679000000</v>
      </c>
      <c r="R22" s="3">
        <v>-2152000000</v>
      </c>
      <c r="S22" s="3">
        <v>-240000000</v>
      </c>
      <c r="T22" s="3">
        <v>349000000</v>
      </c>
      <c r="U22" s="3">
        <v>30000000</v>
      </c>
      <c r="V22" s="3">
        <v>-20000000</v>
      </c>
      <c r="W22" s="3">
        <v>115000000</v>
      </c>
      <c r="X22" s="3">
        <v>-30000000</v>
      </c>
      <c r="Y22" s="3">
        <v>102000000</v>
      </c>
      <c r="Z22" s="3">
        <v>-1000000</v>
      </c>
      <c r="AA22" s="3">
        <v>-218000000</v>
      </c>
      <c r="AB22" s="3">
        <v>-342000000</v>
      </c>
      <c r="AC22" s="3">
        <v>426000000</v>
      </c>
      <c r="AD22" s="3">
        <v>1540000000</v>
      </c>
      <c r="AE22" s="3">
        <v>679000000</v>
      </c>
      <c r="AF22" s="3">
        <v>52000000</v>
      </c>
      <c r="AG22" s="3">
        <v>-257000000</v>
      </c>
      <c r="AH22" s="3">
        <v>650000000</v>
      </c>
      <c r="AI22" s="3">
        <v>395157000</v>
      </c>
      <c r="AJ22" s="3">
        <v>-376961000</v>
      </c>
      <c r="AK22" s="3">
        <v>134098999.99999999</v>
      </c>
      <c r="AL22" s="3">
        <v>-724394000</v>
      </c>
      <c r="AM22" s="3">
        <v>148438000</v>
      </c>
      <c r="AN22" s="3">
        <v>1305931000</v>
      </c>
      <c r="AO22" s="3">
        <v>557572000</v>
      </c>
    </row>
    <row r="23" spans="1:41" x14ac:dyDescent="0.25">
      <c r="A23" t="s">
        <v>17</v>
      </c>
      <c r="B23" s="3">
        <v>421000000</v>
      </c>
      <c r="C23" s="3">
        <v>429000000</v>
      </c>
      <c r="D23" s="3">
        <v>405000000</v>
      </c>
      <c r="E23" s="3">
        <v>-759000000</v>
      </c>
      <c r="F23" s="3">
        <v>51000000</v>
      </c>
      <c r="G23" s="3">
        <v>122000000</v>
      </c>
      <c r="H23" s="3">
        <v>-56000000</v>
      </c>
      <c r="I23" s="3">
        <v>-60000000</v>
      </c>
      <c r="J23" s="3">
        <v>-80000000</v>
      </c>
      <c r="K23" s="3">
        <v>-305000000</v>
      </c>
      <c r="L23" s="3">
        <v>-40000000</v>
      </c>
      <c r="M23" s="3">
        <v>-268000000</v>
      </c>
      <c r="N23" s="3">
        <v>-303000000</v>
      </c>
      <c r="O23" s="3">
        <v>-268000000</v>
      </c>
      <c r="P23" s="3">
        <v>-145000000</v>
      </c>
      <c r="Q23" s="3">
        <v>-106000000</v>
      </c>
      <c r="R23" s="3">
        <v>-48000000</v>
      </c>
      <c r="S23" s="3">
        <v>-4000000</v>
      </c>
      <c r="T23" s="3">
        <v>-6000000</v>
      </c>
      <c r="U23" s="3">
        <v>-62000000</v>
      </c>
      <c r="V23" s="3">
        <v>-28000000</v>
      </c>
      <c r="W23" s="3">
        <v>63000000</v>
      </c>
      <c r="X23" s="3">
        <v>178000000</v>
      </c>
      <c r="Y23" s="3">
        <v>159000000</v>
      </c>
      <c r="Z23" s="3">
        <v>142000000</v>
      </c>
      <c r="AA23" s="3">
        <v>138000000</v>
      </c>
      <c r="AB23" s="3">
        <v>-179000000</v>
      </c>
      <c r="AC23" s="3">
        <v>-350000000</v>
      </c>
      <c r="AD23" s="3">
        <v>82000000</v>
      </c>
      <c r="AE23" s="3">
        <v>-175000000</v>
      </c>
      <c r="AF23" s="3">
        <v>-172000000</v>
      </c>
      <c r="AG23" s="3">
        <v>-11000000</v>
      </c>
      <c r="AH23" s="3">
        <v>-231000000</v>
      </c>
      <c r="AI23" s="3">
        <v>-1004000</v>
      </c>
      <c r="AJ23" s="3">
        <v>0</v>
      </c>
      <c r="AK23" s="3">
        <v>0</v>
      </c>
      <c r="AL23" s="3">
        <v>0</v>
      </c>
      <c r="AM23" s="3">
        <v>544889000</v>
      </c>
      <c r="AN23" s="3">
        <v>41300000</v>
      </c>
      <c r="AO23" s="3">
        <v>51249000</v>
      </c>
    </row>
    <row r="24" spans="1:41" x14ac:dyDescent="0.25">
      <c r="A24" t="s">
        <v>18</v>
      </c>
      <c r="B24" s="3">
        <v>-67000000</v>
      </c>
      <c r="C24" s="3">
        <v>2524000000</v>
      </c>
      <c r="D24" s="3">
        <v>-3349000000</v>
      </c>
      <c r="E24" s="3">
        <v>-763000000</v>
      </c>
      <c r="F24" s="3">
        <v>-2765000000</v>
      </c>
      <c r="G24" s="3">
        <v>-1477000000</v>
      </c>
      <c r="H24" s="3">
        <v>-3976000000</v>
      </c>
      <c r="I24" s="3">
        <v>5927000000</v>
      </c>
      <c r="J24" s="3">
        <v>-2312000000</v>
      </c>
      <c r="K24" s="3">
        <v>-1004000000</v>
      </c>
      <c r="L24" s="3">
        <v>-6186000000</v>
      </c>
      <c r="M24" s="3">
        <v>-7506000000</v>
      </c>
      <c r="N24" s="3">
        <v>-4214000000</v>
      </c>
      <c r="O24" s="3">
        <v>-11404000000</v>
      </c>
      <c r="P24" s="3">
        <v>-2524000000</v>
      </c>
      <c r="Q24" s="3">
        <v>-4405000000</v>
      </c>
      <c r="R24" s="3">
        <v>-4149000000</v>
      </c>
      <c r="S24" s="3">
        <v>-2363000000</v>
      </c>
      <c r="T24" s="3">
        <v>-6719000000</v>
      </c>
      <c r="U24" s="3">
        <v>-1700000000</v>
      </c>
      <c r="V24" s="3">
        <v>-1496000000</v>
      </c>
      <c r="W24" s="3">
        <v>-503000000</v>
      </c>
      <c r="X24" s="3">
        <v>-936000000</v>
      </c>
      <c r="Y24" s="3">
        <v>-1065000000</v>
      </c>
      <c r="Z24" s="3">
        <v>-1188000000</v>
      </c>
      <c r="AA24" s="3">
        <v>-1165000000</v>
      </c>
      <c r="AB24" s="3">
        <v>-3421000000</v>
      </c>
      <c r="AC24" s="3">
        <v>-2161000000</v>
      </c>
      <c r="AD24" s="3">
        <v>-500000000</v>
      </c>
      <c r="AE24" s="3">
        <v>-1050000000</v>
      </c>
      <c r="AF24" s="3">
        <v>-1013000000</v>
      </c>
      <c r="AG24" s="3">
        <v>-1037000000</v>
      </c>
      <c r="AH24" s="3">
        <v>-885000000</v>
      </c>
      <c r="AI24" s="3">
        <v>-1359526000</v>
      </c>
      <c r="AJ24" s="3">
        <v>-1124680000</v>
      </c>
      <c r="AK24" s="3">
        <v>-439664000</v>
      </c>
      <c r="AL24" s="3">
        <v>553878000</v>
      </c>
      <c r="AM24" s="3">
        <v>349902000</v>
      </c>
      <c r="AN24" s="3">
        <v>1165649000</v>
      </c>
      <c r="AO24" s="3">
        <v>256906999.99999997</v>
      </c>
    </row>
    <row r="26" spans="1:41" x14ac:dyDescent="0.25">
      <c r="A26" t="s">
        <v>19</v>
      </c>
      <c r="B26" s="3">
        <v>13000000</v>
      </c>
      <c r="C26" s="3">
        <v>2528000000</v>
      </c>
      <c r="D26" s="3">
        <v>1857000000</v>
      </c>
      <c r="E26" s="3">
        <v>-958000000</v>
      </c>
      <c r="F26" s="3">
        <v>228000000</v>
      </c>
      <c r="G26" s="3">
        <v>-1862000000</v>
      </c>
      <c r="H26" s="3">
        <v>-1841000000</v>
      </c>
      <c r="I26" s="3">
        <v>-2995000000</v>
      </c>
      <c r="J26" s="3">
        <v>1055000000</v>
      </c>
      <c r="K26" s="3">
        <v>1666000000</v>
      </c>
      <c r="L26" s="3">
        <v>2696000000</v>
      </c>
      <c r="M26" s="3">
        <v>4712000000</v>
      </c>
      <c r="N26" s="3">
        <v>4711000000</v>
      </c>
      <c r="O26" s="3">
        <v>4218000000</v>
      </c>
      <c r="P26" s="3">
        <v>4965000000</v>
      </c>
      <c r="Q26" s="3">
        <v>1848000000</v>
      </c>
      <c r="R26" s="3">
        <v>2363000000</v>
      </c>
      <c r="S26" s="3">
        <v>29000000</v>
      </c>
      <c r="T26" s="3">
        <v>4341000000</v>
      </c>
      <c r="U26" s="3">
        <v>-1404000000</v>
      </c>
      <c r="V26" s="3">
        <v>-2282000000</v>
      </c>
      <c r="W26" s="3">
        <v>1714000000</v>
      </c>
      <c r="X26" s="3">
        <v>-93000000</v>
      </c>
      <c r="Y26" s="3">
        <v>-756000000</v>
      </c>
      <c r="Z26" s="3">
        <v>-926000000</v>
      </c>
      <c r="AA26" s="3">
        <v>-585000000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</row>
    <row r="27" spans="1:41" x14ac:dyDescent="0.25">
      <c r="A27" t="s">
        <v>20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1408000000</v>
      </c>
      <c r="AD27" s="3">
        <v>0</v>
      </c>
      <c r="AE27" s="3">
        <v>-580000000</v>
      </c>
      <c r="AF27" s="3">
        <v>-212000000</v>
      </c>
      <c r="AG27" s="3">
        <v>-154000000</v>
      </c>
      <c r="AH27" s="3">
        <v>0</v>
      </c>
      <c r="AI27" s="3">
        <v>-432380000</v>
      </c>
      <c r="AJ27" s="3">
        <v>-256738000</v>
      </c>
      <c r="AK27" s="3">
        <v>510823000</v>
      </c>
      <c r="AL27" s="3">
        <v>-74320000</v>
      </c>
      <c r="AM27" s="3">
        <v>-851598000</v>
      </c>
      <c r="AN27" s="3">
        <v>299616000</v>
      </c>
      <c r="AO27" s="3">
        <v>372623000</v>
      </c>
    </row>
    <row r="28" spans="1:41" x14ac:dyDescent="0.25">
      <c r="A28" t="s">
        <v>21</v>
      </c>
      <c r="B28" s="3">
        <v>13000000</v>
      </c>
      <c r="C28" s="3">
        <v>2528000000</v>
      </c>
      <c r="D28" s="3">
        <v>1857000000</v>
      </c>
      <c r="E28" s="3">
        <v>-958000000</v>
      </c>
      <c r="F28" s="3">
        <v>228000000</v>
      </c>
      <c r="G28" s="3">
        <v>-1862000000</v>
      </c>
      <c r="H28" s="3">
        <v>-1841000000</v>
      </c>
      <c r="I28" s="3">
        <v>-2995000000</v>
      </c>
      <c r="J28" s="3">
        <v>1055000000</v>
      </c>
      <c r="K28" s="3">
        <v>1666000000</v>
      </c>
      <c r="L28" s="3">
        <v>2696000000</v>
      </c>
      <c r="M28" s="3">
        <v>4712000000</v>
      </c>
      <c r="N28" s="3">
        <v>4711000000</v>
      </c>
      <c r="O28" s="3">
        <v>4218000000</v>
      </c>
      <c r="P28" s="3">
        <v>4965000000</v>
      </c>
      <c r="Q28" s="3">
        <v>1848000000</v>
      </c>
      <c r="R28" s="3">
        <v>2363000000</v>
      </c>
      <c r="S28" s="3">
        <v>29000000</v>
      </c>
      <c r="T28" s="3">
        <v>4341000000</v>
      </c>
      <c r="U28" s="3">
        <v>-1404000000</v>
      </c>
      <c r="V28" s="3">
        <v>-2282000000</v>
      </c>
      <c r="W28" s="3">
        <v>1714000000</v>
      </c>
      <c r="X28" s="3">
        <v>-93000000</v>
      </c>
      <c r="Y28" s="3">
        <v>-756000000</v>
      </c>
      <c r="Z28" s="3">
        <v>-926000000</v>
      </c>
      <c r="AA28" s="3">
        <v>-585000000</v>
      </c>
      <c r="AB28" s="3">
        <v>956000000</v>
      </c>
      <c r="AC28" s="3">
        <v>0</v>
      </c>
      <c r="AD28" s="3">
        <v>-596000000</v>
      </c>
      <c r="AE28" s="3">
        <v>1122000000</v>
      </c>
      <c r="AF28" s="3">
        <v>754000000</v>
      </c>
      <c r="AG28" s="3">
        <v>491000000</v>
      </c>
      <c r="AH28" s="3">
        <v>-122000000</v>
      </c>
      <c r="AI28" s="3">
        <v>1381227000</v>
      </c>
      <c r="AJ28" s="3">
        <v>-256738000</v>
      </c>
      <c r="AK28" s="3">
        <v>-999139000</v>
      </c>
      <c r="AL28" s="3">
        <v>-74320000</v>
      </c>
      <c r="AM28" s="3">
        <v>-851598000</v>
      </c>
      <c r="AN28" s="3">
        <v>756557000</v>
      </c>
      <c r="AO28" s="3">
        <v>402556000</v>
      </c>
    </row>
    <row r="29" spans="1:41" x14ac:dyDescent="0.25">
      <c r="A29" t="s">
        <v>22</v>
      </c>
      <c r="B29" s="3">
        <v>-433000000</v>
      </c>
      <c r="C29" s="3">
        <v>-1048000000</v>
      </c>
      <c r="D29" s="3">
        <v>-1750000000</v>
      </c>
      <c r="E29" s="3">
        <v>-581000000</v>
      </c>
      <c r="F29" s="3">
        <v>591000000</v>
      </c>
      <c r="G29" s="3">
        <v>529000000</v>
      </c>
      <c r="H29" s="3">
        <v>-91000000</v>
      </c>
      <c r="I29" s="3">
        <v>-436000000</v>
      </c>
      <c r="J29" s="3">
        <v>-2087000000</v>
      </c>
      <c r="K29" s="3">
        <v>-2247000000</v>
      </c>
      <c r="L29" s="3">
        <v>-2319000000</v>
      </c>
      <c r="M29" s="3">
        <v>-2630000000</v>
      </c>
      <c r="N29" s="3">
        <v>-3504000000</v>
      </c>
      <c r="O29" s="3">
        <v>-3070000000</v>
      </c>
      <c r="P29" s="3">
        <v>-2944000000</v>
      </c>
      <c r="Q29" s="3">
        <v>-1295000000</v>
      </c>
      <c r="R29" s="3">
        <v>-854000000</v>
      </c>
      <c r="S29" s="3">
        <v>-484000000</v>
      </c>
      <c r="T29" s="3">
        <v>-219000000</v>
      </c>
      <c r="U29" s="3">
        <v>-2268000000</v>
      </c>
      <c r="V29" s="3">
        <v>-1825000000</v>
      </c>
      <c r="W29" s="3">
        <v>-1546000000</v>
      </c>
      <c r="X29" s="3">
        <v>-1342000000</v>
      </c>
      <c r="Y29" s="3">
        <v>-584000000</v>
      </c>
      <c r="Z29" s="3">
        <v>-113000000</v>
      </c>
      <c r="AA29" s="3">
        <v>198000000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</row>
    <row r="30" spans="1:41" x14ac:dyDescent="0.25">
      <c r="A30" t="s">
        <v>23</v>
      </c>
      <c r="B30" s="3">
        <v>-433000000</v>
      </c>
      <c r="C30" s="3">
        <v>-1048000000</v>
      </c>
      <c r="D30" s="3">
        <v>-1750000000</v>
      </c>
      <c r="E30" s="3">
        <v>-581000000</v>
      </c>
      <c r="F30" s="3">
        <v>591000000</v>
      </c>
      <c r="G30" s="3">
        <v>529000000</v>
      </c>
      <c r="H30" s="3">
        <v>-91000000</v>
      </c>
      <c r="I30" s="3">
        <v>-436000000</v>
      </c>
      <c r="J30" s="3">
        <v>-2087000000</v>
      </c>
      <c r="K30" s="3">
        <v>-2247000000</v>
      </c>
      <c r="L30" s="3">
        <v>-2319000000</v>
      </c>
      <c r="M30" s="3">
        <v>-2630000000</v>
      </c>
      <c r="N30" s="3">
        <v>-3504000000</v>
      </c>
      <c r="O30" s="3">
        <v>-3070000000</v>
      </c>
      <c r="P30" s="3">
        <v>-2944000000</v>
      </c>
      <c r="Q30" s="3">
        <v>-1295000000</v>
      </c>
      <c r="R30" s="3">
        <v>-854000000</v>
      </c>
      <c r="S30" s="3">
        <v>-484000000</v>
      </c>
      <c r="T30" s="3">
        <v>-219000000</v>
      </c>
      <c r="U30" s="3">
        <v>-2268000000</v>
      </c>
      <c r="V30" s="3">
        <v>-1825000000</v>
      </c>
      <c r="W30" s="3">
        <v>-1546000000</v>
      </c>
      <c r="X30" s="3">
        <v>-1342000000</v>
      </c>
      <c r="Y30" s="3">
        <v>-584000000</v>
      </c>
      <c r="Z30" s="3">
        <v>-113000000</v>
      </c>
      <c r="AA30" s="3">
        <v>198000000</v>
      </c>
      <c r="AB30" s="3">
        <v>153000000</v>
      </c>
      <c r="AC30" s="3">
        <v>-1261000000</v>
      </c>
      <c r="AD30" s="3">
        <v>-1112000000</v>
      </c>
      <c r="AE30" s="3">
        <v>-1397000000</v>
      </c>
      <c r="AF30" s="3">
        <v>-1710000000</v>
      </c>
      <c r="AG30" s="3">
        <v>-1123000000</v>
      </c>
      <c r="AH30" s="3">
        <v>-535000000</v>
      </c>
      <c r="AI30" s="3">
        <v>-1128224000</v>
      </c>
      <c r="AJ30" s="3">
        <v>-434682000</v>
      </c>
      <c r="AK30" s="3">
        <v>0</v>
      </c>
      <c r="AL30" s="3">
        <v>-1125546000</v>
      </c>
      <c r="AM30" s="3">
        <v>-430626000</v>
      </c>
      <c r="AN30" s="3">
        <v>3596153000</v>
      </c>
      <c r="AO30" s="3">
        <v>2049431999.9999998</v>
      </c>
    </row>
    <row r="32" spans="1:41" x14ac:dyDescent="0.25">
      <c r="A32" t="s">
        <v>24</v>
      </c>
      <c r="B32" s="3">
        <v>-8779000000</v>
      </c>
      <c r="C32" s="3">
        <v>-8359000000</v>
      </c>
      <c r="D32" s="3">
        <v>-7952000000</v>
      </c>
      <c r="E32" s="3">
        <v>-7616000000</v>
      </c>
      <c r="F32" s="3">
        <v>-7252000000</v>
      </c>
      <c r="G32" s="3">
        <v>-7047000000</v>
      </c>
      <c r="H32" s="3">
        <v>-6845000000</v>
      </c>
      <c r="I32" s="3">
        <v>-6644000000</v>
      </c>
      <c r="J32" s="3">
        <v>-6320000000</v>
      </c>
      <c r="K32" s="3">
        <v>-6043000000</v>
      </c>
      <c r="L32" s="3">
        <v>-5741000000</v>
      </c>
      <c r="M32" s="3">
        <v>-5350000000</v>
      </c>
      <c r="N32" s="3">
        <v>-4969000000</v>
      </c>
      <c r="O32" s="3">
        <v>-4595000000</v>
      </c>
      <c r="P32" s="3">
        <v>-4300000000</v>
      </c>
      <c r="Q32" s="3">
        <v>-4068000000</v>
      </c>
      <c r="R32" s="3">
        <v>-3800000000</v>
      </c>
      <c r="S32" s="3">
        <v>-3521000000</v>
      </c>
      <c r="T32" s="3">
        <v>-3149000000</v>
      </c>
      <c r="U32" s="3">
        <v>-2911000000</v>
      </c>
      <c r="V32" s="3">
        <v>-2678000000</v>
      </c>
      <c r="W32" s="3">
        <v>-2429000000</v>
      </c>
      <c r="X32" s="3">
        <v>-2166000000</v>
      </c>
      <c r="Y32" s="3">
        <v>-1987000000</v>
      </c>
      <c r="Z32" s="3">
        <v>-1791000000</v>
      </c>
      <c r="AA32" s="3">
        <v>-1685000000</v>
      </c>
      <c r="AB32" s="3">
        <v>-1580000000</v>
      </c>
      <c r="AC32" s="3">
        <v>-1480000000</v>
      </c>
      <c r="AD32" s="3">
        <v>-1387000000</v>
      </c>
      <c r="AE32" s="3">
        <v>-1247000000</v>
      </c>
      <c r="AF32" s="3">
        <v>-1110000000</v>
      </c>
      <c r="AG32" s="3">
        <v>-1006000000</v>
      </c>
      <c r="AH32" s="3">
        <v>-883000000</v>
      </c>
      <c r="AI32" s="3">
        <v>-738001000</v>
      </c>
      <c r="AJ32" s="3">
        <v>-640064000</v>
      </c>
      <c r="AK32" s="3">
        <v>-55264000</v>
      </c>
      <c r="AL32" s="3">
        <v>-490655000</v>
      </c>
      <c r="AM32" s="3">
        <v>-443186000</v>
      </c>
      <c r="AN32" s="3">
        <v>0</v>
      </c>
      <c r="AO32" s="3">
        <v>494805000</v>
      </c>
    </row>
    <row r="33" spans="1:41" x14ac:dyDescent="0.25">
      <c r="A33" t="s">
        <v>25</v>
      </c>
      <c r="B33" s="3">
        <v>1059000000</v>
      </c>
      <c r="C33" s="3">
        <v>-31000000</v>
      </c>
      <c r="D33" s="3">
        <v>-465000000</v>
      </c>
      <c r="E33" s="3">
        <v>-1095000000</v>
      </c>
      <c r="F33" s="3">
        <v>-353000000</v>
      </c>
      <c r="G33" s="3">
        <v>310000000</v>
      </c>
      <c r="H33" s="3">
        <v>-227000000</v>
      </c>
      <c r="I33" s="3">
        <v>-272000000</v>
      </c>
      <c r="J33" s="3">
        <v>-95000000</v>
      </c>
      <c r="K33" s="3">
        <v>79000000</v>
      </c>
      <c r="L33" s="3">
        <v>251000000</v>
      </c>
      <c r="M33" s="3">
        <v>-363000000</v>
      </c>
      <c r="N33" s="3">
        <v>17000000</v>
      </c>
      <c r="O33" s="3">
        <v>100000000</v>
      </c>
      <c r="P33" s="3">
        <v>45000000</v>
      </c>
      <c r="Q33" s="3">
        <v>50000000</v>
      </c>
      <c r="R33" s="3">
        <v>-2000000</v>
      </c>
      <c r="S33" s="3">
        <v>-9000000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213609000</v>
      </c>
      <c r="AO33" s="3">
        <v>122125000</v>
      </c>
    </row>
    <row r="34" spans="1:41" x14ac:dyDescent="0.25">
      <c r="A34" t="s">
        <v>26</v>
      </c>
      <c r="B34" s="3">
        <v>-8140000000</v>
      </c>
      <c r="C34" s="3">
        <v>-6910000000</v>
      </c>
      <c r="D34" s="3">
        <v>-8310000000</v>
      </c>
      <c r="E34" s="3">
        <v>-10250000000</v>
      </c>
      <c r="F34" s="3">
        <v>-6786000000</v>
      </c>
      <c r="G34" s="3">
        <v>-8070000000</v>
      </c>
      <c r="H34" s="3">
        <v>-9004000000</v>
      </c>
      <c r="I34" s="3">
        <v>-10347000000</v>
      </c>
      <c r="J34" s="3">
        <v>-7447000000</v>
      </c>
      <c r="K34" s="3">
        <v>-6545000000</v>
      </c>
      <c r="L34" s="3">
        <v>-5113000000</v>
      </c>
      <c r="M34" s="3">
        <v>-3631000000</v>
      </c>
      <c r="N34" s="3">
        <v>-3745000000</v>
      </c>
      <c r="O34" s="3">
        <v>-3347000000</v>
      </c>
      <c r="P34" s="3">
        <v>-2234000000</v>
      </c>
      <c r="Q34" s="3">
        <v>-3465000000</v>
      </c>
      <c r="R34" s="3">
        <v>-2293000000</v>
      </c>
      <c r="S34" s="3">
        <v>-3985000000</v>
      </c>
      <c r="T34" s="3">
        <v>973000000</v>
      </c>
      <c r="U34" s="3">
        <v>-6583000000</v>
      </c>
      <c r="V34" s="3">
        <v>-6785000000</v>
      </c>
      <c r="W34" s="3">
        <v>-2261000000</v>
      </c>
      <c r="X34" s="3">
        <v>-3601000000</v>
      </c>
      <c r="Y34" s="3">
        <v>-3327000000</v>
      </c>
      <c r="Z34" s="3">
        <v>-2830000000</v>
      </c>
      <c r="AA34" s="3">
        <v>-2072000000</v>
      </c>
      <c r="AB34" s="3">
        <v>-471000000</v>
      </c>
      <c r="AC34" s="3">
        <v>-1333000000</v>
      </c>
      <c r="AD34" s="3">
        <v>-3095000000</v>
      </c>
      <c r="AE34" s="3">
        <v>-2102000000</v>
      </c>
      <c r="AF34" s="3">
        <v>-2278000000</v>
      </c>
      <c r="AG34" s="3">
        <v>-1792000000</v>
      </c>
      <c r="AH34" s="3">
        <v>-1540000000</v>
      </c>
      <c r="AI34" s="3">
        <v>-917378000</v>
      </c>
      <c r="AJ34" s="3">
        <v>-1331484000</v>
      </c>
      <c r="AK34" s="3">
        <v>-543580000</v>
      </c>
      <c r="AL34" s="3">
        <v>-1690521000</v>
      </c>
      <c r="AM34" s="3">
        <v>-1725410000</v>
      </c>
      <c r="AN34" s="3">
        <v>605110000</v>
      </c>
      <c r="AO34" s="3">
        <v>110471000</v>
      </c>
    </row>
    <row r="36" spans="1:41" x14ac:dyDescent="0.25">
      <c r="A36" s="6" t="s">
        <v>27</v>
      </c>
      <c r="B36" s="7">
        <v>-1218000000</v>
      </c>
      <c r="C36" s="7">
        <v>1136000000</v>
      </c>
      <c r="D36" s="7">
        <v>-459000000</v>
      </c>
      <c r="E36" s="7">
        <v>-506000000</v>
      </c>
      <c r="F36" s="7">
        <v>2574000000</v>
      </c>
      <c r="G36" s="7">
        <v>58000000</v>
      </c>
      <c r="H36" s="7">
        <v>-2838000000</v>
      </c>
      <c r="I36" s="7">
        <v>2704000000</v>
      </c>
      <c r="J36" s="7">
        <v>-2748000000</v>
      </c>
      <c r="K36" s="7">
        <v>943000000</v>
      </c>
      <c r="L36" s="7">
        <v>-1649000000</v>
      </c>
      <c r="M36" s="7">
        <v>-1456000000</v>
      </c>
      <c r="N36" s="7">
        <v>1972000000</v>
      </c>
      <c r="O36" s="7">
        <v>-4361000000</v>
      </c>
      <c r="P36" s="7">
        <v>4286000000</v>
      </c>
      <c r="Q36" s="7">
        <v>1496000000</v>
      </c>
      <c r="R36" s="7">
        <v>2320000000</v>
      </c>
      <c r="S36" s="7">
        <v>608000000</v>
      </c>
      <c r="T36" s="7">
        <v>1653000000</v>
      </c>
      <c r="U36" s="7">
        <v>-2261000000</v>
      </c>
      <c r="V36" s="7">
        <v>-2006000000</v>
      </c>
      <c r="W36" s="7">
        <v>3345000000</v>
      </c>
      <c r="X36" s="7">
        <v>1102000000</v>
      </c>
      <c r="Y36" s="7">
        <v>394000000</v>
      </c>
      <c r="Z36" s="7">
        <v>47000000</v>
      </c>
      <c r="AA36" s="7">
        <v>208000000</v>
      </c>
      <c r="AB36" s="7">
        <v>-37000000</v>
      </c>
      <c r="AC36" s="7">
        <v>-89000000</v>
      </c>
      <c r="AD36" s="7">
        <v>304000000</v>
      </c>
      <c r="AE36" s="7">
        <v>266000000</v>
      </c>
      <c r="AF36" s="7">
        <v>-219000000</v>
      </c>
      <c r="AG36" s="7">
        <v>388000000</v>
      </c>
      <c r="AH36" s="7">
        <v>42000000</v>
      </c>
      <c r="AI36" s="7">
        <v>-102642000</v>
      </c>
      <c r="AJ36" s="7">
        <v>-371305000</v>
      </c>
      <c r="AK36" s="7">
        <v>333535000</v>
      </c>
      <c r="AL36" s="7">
        <v>-49326000</v>
      </c>
      <c r="AM36" s="7">
        <v>-238214000</v>
      </c>
      <c r="AN36" s="7">
        <v>1121630000</v>
      </c>
      <c r="AO36" s="7">
        <v>77249000</v>
      </c>
    </row>
    <row r="38" spans="1:41" x14ac:dyDescent="0.25">
      <c r="A38" t="s">
        <v>28</v>
      </c>
      <c r="B38" s="3">
        <v>279000000</v>
      </c>
      <c r="C38" s="3">
        <v>286000000</v>
      </c>
      <c r="D38" s="3">
        <v>254000000</v>
      </c>
      <c r="E38" s="3">
        <v>356000000</v>
      </c>
      <c r="F38" s="3">
        <v>337000000</v>
      </c>
      <c r="G38" s="3">
        <v>126000000</v>
      </c>
      <c r="H38" s="3">
        <v>201000000</v>
      </c>
      <c r="I38" s="3">
        <v>225000000</v>
      </c>
      <c r="J38" s="3">
        <v>219000000</v>
      </c>
      <c r="K38" s="3">
        <v>258000000</v>
      </c>
      <c r="L38" s="3">
        <v>236000000</v>
      </c>
      <c r="M38" s="3">
        <v>209000000</v>
      </c>
      <c r="N38" s="3">
        <v>227000000</v>
      </c>
      <c r="O38" s="3">
        <v>259000000</v>
      </c>
      <c r="P38" s="3">
        <v>354000000</v>
      </c>
      <c r="Q38" s="3">
        <v>380000000</v>
      </c>
      <c r="R38" s="3">
        <v>241000000</v>
      </c>
      <c r="S38" s="3">
        <v>266000000</v>
      </c>
      <c r="T38" s="3">
        <v>313000000</v>
      </c>
      <c r="U38" s="3">
        <v>324000000</v>
      </c>
      <c r="V38" s="3">
        <v>324000000</v>
      </c>
      <c r="W38" s="3">
        <v>345000000</v>
      </c>
      <c r="X38" s="3">
        <v>422000000</v>
      </c>
      <c r="Y38" s="3">
        <v>365000000</v>
      </c>
      <c r="Z38" s="3">
        <v>41000000</v>
      </c>
      <c r="AA38" s="3">
        <v>43000000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</row>
    <row r="39" spans="1:41" x14ac:dyDescent="0.25">
      <c r="A39" t="s">
        <v>29</v>
      </c>
      <c r="B39" s="3">
        <v>-8779000000</v>
      </c>
      <c r="C39" s="3">
        <v>-8359000000</v>
      </c>
      <c r="D39" s="3">
        <v>-7952000000</v>
      </c>
      <c r="E39" s="3">
        <v>-7616000000</v>
      </c>
      <c r="F39" s="3">
        <v>-7252000000</v>
      </c>
      <c r="G39" s="3">
        <v>-7047000000</v>
      </c>
      <c r="H39" s="3">
        <v>-6845000000</v>
      </c>
      <c r="I39" s="3">
        <v>-6644000000</v>
      </c>
      <c r="J39" s="3">
        <v>-6320000000</v>
      </c>
      <c r="K39" s="3">
        <v>-6043000000</v>
      </c>
      <c r="L39" s="3">
        <v>-5741000000</v>
      </c>
      <c r="M39" s="3">
        <v>-5350000000</v>
      </c>
      <c r="N39" s="3">
        <v>-4969000000</v>
      </c>
      <c r="O39" s="3">
        <v>-4595000000</v>
      </c>
      <c r="P39" s="3">
        <v>-4300000000</v>
      </c>
      <c r="Q39" s="3">
        <v>-4068000000</v>
      </c>
      <c r="R39" s="3">
        <v>-3800000000</v>
      </c>
      <c r="S39" s="3">
        <v>-3521000000</v>
      </c>
      <c r="T39" s="3">
        <v>-3149000000</v>
      </c>
      <c r="U39" s="3">
        <v>-2911000000</v>
      </c>
      <c r="V39" s="3">
        <v>-2678000000</v>
      </c>
      <c r="W39" s="3">
        <v>-2429000000</v>
      </c>
      <c r="X39" s="3">
        <v>-2166000000</v>
      </c>
      <c r="Y39" s="3">
        <v>-1987000000</v>
      </c>
      <c r="Z39" s="3">
        <v>-1791000000</v>
      </c>
      <c r="AA39" s="3">
        <v>-1685000000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2426F-1A8E-4611-8AA0-B4AE5B997379}">
  <dimension ref="A1:AF41"/>
  <sheetViews>
    <sheetView showGridLines="0" topLeftCell="W1" workbookViewId="0">
      <selection activeCell="Z17" sqref="Z17"/>
    </sheetView>
  </sheetViews>
  <sheetFormatPr defaultColWidth="20.7109375" defaultRowHeight="15" x14ac:dyDescent="0.25"/>
  <cols>
    <col min="1" max="3" width="20.7109375" customWidth="1"/>
    <col min="4" max="4" width="15.85546875" bestFit="1" customWidth="1"/>
    <col min="5" max="5" width="44.42578125" bestFit="1" customWidth="1"/>
    <col min="7" max="7" width="20.28515625" bestFit="1" customWidth="1"/>
    <col min="8" max="8" width="28.7109375" bestFit="1" customWidth="1"/>
    <col min="9" max="9" width="20.140625" bestFit="1" customWidth="1"/>
    <col min="10" max="10" width="26.28515625" bestFit="1" customWidth="1"/>
    <col min="11" max="11" width="25.7109375" bestFit="1" customWidth="1"/>
    <col min="12" max="12" width="30.7109375" bestFit="1" customWidth="1"/>
    <col min="13" max="13" width="33.140625" bestFit="1" customWidth="1"/>
    <col min="14" max="14" width="41.7109375" bestFit="1" customWidth="1"/>
    <col min="15" max="15" width="29.140625" bestFit="1" customWidth="1"/>
    <col min="16" max="16" width="27" bestFit="1" customWidth="1"/>
    <col min="17" max="18" width="34.7109375" bestFit="1" customWidth="1"/>
    <col min="19" max="19" width="30.85546875" bestFit="1" customWidth="1"/>
    <col min="20" max="20" width="24" bestFit="1" customWidth="1"/>
    <col min="21" max="21" width="32.28515625" bestFit="1" customWidth="1"/>
    <col min="22" max="22" width="18.42578125" bestFit="1" customWidth="1"/>
    <col min="23" max="23" width="15.42578125" bestFit="1" customWidth="1"/>
    <col min="24" max="24" width="33.85546875" bestFit="1" customWidth="1"/>
    <col min="25" max="25" width="37.5703125" bestFit="1" customWidth="1"/>
    <col min="26" max="26" width="34" bestFit="1" customWidth="1"/>
    <col min="27" max="27" width="46" bestFit="1" customWidth="1"/>
    <col min="28" max="28" width="24.42578125" bestFit="1" customWidth="1"/>
    <col min="29" max="29" width="32.7109375" bestFit="1" customWidth="1"/>
    <col min="30" max="30" width="13.5703125" bestFit="1" customWidth="1"/>
    <col min="31" max="31" width="25.7109375" bestFit="1" customWidth="1"/>
    <col min="32" max="32" width="28.28515625" bestFit="1" customWidth="1"/>
  </cols>
  <sheetData>
    <row r="1" spans="1:32" s="2" customFormat="1" x14ac:dyDescent="0.25">
      <c r="A1" s="9" t="s">
        <v>58</v>
      </c>
      <c r="B1" s="9" t="s">
        <v>59</v>
      </c>
      <c r="C1" s="9" t="s">
        <v>60</v>
      </c>
      <c r="D1" s="9" t="s">
        <v>1</v>
      </c>
      <c r="E1" s="9" t="s">
        <v>2</v>
      </c>
      <c r="F1" s="9" t="s">
        <v>3</v>
      </c>
      <c r="G1" s="9" t="s">
        <v>4</v>
      </c>
      <c r="H1" s="9" t="s">
        <v>5</v>
      </c>
      <c r="I1" s="9" t="s">
        <v>6</v>
      </c>
      <c r="J1" s="9" t="s">
        <v>7</v>
      </c>
      <c r="K1" s="9" t="s">
        <v>8</v>
      </c>
      <c r="L1" s="9" t="s">
        <v>9</v>
      </c>
      <c r="M1" s="9" t="s">
        <v>10</v>
      </c>
      <c r="N1" s="9" t="s">
        <v>11</v>
      </c>
      <c r="O1" s="9" t="s">
        <v>12</v>
      </c>
      <c r="P1" s="9" t="s">
        <v>13</v>
      </c>
      <c r="Q1" s="9" t="s">
        <v>14</v>
      </c>
      <c r="R1" s="9" t="s">
        <v>15</v>
      </c>
      <c r="S1" s="9" t="s">
        <v>16</v>
      </c>
      <c r="T1" s="9" t="s">
        <v>17</v>
      </c>
      <c r="U1" s="9" t="s">
        <v>18</v>
      </c>
      <c r="V1" s="9" t="s">
        <v>19</v>
      </c>
      <c r="W1" s="9" t="s">
        <v>20</v>
      </c>
      <c r="X1" s="9" t="s">
        <v>21</v>
      </c>
      <c r="Y1" s="9" t="s">
        <v>22</v>
      </c>
      <c r="Z1" s="9" t="s">
        <v>23</v>
      </c>
      <c r="AA1" s="9" t="s">
        <v>24</v>
      </c>
      <c r="AB1" s="9" t="s">
        <v>25</v>
      </c>
      <c r="AC1" s="9" t="s">
        <v>26</v>
      </c>
      <c r="AD1" s="9" t="s">
        <v>27</v>
      </c>
      <c r="AE1" s="9" t="s">
        <v>28</v>
      </c>
      <c r="AF1" s="9" t="s">
        <v>29</v>
      </c>
    </row>
    <row r="2" spans="1:32" x14ac:dyDescent="0.25">
      <c r="A2" s="2" t="s">
        <v>61</v>
      </c>
      <c r="B2" s="8">
        <f ca="1">TODAY()</f>
        <v>46089</v>
      </c>
      <c r="C2" s="2">
        <v>2025</v>
      </c>
      <c r="D2">
        <f>INDEX(Raw!$B$4:$AO$39, MATCH(D$1, Raw!$A$4:$A$39, 0), MATCH($C2, Raw!$B$1:$AO$1, 0))</f>
        <v>13137000000</v>
      </c>
      <c r="E2">
        <f>INDEX(Raw!$B$4:$AO$39, MATCH(E$1, Raw!$A$4:$A$39, 0), MATCH($C2, Raw!$B$1:$AO$1, 0))</f>
        <v>1050000000</v>
      </c>
      <c r="F2">
        <f>INDEX(Raw!$B$4:$AO$39, MATCH(F$1, Raw!$A$4:$A$39, 0), MATCH($C2, Raw!$B$1:$AO$1, 0))</f>
        <v>429000000</v>
      </c>
      <c r="G2">
        <f>INDEX(Raw!$B$4:$AO$39, MATCH(G$1, Raw!$A$4:$A$39, 0), MATCH($C2, Raw!$B$1:$AO$1, 0))</f>
        <v>1479000000</v>
      </c>
      <c r="H2">
        <f>INDEX(Raw!$B$4:$AO$39, MATCH(H$1, Raw!$A$4:$A$39, 0), MATCH($C2, Raw!$B$1:$AO$1, 0))</f>
        <v>0</v>
      </c>
      <c r="I2">
        <f>INDEX(Raw!$B$4:$AO$39, MATCH(I$1, Raw!$A$4:$A$39, 0), MATCH($C2, Raw!$B$1:$AO$1, 0))</f>
        <v>0</v>
      </c>
      <c r="J2">
        <f>INDEX(Raw!$B$4:$AO$39, MATCH(J$1, Raw!$A$4:$A$39, 0), MATCH($C2, Raw!$B$1:$AO$1, 0))</f>
        <v>0</v>
      </c>
      <c r="K2">
        <f>INDEX(Raw!$B$4:$AO$39, MATCH(K$1, Raw!$A$4:$A$39, 0), MATCH($C2, Raw!$B$1:$AO$1, 0))</f>
        <v>-7208000000</v>
      </c>
      <c r="L2">
        <f>INDEX(Raw!$B$4:$AO$39, MATCH(L$1, Raw!$A$4:$A$39, 0), MATCH($C2, Raw!$B$1:$AO$1, 0))</f>
        <v>-7208000000</v>
      </c>
      <c r="M2">
        <f>INDEX(Raw!$B$4:$AO$39, MATCH(M$1, Raw!$A$4:$A$39, 0), MATCH($C2, Raw!$B$1:$AO$1, 0))</f>
        <v>7408000000</v>
      </c>
      <c r="N2">
        <f>INDEX(Raw!$B$4:$AO$39, MATCH(N$1, Raw!$A$4:$A$39, 0), MATCH($C2, Raw!$B$1:$AO$1, 0))</f>
        <v>-2099000000</v>
      </c>
      <c r="O2">
        <f>INDEX(Raw!$B$4:$AO$39, MATCH(O$1, Raw!$A$4:$A$39, 0), MATCH($C2, Raw!$B$1:$AO$1, 0))</f>
        <v>0</v>
      </c>
      <c r="P2">
        <f>INDEX(Raw!$B$4:$AO$39, MATCH(P$1, Raw!$A$4:$A$39, 0), MATCH($C2, Raw!$B$1:$AO$1, 0))</f>
        <v>3106000000</v>
      </c>
      <c r="Q2">
        <f>INDEX(Raw!$B$4:$AO$39, MATCH(Q$1, Raw!$A$4:$A$39, 0), MATCH($C2, Raw!$B$1:$AO$1, 0))</f>
        <v>0</v>
      </c>
      <c r="R2">
        <f>INDEX(Raw!$B$4:$AO$39, MATCH(R$1, Raw!$A$4:$A$39, 0), MATCH($C2, Raw!$B$1:$AO$1, 0))</f>
        <v>-1495000000</v>
      </c>
      <c r="S2">
        <f>INDEX(Raw!$B$4:$AO$39, MATCH(S$1, Raw!$A$4:$A$39, 0), MATCH($C2, Raw!$B$1:$AO$1, 0))</f>
        <v>-1495000000</v>
      </c>
      <c r="T2">
        <f>INDEX(Raw!$B$4:$AO$39, MATCH(T$1, Raw!$A$4:$A$39, 0), MATCH($C2, Raw!$B$1:$AO$1, 0))</f>
        <v>421000000</v>
      </c>
      <c r="U2">
        <f>INDEX(Raw!$B$4:$AO$39, MATCH(U$1, Raw!$A$4:$A$39, 0), MATCH($C2, Raw!$B$1:$AO$1, 0))</f>
        <v>-67000000</v>
      </c>
      <c r="V2">
        <f>INDEX(Raw!$B$4:$AO$39, MATCH(V$1, Raw!$A$4:$A$39, 0), MATCH($C2, Raw!$B$1:$AO$1, 0))</f>
        <v>13000000</v>
      </c>
      <c r="W2">
        <f>INDEX(Raw!$B$4:$AO$39, MATCH(W$1, Raw!$A$4:$A$39, 0), MATCH($C2, Raw!$B$1:$AO$1, 0))</f>
        <v>0</v>
      </c>
      <c r="X2">
        <f>INDEX(Raw!$B$4:$AO$39, MATCH(X$1, Raw!$A$4:$A$39, 0), MATCH($C2, Raw!$B$1:$AO$1, 0))</f>
        <v>13000000</v>
      </c>
      <c r="Y2">
        <f>INDEX(Raw!$B$4:$AO$39, MATCH(Y$1, Raw!$A$4:$A$39, 0), MATCH($C2, Raw!$B$1:$AO$1, 0))</f>
        <v>-433000000</v>
      </c>
      <c r="Z2">
        <f>INDEX(Raw!$B$4:$AO$39, MATCH(Z$1, Raw!$A$4:$A$39, 0), MATCH($C2, Raw!$B$1:$AO$1, 0))</f>
        <v>-433000000</v>
      </c>
      <c r="AA2">
        <f>INDEX(Raw!$B$4:$AO$39, MATCH(AA$1, Raw!$A$4:$A$39, 0), MATCH($C2, Raw!$B$1:$AO$1, 0))</f>
        <v>-8779000000</v>
      </c>
      <c r="AB2">
        <f>INDEX(Raw!$B$4:$AO$39, MATCH(AB$1, Raw!$A$4:$A$39, 0), MATCH($C2, Raw!$B$1:$AO$1, 0))</f>
        <v>1059000000</v>
      </c>
      <c r="AC2">
        <f>INDEX(Raw!$B$4:$AO$39, MATCH(AC$1, Raw!$A$4:$A$39, 0), MATCH($C2, Raw!$B$1:$AO$1, 0))</f>
        <v>-8140000000</v>
      </c>
      <c r="AD2">
        <f>INDEX(Raw!$B$4:$AO$39, MATCH(AD$1, Raw!$A$4:$A$39, 0), MATCH($C2, Raw!$B$1:$AO$1, 0))</f>
        <v>-1218000000</v>
      </c>
      <c r="AE2">
        <f>INDEX(Raw!$B$4:$AO$39, MATCH(AE$1, Raw!$A$4:$A$39, 0), MATCH($C2, Raw!$B$1:$AO$1, 0))</f>
        <v>279000000</v>
      </c>
      <c r="AF2">
        <f>INDEX(Raw!$B$4:$AO$39, MATCH(AF$1, Raw!$A$4:$A$39, 0), MATCH($C2, Raw!$B$1:$AO$1, 0))</f>
        <v>-8779000000</v>
      </c>
    </row>
    <row r="3" spans="1:32" x14ac:dyDescent="0.25">
      <c r="A3" s="2" t="s">
        <v>61</v>
      </c>
      <c r="B3" s="8">
        <f t="shared" ref="B3:B41" ca="1" si="0">TODAY()</f>
        <v>46089</v>
      </c>
      <c r="C3" s="2">
        <v>2024</v>
      </c>
      <c r="D3">
        <f>INDEX(Raw!$B$4:$AO$39, MATCH(D$1, Raw!$A$4:$A$39, 0), MATCH($C3, Raw!$B$1:$AO$1, 0))</f>
        <v>10649000000</v>
      </c>
      <c r="E3">
        <f>INDEX(Raw!$B$4:$AO$39, MATCH(E$1, Raw!$A$4:$A$39, 0), MATCH($C3, Raw!$B$1:$AO$1, 0))</f>
        <v>1075000000</v>
      </c>
      <c r="F3">
        <f>INDEX(Raw!$B$4:$AO$39, MATCH(F$1, Raw!$A$4:$A$39, 0), MATCH($C3, Raw!$B$1:$AO$1, 0))</f>
        <v>1315000000</v>
      </c>
      <c r="G3">
        <f>INDEX(Raw!$B$4:$AO$39, MATCH(G$1, Raw!$A$4:$A$39, 0), MATCH($C3, Raw!$B$1:$AO$1, 0))</f>
        <v>2390000000</v>
      </c>
      <c r="H3">
        <f>INDEX(Raw!$B$4:$AO$39, MATCH(H$1, Raw!$A$4:$A$39, 0), MATCH($C3, Raw!$B$1:$AO$1, 0))</f>
        <v>0</v>
      </c>
      <c r="I3">
        <f>INDEX(Raw!$B$4:$AO$39, MATCH(I$1, Raw!$A$4:$A$39, 0), MATCH($C3, Raw!$B$1:$AO$1, 0))</f>
        <v>0</v>
      </c>
      <c r="J3">
        <f>INDEX(Raw!$B$4:$AO$39, MATCH(J$1, Raw!$A$4:$A$39, 0), MATCH($C3, Raw!$B$1:$AO$1, 0))</f>
        <v>0</v>
      </c>
      <c r="K3">
        <f>INDEX(Raw!$B$4:$AO$39, MATCH(K$1, Raw!$A$4:$A$39, 0), MATCH($C3, Raw!$B$1:$AO$1, 0))</f>
        <v>-6234000000</v>
      </c>
      <c r="L3">
        <f>INDEX(Raw!$B$4:$AO$39, MATCH(L$1, Raw!$A$4:$A$39, 0), MATCH($C3, Raw!$B$1:$AO$1, 0))</f>
        <v>-6234000000</v>
      </c>
      <c r="M3">
        <f>INDEX(Raw!$B$4:$AO$39, MATCH(M$1, Raw!$A$4:$A$39, 0), MATCH($C3, Raw!$B$1:$AO$1, 0))</f>
        <v>6805000000</v>
      </c>
      <c r="N3">
        <f>INDEX(Raw!$B$4:$AO$39, MATCH(N$1, Raw!$A$4:$A$39, 0), MATCH($C3, Raw!$B$1:$AO$1, 0))</f>
        <v>-2024000000</v>
      </c>
      <c r="O3">
        <f>INDEX(Raw!$B$4:$AO$39, MATCH(O$1, Raw!$A$4:$A$39, 0), MATCH($C3, Raw!$B$1:$AO$1, 0))</f>
        <v>0</v>
      </c>
      <c r="P3">
        <f>INDEX(Raw!$B$4:$AO$39, MATCH(P$1, Raw!$A$4:$A$39, 0), MATCH($C3, Raw!$B$1:$AO$1, 0))</f>
        <v>3170000000</v>
      </c>
      <c r="Q3">
        <f>INDEX(Raw!$B$4:$AO$39, MATCH(Q$1, Raw!$A$4:$A$39, 0), MATCH($C3, Raw!$B$1:$AO$1, 0))</f>
        <v>949000000</v>
      </c>
      <c r="R3">
        <f>INDEX(Raw!$B$4:$AO$39, MATCH(R$1, Raw!$A$4:$A$39, 0), MATCH($C3, Raw!$B$1:$AO$1, 0))</f>
        <v>0</v>
      </c>
      <c r="S3">
        <f>INDEX(Raw!$B$4:$AO$39, MATCH(S$1, Raw!$A$4:$A$39, 0), MATCH($C3, Raw!$B$1:$AO$1, 0))</f>
        <v>949000000</v>
      </c>
      <c r="T3">
        <f>INDEX(Raw!$B$4:$AO$39, MATCH(T$1, Raw!$A$4:$A$39, 0), MATCH($C3, Raw!$B$1:$AO$1, 0))</f>
        <v>429000000</v>
      </c>
      <c r="U3">
        <f>INDEX(Raw!$B$4:$AO$39, MATCH(U$1, Raw!$A$4:$A$39, 0), MATCH($C3, Raw!$B$1:$AO$1, 0))</f>
        <v>2524000000</v>
      </c>
      <c r="V3">
        <f>INDEX(Raw!$B$4:$AO$39, MATCH(V$1, Raw!$A$4:$A$39, 0), MATCH($C3, Raw!$B$1:$AO$1, 0))</f>
        <v>2528000000</v>
      </c>
      <c r="W3">
        <f>INDEX(Raw!$B$4:$AO$39, MATCH(W$1, Raw!$A$4:$A$39, 0), MATCH($C3, Raw!$B$1:$AO$1, 0))</f>
        <v>0</v>
      </c>
      <c r="X3">
        <f>INDEX(Raw!$B$4:$AO$39, MATCH(X$1, Raw!$A$4:$A$39, 0), MATCH($C3, Raw!$B$1:$AO$1, 0))</f>
        <v>2528000000</v>
      </c>
      <c r="Y3">
        <f>INDEX(Raw!$B$4:$AO$39, MATCH(Y$1, Raw!$A$4:$A$39, 0), MATCH($C3, Raw!$B$1:$AO$1, 0))</f>
        <v>-1048000000</v>
      </c>
      <c r="Z3">
        <f>INDEX(Raw!$B$4:$AO$39, MATCH(Z$1, Raw!$A$4:$A$39, 0), MATCH($C3, Raw!$B$1:$AO$1, 0))</f>
        <v>-1048000000</v>
      </c>
      <c r="AA3">
        <f>INDEX(Raw!$B$4:$AO$39, MATCH(AA$1, Raw!$A$4:$A$39, 0), MATCH($C3, Raw!$B$1:$AO$1, 0))</f>
        <v>-8359000000</v>
      </c>
      <c r="AB3">
        <f>INDEX(Raw!$B$4:$AO$39, MATCH(AB$1, Raw!$A$4:$A$39, 0), MATCH($C3, Raw!$B$1:$AO$1, 0))</f>
        <v>-31000000</v>
      </c>
      <c r="AC3">
        <f>INDEX(Raw!$B$4:$AO$39, MATCH(AC$1, Raw!$A$4:$A$39, 0), MATCH($C3, Raw!$B$1:$AO$1, 0))</f>
        <v>-6910000000</v>
      </c>
      <c r="AD3">
        <f>INDEX(Raw!$B$4:$AO$39, MATCH(AD$1, Raw!$A$4:$A$39, 0), MATCH($C3, Raw!$B$1:$AO$1, 0))</f>
        <v>1136000000</v>
      </c>
      <c r="AE3">
        <f>INDEX(Raw!$B$4:$AO$39, MATCH(AE$1, Raw!$A$4:$A$39, 0), MATCH($C3, Raw!$B$1:$AO$1, 0))</f>
        <v>286000000</v>
      </c>
      <c r="AF3">
        <f>INDEX(Raw!$B$4:$AO$39, MATCH(AF$1, Raw!$A$4:$A$39, 0), MATCH($C3, Raw!$B$1:$AO$1, 0))</f>
        <v>-8359000000</v>
      </c>
    </row>
    <row r="4" spans="1:32" x14ac:dyDescent="0.25">
      <c r="A4" s="2" t="s">
        <v>61</v>
      </c>
      <c r="B4" s="8">
        <f t="shared" ca="1" si="0"/>
        <v>46089</v>
      </c>
      <c r="C4" s="2">
        <v>2023</v>
      </c>
      <c r="D4">
        <f>INDEX(Raw!$B$4:$AO$39, MATCH(D$1, Raw!$A$4:$A$39, 0), MATCH($C4, Raw!$B$1:$AO$1, 0))</f>
        <v>10703000000</v>
      </c>
      <c r="E4">
        <f>INDEX(Raw!$B$4:$AO$39, MATCH(E$1, Raw!$A$4:$A$39, 0), MATCH($C4, Raw!$B$1:$AO$1, 0))</f>
        <v>1128000000</v>
      </c>
      <c r="F4">
        <f>INDEX(Raw!$B$4:$AO$39, MATCH(F$1, Raw!$A$4:$A$39, 0), MATCH($C4, Raw!$B$1:$AO$1, 0))</f>
        <v>614000000</v>
      </c>
      <c r="G4">
        <f>INDEX(Raw!$B$4:$AO$39, MATCH(G$1, Raw!$A$4:$A$39, 0), MATCH($C4, Raw!$B$1:$AO$1, 0))</f>
        <v>1742000000</v>
      </c>
      <c r="H4">
        <f>INDEX(Raw!$B$4:$AO$39, MATCH(H$1, Raw!$A$4:$A$39, 0), MATCH($C4, Raw!$B$1:$AO$1, 0))</f>
        <v>0</v>
      </c>
      <c r="I4">
        <f>INDEX(Raw!$B$4:$AO$39, MATCH(I$1, Raw!$A$4:$A$39, 0), MATCH($C4, Raw!$B$1:$AO$1, 0))</f>
        <v>0</v>
      </c>
      <c r="J4">
        <f>INDEX(Raw!$B$4:$AO$39, MATCH(J$1, Raw!$A$4:$A$39, 0), MATCH($C4, Raw!$B$1:$AO$1, 0))</f>
        <v>0</v>
      </c>
      <c r="K4">
        <f>INDEX(Raw!$B$4:$AO$39, MATCH(K$1, Raw!$A$4:$A$39, 0), MATCH($C4, Raw!$B$1:$AO$1, 0))</f>
        <v>-846000000</v>
      </c>
      <c r="L4">
        <f>INDEX(Raw!$B$4:$AO$39, MATCH(L$1, Raw!$A$4:$A$39, 0), MATCH($C4, Raw!$B$1:$AO$1, 0))</f>
        <v>-846000000</v>
      </c>
      <c r="M4">
        <f>INDEX(Raw!$B$4:$AO$39, MATCH(M$1, Raw!$A$4:$A$39, 0), MATCH($C4, Raw!$B$1:$AO$1, 0))</f>
        <v>11599000000</v>
      </c>
      <c r="N4">
        <f>INDEX(Raw!$B$4:$AO$39, MATCH(N$1, Raw!$A$4:$A$39, 0), MATCH($C4, Raw!$B$1:$AO$1, 0))</f>
        <v>-1778000000</v>
      </c>
      <c r="O4">
        <f>INDEX(Raw!$B$4:$AO$39, MATCH(O$1, Raw!$A$4:$A$39, 0), MATCH($C4, Raw!$B$1:$AO$1, 0))</f>
        <v>0</v>
      </c>
      <c r="P4">
        <f>INDEX(Raw!$B$4:$AO$39, MATCH(P$1, Raw!$A$4:$A$39, 0), MATCH($C4, Raw!$B$1:$AO$1, 0))</f>
        <v>368000000</v>
      </c>
      <c r="Q4">
        <f>INDEX(Raw!$B$4:$AO$39, MATCH(Q$1, Raw!$A$4:$A$39, 0), MATCH($C4, Raw!$B$1:$AO$1, 0))</f>
        <v>-2344000000</v>
      </c>
      <c r="R4">
        <f>INDEX(Raw!$B$4:$AO$39, MATCH(R$1, Raw!$A$4:$A$39, 0), MATCH($C4, Raw!$B$1:$AO$1, 0))</f>
        <v>0</v>
      </c>
      <c r="S4">
        <f>INDEX(Raw!$B$4:$AO$39, MATCH(S$1, Raw!$A$4:$A$39, 0), MATCH($C4, Raw!$B$1:$AO$1, 0))</f>
        <v>-2344000000</v>
      </c>
      <c r="T4">
        <f>INDEX(Raw!$B$4:$AO$39, MATCH(T$1, Raw!$A$4:$A$39, 0), MATCH($C4, Raw!$B$1:$AO$1, 0))</f>
        <v>405000000</v>
      </c>
      <c r="U4">
        <f>INDEX(Raw!$B$4:$AO$39, MATCH(U$1, Raw!$A$4:$A$39, 0), MATCH($C4, Raw!$B$1:$AO$1, 0))</f>
        <v>-3349000000</v>
      </c>
      <c r="V4">
        <f>INDEX(Raw!$B$4:$AO$39, MATCH(V$1, Raw!$A$4:$A$39, 0), MATCH($C4, Raw!$B$1:$AO$1, 0))</f>
        <v>1857000000</v>
      </c>
      <c r="W4">
        <f>INDEX(Raw!$B$4:$AO$39, MATCH(W$1, Raw!$A$4:$A$39, 0), MATCH($C4, Raw!$B$1:$AO$1, 0))</f>
        <v>0</v>
      </c>
      <c r="X4">
        <f>INDEX(Raw!$B$4:$AO$39, MATCH(X$1, Raw!$A$4:$A$39, 0), MATCH($C4, Raw!$B$1:$AO$1, 0))</f>
        <v>1857000000</v>
      </c>
      <c r="Y4">
        <f>INDEX(Raw!$B$4:$AO$39, MATCH(Y$1, Raw!$A$4:$A$39, 0), MATCH($C4, Raw!$B$1:$AO$1, 0))</f>
        <v>-1750000000</v>
      </c>
      <c r="Z4">
        <f>INDEX(Raw!$B$4:$AO$39, MATCH(Z$1, Raw!$A$4:$A$39, 0), MATCH($C4, Raw!$B$1:$AO$1, 0))</f>
        <v>-1750000000</v>
      </c>
      <c r="AA4">
        <f>INDEX(Raw!$B$4:$AO$39, MATCH(AA$1, Raw!$A$4:$A$39, 0), MATCH($C4, Raw!$B$1:$AO$1, 0))</f>
        <v>-7952000000</v>
      </c>
      <c r="AB4">
        <f>INDEX(Raw!$B$4:$AO$39, MATCH(AB$1, Raw!$A$4:$A$39, 0), MATCH($C4, Raw!$B$1:$AO$1, 0))</f>
        <v>-465000000</v>
      </c>
      <c r="AC4">
        <f>INDEX(Raw!$B$4:$AO$39, MATCH(AC$1, Raw!$A$4:$A$39, 0), MATCH($C4, Raw!$B$1:$AO$1, 0))</f>
        <v>-8310000000</v>
      </c>
      <c r="AD4">
        <f>INDEX(Raw!$B$4:$AO$39, MATCH(AD$1, Raw!$A$4:$A$39, 0), MATCH($C4, Raw!$B$1:$AO$1, 0))</f>
        <v>-459000000</v>
      </c>
      <c r="AE4">
        <f>INDEX(Raw!$B$4:$AO$39, MATCH(AE$1, Raw!$A$4:$A$39, 0), MATCH($C4, Raw!$B$1:$AO$1, 0))</f>
        <v>254000000</v>
      </c>
      <c r="AF4">
        <f>INDEX(Raw!$B$4:$AO$39, MATCH(AF$1, Raw!$A$4:$A$39, 0), MATCH($C4, Raw!$B$1:$AO$1, 0))</f>
        <v>-7952000000</v>
      </c>
    </row>
    <row r="5" spans="1:32" x14ac:dyDescent="0.25">
      <c r="A5" s="2" t="s">
        <v>61</v>
      </c>
      <c r="B5" s="8">
        <f t="shared" ca="1" si="0"/>
        <v>46089</v>
      </c>
      <c r="C5" s="2">
        <v>2022</v>
      </c>
      <c r="D5">
        <f>INDEX(Raw!$B$4:$AO$39, MATCH(D$1, Raw!$A$4:$A$39, 0), MATCH($C5, Raw!$B$1:$AO$1, 0))</f>
        <v>9571000000</v>
      </c>
      <c r="E5">
        <f>INDEX(Raw!$B$4:$AO$39, MATCH(E$1, Raw!$A$4:$A$39, 0), MATCH($C5, Raw!$B$1:$AO$1, 0))</f>
        <v>1260000000</v>
      </c>
      <c r="F5">
        <f>INDEX(Raw!$B$4:$AO$39, MATCH(F$1, Raw!$A$4:$A$39, 0), MATCH($C5, Raw!$B$1:$AO$1, 0))</f>
        <v>792000000</v>
      </c>
      <c r="G5">
        <f>INDEX(Raw!$B$4:$AO$39, MATCH(G$1, Raw!$A$4:$A$39, 0), MATCH($C5, Raw!$B$1:$AO$1, 0))</f>
        <v>2052000000</v>
      </c>
      <c r="H5">
        <f>INDEX(Raw!$B$4:$AO$39, MATCH(H$1, Raw!$A$4:$A$39, 0), MATCH($C5, Raw!$B$1:$AO$1, 0))</f>
        <v>0</v>
      </c>
      <c r="I5">
        <f>INDEX(Raw!$B$4:$AO$39, MATCH(I$1, Raw!$A$4:$A$39, 0), MATCH($C5, Raw!$B$1:$AO$1, 0))</f>
        <v>0</v>
      </c>
      <c r="J5">
        <f>INDEX(Raw!$B$4:$AO$39, MATCH(J$1, Raw!$A$4:$A$39, 0), MATCH($C5, Raw!$B$1:$AO$1, 0))</f>
        <v>0</v>
      </c>
      <c r="K5">
        <f>INDEX(Raw!$B$4:$AO$39, MATCH(K$1, Raw!$A$4:$A$39, 0), MATCH($C5, Raw!$B$1:$AO$1, 0))</f>
        <v>-605000000</v>
      </c>
      <c r="L5">
        <f>INDEX(Raw!$B$4:$AO$39, MATCH(L$1, Raw!$A$4:$A$39, 0), MATCH($C5, Raw!$B$1:$AO$1, 0))</f>
        <v>-605000000</v>
      </c>
      <c r="M5">
        <f>INDEX(Raw!$B$4:$AO$39, MATCH(M$1, Raw!$A$4:$A$39, 0), MATCH($C5, Raw!$B$1:$AO$1, 0))</f>
        <v>11018000000</v>
      </c>
      <c r="N5">
        <f>INDEX(Raw!$B$4:$AO$39, MATCH(N$1, Raw!$A$4:$A$39, 0), MATCH($C5, Raw!$B$1:$AO$1, 0))</f>
        <v>-1409000000</v>
      </c>
      <c r="O5">
        <f>INDEX(Raw!$B$4:$AO$39, MATCH(O$1, Raw!$A$4:$A$39, 0), MATCH($C5, Raw!$B$1:$AO$1, 0))</f>
        <v>0</v>
      </c>
      <c r="P5">
        <f>INDEX(Raw!$B$4:$AO$39, MATCH(P$1, Raw!$A$4:$A$39, 0), MATCH($C5, Raw!$B$1:$AO$1, 0))</f>
        <v>385000000</v>
      </c>
      <c r="Q5">
        <f>INDEX(Raw!$B$4:$AO$39, MATCH(Q$1, Raw!$A$4:$A$39, 0), MATCH($C5, Raw!$B$1:$AO$1, 0))</f>
        <v>1020000000</v>
      </c>
      <c r="R5">
        <f>INDEX(Raw!$B$4:$AO$39, MATCH(R$1, Raw!$A$4:$A$39, 0), MATCH($C5, Raw!$B$1:$AO$1, 0))</f>
        <v>0</v>
      </c>
      <c r="S5">
        <f>INDEX(Raw!$B$4:$AO$39, MATCH(S$1, Raw!$A$4:$A$39, 0), MATCH($C5, Raw!$B$1:$AO$1, 0))</f>
        <v>1020000000</v>
      </c>
      <c r="T5">
        <f>INDEX(Raw!$B$4:$AO$39, MATCH(T$1, Raw!$A$4:$A$39, 0), MATCH($C5, Raw!$B$1:$AO$1, 0))</f>
        <v>-759000000</v>
      </c>
      <c r="U5">
        <f>INDEX(Raw!$B$4:$AO$39, MATCH(U$1, Raw!$A$4:$A$39, 0), MATCH($C5, Raw!$B$1:$AO$1, 0))</f>
        <v>-763000000</v>
      </c>
      <c r="V5">
        <f>INDEX(Raw!$B$4:$AO$39, MATCH(V$1, Raw!$A$4:$A$39, 0), MATCH($C5, Raw!$B$1:$AO$1, 0))</f>
        <v>-958000000</v>
      </c>
      <c r="W5">
        <f>INDEX(Raw!$B$4:$AO$39, MATCH(W$1, Raw!$A$4:$A$39, 0), MATCH($C5, Raw!$B$1:$AO$1, 0))</f>
        <v>0</v>
      </c>
      <c r="X5">
        <f>INDEX(Raw!$B$4:$AO$39, MATCH(X$1, Raw!$A$4:$A$39, 0), MATCH($C5, Raw!$B$1:$AO$1, 0))</f>
        <v>-958000000</v>
      </c>
      <c r="Y5">
        <f>INDEX(Raw!$B$4:$AO$39, MATCH(Y$1, Raw!$A$4:$A$39, 0), MATCH($C5, Raw!$B$1:$AO$1, 0))</f>
        <v>-581000000</v>
      </c>
      <c r="Z5">
        <f>INDEX(Raw!$B$4:$AO$39, MATCH(Z$1, Raw!$A$4:$A$39, 0), MATCH($C5, Raw!$B$1:$AO$1, 0))</f>
        <v>-581000000</v>
      </c>
      <c r="AA5">
        <f>INDEX(Raw!$B$4:$AO$39, MATCH(AA$1, Raw!$A$4:$A$39, 0), MATCH($C5, Raw!$B$1:$AO$1, 0))</f>
        <v>-7616000000</v>
      </c>
      <c r="AB5">
        <f>INDEX(Raw!$B$4:$AO$39, MATCH(AB$1, Raw!$A$4:$A$39, 0), MATCH($C5, Raw!$B$1:$AO$1, 0))</f>
        <v>-1095000000</v>
      </c>
      <c r="AC5">
        <f>INDEX(Raw!$B$4:$AO$39, MATCH(AC$1, Raw!$A$4:$A$39, 0), MATCH($C5, Raw!$B$1:$AO$1, 0))</f>
        <v>-10250000000</v>
      </c>
      <c r="AD5">
        <f>INDEX(Raw!$B$4:$AO$39, MATCH(AD$1, Raw!$A$4:$A$39, 0), MATCH($C5, Raw!$B$1:$AO$1, 0))</f>
        <v>-506000000</v>
      </c>
      <c r="AE5">
        <f>INDEX(Raw!$B$4:$AO$39, MATCH(AE$1, Raw!$A$4:$A$39, 0), MATCH($C5, Raw!$B$1:$AO$1, 0))</f>
        <v>356000000</v>
      </c>
      <c r="AF5">
        <f>INDEX(Raw!$B$4:$AO$39, MATCH(AF$1, Raw!$A$4:$A$39, 0), MATCH($C5, Raw!$B$1:$AO$1, 0))</f>
        <v>-7616000000</v>
      </c>
    </row>
    <row r="6" spans="1:32" x14ac:dyDescent="0.25">
      <c r="A6" s="2" t="s">
        <v>61</v>
      </c>
      <c r="B6" s="8">
        <f t="shared" ca="1" si="0"/>
        <v>46089</v>
      </c>
      <c r="C6" s="2">
        <v>2021</v>
      </c>
      <c r="D6">
        <f>INDEX(Raw!$B$4:$AO$39, MATCH(D$1, Raw!$A$4:$A$39, 0), MATCH($C6, Raw!$B$1:$AO$1, 0))</f>
        <v>9804000000</v>
      </c>
      <c r="E6">
        <f>INDEX(Raw!$B$4:$AO$39, MATCH(E$1, Raw!$A$4:$A$39, 0), MATCH($C6, Raw!$B$1:$AO$1, 0))</f>
        <v>1452000000</v>
      </c>
      <c r="F6">
        <f>INDEX(Raw!$B$4:$AO$39, MATCH(F$1, Raw!$A$4:$A$39, 0), MATCH($C6, Raw!$B$1:$AO$1, 0))</f>
        <v>44000000</v>
      </c>
      <c r="G6">
        <f>INDEX(Raw!$B$4:$AO$39, MATCH(G$1, Raw!$A$4:$A$39, 0), MATCH($C6, Raw!$B$1:$AO$1, 0))</f>
        <v>1496000000</v>
      </c>
      <c r="H6">
        <f>INDEX(Raw!$B$4:$AO$39, MATCH(H$1, Raw!$A$4:$A$39, 0), MATCH($C6, Raw!$B$1:$AO$1, 0))</f>
        <v>0</v>
      </c>
      <c r="I6">
        <f>INDEX(Raw!$B$4:$AO$39, MATCH(I$1, Raw!$A$4:$A$39, 0), MATCH($C6, Raw!$B$1:$AO$1, 0))</f>
        <v>0</v>
      </c>
      <c r="J6">
        <f>INDEX(Raw!$B$4:$AO$39, MATCH(J$1, Raw!$A$4:$A$39, 0), MATCH($C6, Raw!$B$1:$AO$1, 0))</f>
        <v>0</v>
      </c>
      <c r="K6">
        <f>INDEX(Raw!$B$4:$AO$39, MATCH(K$1, Raw!$A$4:$A$39, 0), MATCH($C6, Raw!$B$1:$AO$1, 0))</f>
        <v>1325000000</v>
      </c>
      <c r="L6">
        <f>INDEX(Raw!$B$4:$AO$39, MATCH(L$1, Raw!$A$4:$A$39, 0), MATCH($C6, Raw!$B$1:$AO$1, 0))</f>
        <v>1325000000</v>
      </c>
      <c r="M6">
        <f>INDEX(Raw!$B$4:$AO$39, MATCH(M$1, Raw!$A$4:$A$39, 0), MATCH($C6, Raw!$B$1:$AO$1, 0))</f>
        <v>12625000000</v>
      </c>
      <c r="N6">
        <f>INDEX(Raw!$B$4:$AO$39, MATCH(N$1, Raw!$A$4:$A$39, 0), MATCH($C6, Raw!$B$1:$AO$1, 0))</f>
        <v>-1259000000</v>
      </c>
      <c r="O6">
        <f>INDEX(Raw!$B$4:$AO$39, MATCH(O$1, Raw!$A$4:$A$39, 0), MATCH($C6, Raw!$B$1:$AO$1, 0))</f>
        <v>0</v>
      </c>
      <c r="P6">
        <f>INDEX(Raw!$B$4:$AO$39, MATCH(P$1, Raw!$A$4:$A$39, 0), MATCH($C6, Raw!$B$1:$AO$1, 0))</f>
        <v>-2586000000</v>
      </c>
      <c r="Q6">
        <f>INDEX(Raw!$B$4:$AO$39, MATCH(Q$1, Raw!$A$4:$A$39, 0), MATCH($C6, Raw!$B$1:$AO$1, 0))</f>
        <v>1029000000</v>
      </c>
      <c r="R6">
        <f>INDEX(Raw!$B$4:$AO$39, MATCH(R$1, Raw!$A$4:$A$39, 0), MATCH($C6, Raw!$B$1:$AO$1, 0))</f>
        <v>0</v>
      </c>
      <c r="S6">
        <f>INDEX(Raw!$B$4:$AO$39, MATCH(S$1, Raw!$A$4:$A$39, 0), MATCH($C6, Raw!$B$1:$AO$1, 0))</f>
        <v>1029000000</v>
      </c>
      <c r="T6">
        <f>INDEX(Raw!$B$4:$AO$39, MATCH(T$1, Raw!$A$4:$A$39, 0), MATCH($C6, Raw!$B$1:$AO$1, 0))</f>
        <v>51000000</v>
      </c>
      <c r="U6">
        <f>INDEX(Raw!$B$4:$AO$39, MATCH(U$1, Raw!$A$4:$A$39, 0), MATCH($C6, Raw!$B$1:$AO$1, 0))</f>
        <v>-2765000000</v>
      </c>
      <c r="V6">
        <f>INDEX(Raw!$B$4:$AO$39, MATCH(V$1, Raw!$A$4:$A$39, 0), MATCH($C6, Raw!$B$1:$AO$1, 0))</f>
        <v>228000000</v>
      </c>
      <c r="W6">
        <f>INDEX(Raw!$B$4:$AO$39, MATCH(W$1, Raw!$A$4:$A$39, 0), MATCH($C6, Raw!$B$1:$AO$1, 0))</f>
        <v>0</v>
      </c>
      <c r="X6">
        <f>INDEX(Raw!$B$4:$AO$39, MATCH(X$1, Raw!$A$4:$A$39, 0), MATCH($C6, Raw!$B$1:$AO$1, 0))</f>
        <v>228000000</v>
      </c>
      <c r="Y6">
        <f>INDEX(Raw!$B$4:$AO$39, MATCH(Y$1, Raw!$A$4:$A$39, 0), MATCH($C6, Raw!$B$1:$AO$1, 0))</f>
        <v>591000000</v>
      </c>
      <c r="Z6">
        <f>INDEX(Raw!$B$4:$AO$39, MATCH(Z$1, Raw!$A$4:$A$39, 0), MATCH($C6, Raw!$B$1:$AO$1, 0))</f>
        <v>591000000</v>
      </c>
      <c r="AA6">
        <f>INDEX(Raw!$B$4:$AO$39, MATCH(AA$1, Raw!$A$4:$A$39, 0), MATCH($C6, Raw!$B$1:$AO$1, 0))</f>
        <v>-7252000000</v>
      </c>
      <c r="AB6">
        <f>INDEX(Raw!$B$4:$AO$39, MATCH(AB$1, Raw!$A$4:$A$39, 0), MATCH($C6, Raw!$B$1:$AO$1, 0))</f>
        <v>-353000000</v>
      </c>
      <c r="AC6">
        <f>INDEX(Raw!$B$4:$AO$39, MATCH(AC$1, Raw!$A$4:$A$39, 0), MATCH($C6, Raw!$B$1:$AO$1, 0))</f>
        <v>-6786000000</v>
      </c>
      <c r="AD6">
        <f>INDEX(Raw!$B$4:$AO$39, MATCH(AD$1, Raw!$A$4:$A$39, 0), MATCH($C6, Raw!$B$1:$AO$1, 0))</f>
        <v>2574000000</v>
      </c>
      <c r="AE6">
        <f>INDEX(Raw!$B$4:$AO$39, MATCH(AE$1, Raw!$A$4:$A$39, 0), MATCH($C6, Raw!$B$1:$AO$1, 0))</f>
        <v>337000000</v>
      </c>
      <c r="AF6">
        <f>INDEX(Raw!$B$4:$AO$39, MATCH(AF$1, Raw!$A$4:$A$39, 0), MATCH($C6, Raw!$B$1:$AO$1, 0))</f>
        <v>-7252000000</v>
      </c>
    </row>
    <row r="7" spans="1:32" x14ac:dyDescent="0.25">
      <c r="A7" s="2" t="s">
        <v>61</v>
      </c>
      <c r="B7" s="8">
        <f t="shared" ca="1" si="0"/>
        <v>46089</v>
      </c>
      <c r="C7" s="2">
        <v>2020</v>
      </c>
      <c r="D7">
        <f>INDEX(Raw!$B$4:$AO$39, MATCH(D$1, Raw!$A$4:$A$39, 0), MATCH($C7, Raw!$B$1:$AO$1, 0))</f>
        <v>7768000000</v>
      </c>
      <c r="E7">
        <f>INDEX(Raw!$B$4:$AO$39, MATCH(E$1, Raw!$A$4:$A$39, 0), MATCH($C7, Raw!$B$1:$AO$1, 0))</f>
        <v>1536000000</v>
      </c>
      <c r="F7">
        <f>INDEX(Raw!$B$4:$AO$39, MATCH(F$1, Raw!$A$4:$A$39, 0), MATCH($C7, Raw!$B$1:$AO$1, 0))</f>
        <v>-150000000</v>
      </c>
      <c r="G7">
        <f>INDEX(Raw!$B$4:$AO$39, MATCH(G$1, Raw!$A$4:$A$39, 0), MATCH($C7, Raw!$B$1:$AO$1, 0))</f>
        <v>1386000000</v>
      </c>
      <c r="H7">
        <f>INDEX(Raw!$B$4:$AO$39, MATCH(H$1, Raw!$A$4:$A$39, 0), MATCH($C7, Raw!$B$1:$AO$1, 0))</f>
        <v>0</v>
      </c>
      <c r="I7">
        <f>INDEX(Raw!$B$4:$AO$39, MATCH(I$1, Raw!$A$4:$A$39, 0), MATCH($C7, Raw!$B$1:$AO$1, 0))</f>
        <v>0</v>
      </c>
      <c r="J7">
        <f>INDEX(Raw!$B$4:$AO$39, MATCH(J$1, Raw!$A$4:$A$39, 0), MATCH($C7, Raw!$B$1:$AO$1, 0))</f>
        <v>0</v>
      </c>
      <c r="K7">
        <f>INDEX(Raw!$B$4:$AO$39, MATCH(K$1, Raw!$A$4:$A$39, 0), MATCH($C7, Raw!$B$1:$AO$1, 0))</f>
        <v>690000000</v>
      </c>
      <c r="L7">
        <f>INDEX(Raw!$B$4:$AO$39, MATCH(L$1, Raw!$A$4:$A$39, 0), MATCH($C7, Raw!$B$1:$AO$1, 0))</f>
        <v>690000000</v>
      </c>
      <c r="M7">
        <f>INDEX(Raw!$B$4:$AO$39, MATCH(M$1, Raw!$A$4:$A$39, 0), MATCH($C7, Raw!$B$1:$AO$1, 0))</f>
        <v>9844000000</v>
      </c>
      <c r="N7">
        <f>INDEX(Raw!$B$4:$AO$39, MATCH(N$1, Raw!$A$4:$A$39, 0), MATCH($C7, Raw!$B$1:$AO$1, 0))</f>
        <v>-988000000</v>
      </c>
      <c r="O7">
        <f>INDEX(Raw!$B$4:$AO$39, MATCH(O$1, Raw!$A$4:$A$39, 0), MATCH($C7, Raw!$B$1:$AO$1, 0))</f>
        <v>0</v>
      </c>
      <c r="P7">
        <f>INDEX(Raw!$B$4:$AO$39, MATCH(P$1, Raw!$A$4:$A$39, 0), MATCH($C7, Raw!$B$1:$AO$1, 0))</f>
        <v>-863000000</v>
      </c>
      <c r="Q7">
        <f>INDEX(Raw!$B$4:$AO$39, MATCH(Q$1, Raw!$A$4:$A$39, 0), MATCH($C7, Raw!$B$1:$AO$1, 0))</f>
        <v>252000000</v>
      </c>
      <c r="R7">
        <f>INDEX(Raw!$B$4:$AO$39, MATCH(R$1, Raw!$A$4:$A$39, 0), MATCH($C7, Raw!$B$1:$AO$1, 0))</f>
        <v>0</v>
      </c>
      <c r="S7">
        <f>INDEX(Raw!$B$4:$AO$39, MATCH(S$1, Raw!$A$4:$A$39, 0), MATCH($C7, Raw!$B$1:$AO$1, 0))</f>
        <v>252000000</v>
      </c>
      <c r="T7">
        <f>INDEX(Raw!$B$4:$AO$39, MATCH(T$1, Raw!$A$4:$A$39, 0), MATCH($C7, Raw!$B$1:$AO$1, 0))</f>
        <v>122000000</v>
      </c>
      <c r="U7">
        <f>INDEX(Raw!$B$4:$AO$39, MATCH(U$1, Raw!$A$4:$A$39, 0), MATCH($C7, Raw!$B$1:$AO$1, 0))</f>
        <v>-1477000000</v>
      </c>
      <c r="V7">
        <f>INDEX(Raw!$B$4:$AO$39, MATCH(V$1, Raw!$A$4:$A$39, 0), MATCH($C7, Raw!$B$1:$AO$1, 0))</f>
        <v>-1862000000</v>
      </c>
      <c r="W7">
        <f>INDEX(Raw!$B$4:$AO$39, MATCH(W$1, Raw!$A$4:$A$39, 0), MATCH($C7, Raw!$B$1:$AO$1, 0))</f>
        <v>0</v>
      </c>
      <c r="X7">
        <f>INDEX(Raw!$B$4:$AO$39, MATCH(X$1, Raw!$A$4:$A$39, 0), MATCH($C7, Raw!$B$1:$AO$1, 0))</f>
        <v>-1862000000</v>
      </c>
      <c r="Y7">
        <f>INDEX(Raw!$B$4:$AO$39, MATCH(Y$1, Raw!$A$4:$A$39, 0), MATCH($C7, Raw!$B$1:$AO$1, 0))</f>
        <v>529000000</v>
      </c>
      <c r="Z7">
        <f>INDEX(Raw!$B$4:$AO$39, MATCH(Z$1, Raw!$A$4:$A$39, 0), MATCH($C7, Raw!$B$1:$AO$1, 0))</f>
        <v>529000000</v>
      </c>
      <c r="AA7">
        <f>INDEX(Raw!$B$4:$AO$39, MATCH(AA$1, Raw!$A$4:$A$39, 0), MATCH($C7, Raw!$B$1:$AO$1, 0))</f>
        <v>-7047000000</v>
      </c>
      <c r="AB7">
        <f>INDEX(Raw!$B$4:$AO$39, MATCH(AB$1, Raw!$A$4:$A$39, 0), MATCH($C7, Raw!$B$1:$AO$1, 0))</f>
        <v>310000000</v>
      </c>
      <c r="AC7">
        <f>INDEX(Raw!$B$4:$AO$39, MATCH(AC$1, Raw!$A$4:$A$39, 0), MATCH($C7, Raw!$B$1:$AO$1, 0))</f>
        <v>-8070000000</v>
      </c>
      <c r="AD7">
        <f>INDEX(Raw!$B$4:$AO$39, MATCH(AD$1, Raw!$A$4:$A$39, 0), MATCH($C7, Raw!$B$1:$AO$1, 0))</f>
        <v>58000000</v>
      </c>
      <c r="AE7">
        <f>INDEX(Raw!$B$4:$AO$39, MATCH(AE$1, Raw!$A$4:$A$39, 0), MATCH($C7, Raw!$B$1:$AO$1, 0))</f>
        <v>126000000</v>
      </c>
      <c r="AF7">
        <f>INDEX(Raw!$B$4:$AO$39, MATCH(AF$1, Raw!$A$4:$A$39, 0), MATCH($C7, Raw!$B$1:$AO$1, 0))</f>
        <v>-7047000000</v>
      </c>
    </row>
    <row r="8" spans="1:32" x14ac:dyDescent="0.25">
      <c r="A8" s="2" t="s">
        <v>61</v>
      </c>
      <c r="B8" s="8">
        <f t="shared" ca="1" si="0"/>
        <v>46089</v>
      </c>
      <c r="C8" s="2">
        <v>2019</v>
      </c>
      <c r="D8">
        <f>INDEX(Raw!$B$4:$AO$39, MATCH(D$1, Raw!$A$4:$A$39, 0), MATCH($C8, Raw!$B$1:$AO$1, 0))</f>
        <v>8985000000</v>
      </c>
      <c r="E8">
        <f>INDEX(Raw!$B$4:$AO$39, MATCH(E$1, Raw!$A$4:$A$39, 0), MATCH($C8, Raw!$B$1:$AO$1, 0))</f>
        <v>1365000000</v>
      </c>
      <c r="F8">
        <f>INDEX(Raw!$B$4:$AO$39, MATCH(F$1, Raw!$A$4:$A$39, 0), MATCH($C8, Raw!$B$1:$AO$1, 0))</f>
        <v>-245000000</v>
      </c>
      <c r="G8">
        <f>INDEX(Raw!$B$4:$AO$39, MATCH(G$1, Raw!$A$4:$A$39, 0), MATCH($C8, Raw!$B$1:$AO$1, 0))</f>
        <v>1120000000</v>
      </c>
      <c r="H8">
        <f>INDEX(Raw!$B$4:$AO$39, MATCH(H$1, Raw!$A$4:$A$39, 0), MATCH($C8, Raw!$B$1:$AO$1, 0))</f>
        <v>0</v>
      </c>
      <c r="I8">
        <f>INDEX(Raw!$B$4:$AO$39, MATCH(I$1, Raw!$A$4:$A$39, 0), MATCH($C8, Raw!$B$1:$AO$1, 0))</f>
        <v>0</v>
      </c>
      <c r="J8">
        <f>INDEX(Raw!$B$4:$AO$39, MATCH(J$1, Raw!$A$4:$A$39, 0), MATCH($C8, Raw!$B$1:$AO$1, 0))</f>
        <v>0</v>
      </c>
      <c r="K8">
        <f>INDEX(Raw!$B$4:$AO$39, MATCH(K$1, Raw!$A$4:$A$39, 0), MATCH($C8, Raw!$B$1:$AO$1, 0))</f>
        <v>366000000</v>
      </c>
      <c r="L8">
        <f>INDEX(Raw!$B$4:$AO$39, MATCH(L$1, Raw!$A$4:$A$39, 0), MATCH($C8, Raw!$B$1:$AO$1, 0))</f>
        <v>366000000</v>
      </c>
      <c r="M8">
        <f>INDEX(Raw!$B$4:$AO$39, MATCH(M$1, Raw!$A$4:$A$39, 0), MATCH($C8, Raw!$B$1:$AO$1, 0))</f>
        <v>10471000000</v>
      </c>
      <c r="N8">
        <f>INDEX(Raw!$B$4:$AO$39, MATCH(N$1, Raw!$A$4:$A$39, 0), MATCH($C8, Raw!$B$1:$AO$1, 0))</f>
        <v>-1076000000</v>
      </c>
      <c r="O8">
        <f>INDEX(Raw!$B$4:$AO$39, MATCH(O$1, Raw!$A$4:$A$39, 0), MATCH($C8, Raw!$B$1:$AO$1, 0))</f>
        <v>0</v>
      </c>
      <c r="P8">
        <f>INDEX(Raw!$B$4:$AO$39, MATCH(P$1, Raw!$A$4:$A$39, 0), MATCH($C8, Raw!$B$1:$AO$1, 0))</f>
        <v>-5113000000</v>
      </c>
      <c r="Q8">
        <f>INDEX(Raw!$B$4:$AO$39, MATCH(Q$1, Raw!$A$4:$A$39, 0), MATCH($C8, Raw!$B$1:$AO$1, 0))</f>
        <v>-4704000000</v>
      </c>
      <c r="R8">
        <f>INDEX(Raw!$B$4:$AO$39, MATCH(R$1, Raw!$A$4:$A$39, 0), MATCH($C8, Raw!$B$1:$AO$1, 0))</f>
        <v>6973000000</v>
      </c>
      <c r="S8">
        <f>INDEX(Raw!$B$4:$AO$39, MATCH(S$1, Raw!$A$4:$A$39, 0), MATCH($C8, Raw!$B$1:$AO$1, 0))</f>
        <v>2269000000</v>
      </c>
      <c r="T8">
        <f>INDEX(Raw!$B$4:$AO$39, MATCH(T$1, Raw!$A$4:$A$39, 0), MATCH($C8, Raw!$B$1:$AO$1, 0))</f>
        <v>-56000000</v>
      </c>
      <c r="U8">
        <f>INDEX(Raw!$B$4:$AO$39, MATCH(U$1, Raw!$A$4:$A$39, 0), MATCH($C8, Raw!$B$1:$AO$1, 0))</f>
        <v>-3976000000</v>
      </c>
      <c r="V8">
        <f>INDEX(Raw!$B$4:$AO$39, MATCH(V$1, Raw!$A$4:$A$39, 0), MATCH($C8, Raw!$B$1:$AO$1, 0))</f>
        <v>-1841000000</v>
      </c>
      <c r="W8">
        <f>INDEX(Raw!$B$4:$AO$39, MATCH(W$1, Raw!$A$4:$A$39, 0), MATCH($C8, Raw!$B$1:$AO$1, 0))</f>
        <v>0</v>
      </c>
      <c r="X8">
        <f>INDEX(Raw!$B$4:$AO$39, MATCH(X$1, Raw!$A$4:$A$39, 0), MATCH($C8, Raw!$B$1:$AO$1, 0))</f>
        <v>-1841000000</v>
      </c>
      <c r="Y8">
        <f>INDEX(Raw!$B$4:$AO$39, MATCH(Y$1, Raw!$A$4:$A$39, 0), MATCH($C8, Raw!$B$1:$AO$1, 0))</f>
        <v>-91000000</v>
      </c>
      <c r="Z8">
        <f>INDEX(Raw!$B$4:$AO$39, MATCH(Z$1, Raw!$A$4:$A$39, 0), MATCH($C8, Raw!$B$1:$AO$1, 0))</f>
        <v>-91000000</v>
      </c>
      <c r="AA8">
        <f>INDEX(Raw!$B$4:$AO$39, MATCH(AA$1, Raw!$A$4:$A$39, 0), MATCH($C8, Raw!$B$1:$AO$1, 0))</f>
        <v>-6845000000</v>
      </c>
      <c r="AB8">
        <f>INDEX(Raw!$B$4:$AO$39, MATCH(AB$1, Raw!$A$4:$A$39, 0), MATCH($C8, Raw!$B$1:$AO$1, 0))</f>
        <v>-227000000</v>
      </c>
      <c r="AC8">
        <f>INDEX(Raw!$B$4:$AO$39, MATCH(AC$1, Raw!$A$4:$A$39, 0), MATCH($C8, Raw!$B$1:$AO$1, 0))</f>
        <v>-9004000000</v>
      </c>
      <c r="AD8">
        <f>INDEX(Raw!$B$4:$AO$39, MATCH(AD$1, Raw!$A$4:$A$39, 0), MATCH($C8, Raw!$B$1:$AO$1, 0))</f>
        <v>-2838000000</v>
      </c>
      <c r="AE8">
        <f>INDEX(Raw!$B$4:$AO$39, MATCH(AE$1, Raw!$A$4:$A$39, 0), MATCH($C8, Raw!$B$1:$AO$1, 0))</f>
        <v>201000000</v>
      </c>
      <c r="AF8">
        <f>INDEX(Raw!$B$4:$AO$39, MATCH(AF$1, Raw!$A$4:$A$39, 0), MATCH($C8, Raw!$B$1:$AO$1, 0))</f>
        <v>-6845000000</v>
      </c>
    </row>
    <row r="9" spans="1:32" x14ac:dyDescent="0.25">
      <c r="A9" s="2" t="s">
        <v>61</v>
      </c>
      <c r="B9" s="8">
        <f t="shared" ca="1" si="0"/>
        <v>46089</v>
      </c>
      <c r="C9" s="2">
        <v>2018</v>
      </c>
      <c r="D9">
        <f>INDEX(Raw!$B$4:$AO$39, MATCH(D$1, Raw!$A$4:$A$39, 0), MATCH($C9, Raw!$B$1:$AO$1, 0))</f>
        <v>6476000000</v>
      </c>
      <c r="E9">
        <f>INDEX(Raw!$B$4:$AO$39, MATCH(E$1, Raw!$A$4:$A$39, 0), MATCH($C9, Raw!$B$1:$AO$1, 0))</f>
        <v>1086000000</v>
      </c>
      <c r="F9">
        <f>INDEX(Raw!$B$4:$AO$39, MATCH(F$1, Raw!$A$4:$A$39, 0), MATCH($C9, Raw!$B$1:$AO$1, 0))</f>
        <v>1305000000</v>
      </c>
      <c r="G9">
        <f>INDEX(Raw!$B$4:$AO$39, MATCH(G$1, Raw!$A$4:$A$39, 0), MATCH($C9, Raw!$B$1:$AO$1, 0))</f>
        <v>2391000000</v>
      </c>
      <c r="H9">
        <f>INDEX(Raw!$B$4:$AO$39, MATCH(H$1, Raw!$A$4:$A$39, 0), MATCH($C9, Raw!$B$1:$AO$1, 0))</f>
        <v>0</v>
      </c>
      <c r="I9">
        <f>INDEX(Raw!$B$4:$AO$39, MATCH(I$1, Raw!$A$4:$A$39, 0), MATCH($C9, Raw!$B$1:$AO$1, 0))</f>
        <v>0</v>
      </c>
      <c r="J9">
        <f>INDEX(Raw!$B$4:$AO$39, MATCH(J$1, Raw!$A$4:$A$39, 0), MATCH($C9, Raw!$B$1:$AO$1, 0))</f>
        <v>0</v>
      </c>
      <c r="K9">
        <f>INDEX(Raw!$B$4:$AO$39, MATCH(K$1, Raw!$A$4:$A$39, 0), MATCH($C9, Raw!$B$1:$AO$1, 0))</f>
        <v>-1240000000</v>
      </c>
      <c r="L9">
        <f>INDEX(Raw!$B$4:$AO$39, MATCH(L$1, Raw!$A$4:$A$39, 0), MATCH($C9, Raw!$B$1:$AO$1, 0))</f>
        <v>-1240000000</v>
      </c>
      <c r="M9">
        <f>INDEX(Raw!$B$4:$AO$39, MATCH(M$1, Raw!$A$4:$A$39, 0), MATCH($C9, Raw!$B$1:$AO$1, 0))</f>
        <v>7627000000</v>
      </c>
      <c r="N9">
        <f>INDEX(Raw!$B$4:$AO$39, MATCH(N$1, Raw!$A$4:$A$39, 0), MATCH($C9, Raw!$B$1:$AO$1, 0))</f>
        <v>-1300000000</v>
      </c>
      <c r="O9">
        <f>INDEX(Raw!$B$4:$AO$39, MATCH(O$1, Raw!$A$4:$A$39, 0), MATCH($C9, Raw!$B$1:$AO$1, 0))</f>
        <v>0</v>
      </c>
      <c r="P9">
        <f>INDEX(Raw!$B$4:$AO$39, MATCH(P$1, Raw!$A$4:$A$39, 0), MATCH($C9, Raw!$B$1:$AO$1, 0))</f>
        <v>99000000</v>
      </c>
      <c r="Q9">
        <f>INDEX(Raw!$B$4:$AO$39, MATCH(Q$1, Raw!$A$4:$A$39, 0), MATCH($C9, Raw!$B$1:$AO$1, 0))</f>
        <v>7188000000</v>
      </c>
      <c r="R9">
        <f>INDEX(Raw!$B$4:$AO$39, MATCH(R$1, Raw!$A$4:$A$39, 0), MATCH($C9, Raw!$B$1:$AO$1, 0))</f>
        <v>0</v>
      </c>
      <c r="S9">
        <f>INDEX(Raw!$B$4:$AO$39, MATCH(S$1, Raw!$A$4:$A$39, 0), MATCH($C9, Raw!$B$1:$AO$1, 0))</f>
        <v>7188000000</v>
      </c>
      <c r="T9">
        <f>INDEX(Raw!$B$4:$AO$39, MATCH(T$1, Raw!$A$4:$A$39, 0), MATCH($C9, Raw!$B$1:$AO$1, 0))</f>
        <v>-60000000</v>
      </c>
      <c r="U9">
        <f>INDEX(Raw!$B$4:$AO$39, MATCH(U$1, Raw!$A$4:$A$39, 0), MATCH($C9, Raw!$B$1:$AO$1, 0))</f>
        <v>5927000000</v>
      </c>
      <c r="V9">
        <f>INDEX(Raw!$B$4:$AO$39, MATCH(V$1, Raw!$A$4:$A$39, 0), MATCH($C9, Raw!$B$1:$AO$1, 0))</f>
        <v>-2995000000</v>
      </c>
      <c r="W9">
        <f>INDEX(Raw!$B$4:$AO$39, MATCH(W$1, Raw!$A$4:$A$39, 0), MATCH($C9, Raw!$B$1:$AO$1, 0))</f>
        <v>0</v>
      </c>
      <c r="X9">
        <f>INDEX(Raw!$B$4:$AO$39, MATCH(X$1, Raw!$A$4:$A$39, 0), MATCH($C9, Raw!$B$1:$AO$1, 0))</f>
        <v>-2995000000</v>
      </c>
      <c r="Y9">
        <f>INDEX(Raw!$B$4:$AO$39, MATCH(Y$1, Raw!$A$4:$A$39, 0), MATCH($C9, Raw!$B$1:$AO$1, 0))</f>
        <v>-436000000</v>
      </c>
      <c r="Z9">
        <f>INDEX(Raw!$B$4:$AO$39, MATCH(Z$1, Raw!$A$4:$A$39, 0), MATCH($C9, Raw!$B$1:$AO$1, 0))</f>
        <v>-436000000</v>
      </c>
      <c r="AA9">
        <f>INDEX(Raw!$B$4:$AO$39, MATCH(AA$1, Raw!$A$4:$A$39, 0), MATCH($C9, Raw!$B$1:$AO$1, 0))</f>
        <v>-6644000000</v>
      </c>
      <c r="AB9">
        <f>INDEX(Raw!$B$4:$AO$39, MATCH(AB$1, Raw!$A$4:$A$39, 0), MATCH($C9, Raw!$B$1:$AO$1, 0))</f>
        <v>-272000000</v>
      </c>
      <c r="AC9">
        <f>INDEX(Raw!$B$4:$AO$39, MATCH(AC$1, Raw!$A$4:$A$39, 0), MATCH($C9, Raw!$B$1:$AO$1, 0))</f>
        <v>-10347000000</v>
      </c>
      <c r="AD9">
        <f>INDEX(Raw!$B$4:$AO$39, MATCH(AD$1, Raw!$A$4:$A$39, 0), MATCH($C9, Raw!$B$1:$AO$1, 0))</f>
        <v>2704000000</v>
      </c>
      <c r="AE9">
        <f>INDEX(Raw!$B$4:$AO$39, MATCH(AE$1, Raw!$A$4:$A$39, 0), MATCH($C9, Raw!$B$1:$AO$1, 0))</f>
        <v>225000000</v>
      </c>
      <c r="AF9">
        <f>INDEX(Raw!$B$4:$AO$39, MATCH(AF$1, Raw!$A$4:$A$39, 0), MATCH($C9, Raw!$B$1:$AO$1, 0))</f>
        <v>-6644000000</v>
      </c>
    </row>
    <row r="10" spans="1:32" x14ac:dyDescent="0.25">
      <c r="A10" s="2" t="s">
        <v>61</v>
      </c>
      <c r="B10" s="8">
        <f t="shared" ca="1" si="0"/>
        <v>46089</v>
      </c>
      <c r="C10" s="2">
        <v>2017</v>
      </c>
      <c r="D10">
        <f>INDEX(Raw!$B$4:$AO$39, MATCH(D$1, Raw!$A$4:$A$39, 0), MATCH($C10, Raw!$B$1:$AO$1, 0))</f>
        <v>1283000000</v>
      </c>
      <c r="E10">
        <f>INDEX(Raw!$B$4:$AO$39, MATCH(E$1, Raw!$A$4:$A$39, 0), MATCH($C10, Raw!$B$1:$AO$1, 0))</f>
        <v>1260000000</v>
      </c>
      <c r="F10">
        <f>INDEX(Raw!$B$4:$AO$39, MATCH(F$1, Raw!$A$4:$A$39, 0), MATCH($C10, Raw!$B$1:$AO$1, 0))</f>
        <v>1056000000</v>
      </c>
      <c r="G10">
        <f>INDEX(Raw!$B$4:$AO$39, MATCH(G$1, Raw!$A$4:$A$39, 0), MATCH($C10, Raw!$B$1:$AO$1, 0))</f>
        <v>2316000000</v>
      </c>
      <c r="H10">
        <f>INDEX(Raw!$B$4:$AO$39, MATCH(H$1, Raw!$A$4:$A$39, 0), MATCH($C10, Raw!$B$1:$AO$1, 0))</f>
        <v>0</v>
      </c>
      <c r="I10">
        <f>INDEX(Raw!$B$4:$AO$39, MATCH(I$1, Raw!$A$4:$A$39, 0), MATCH($C10, Raw!$B$1:$AO$1, 0))</f>
        <v>0</v>
      </c>
      <c r="J10">
        <f>INDEX(Raw!$B$4:$AO$39, MATCH(J$1, Raw!$A$4:$A$39, 0), MATCH($C10, Raw!$B$1:$AO$1, 0))</f>
        <v>0</v>
      </c>
      <c r="K10">
        <f>INDEX(Raw!$B$4:$AO$39, MATCH(K$1, Raw!$A$4:$A$39, 0), MATCH($C10, Raw!$B$1:$AO$1, 0))</f>
        <v>3442000000</v>
      </c>
      <c r="L10">
        <f>INDEX(Raw!$B$4:$AO$39, MATCH(L$1, Raw!$A$4:$A$39, 0), MATCH($C10, Raw!$B$1:$AO$1, 0))</f>
        <v>3442000000</v>
      </c>
      <c r="M10">
        <f>INDEX(Raw!$B$4:$AO$39, MATCH(M$1, Raw!$A$4:$A$39, 0), MATCH($C10, Raw!$B$1:$AO$1, 0))</f>
        <v>7041000000</v>
      </c>
      <c r="N10">
        <f>INDEX(Raw!$B$4:$AO$39, MATCH(N$1, Raw!$A$4:$A$39, 0), MATCH($C10, Raw!$B$1:$AO$1, 0))</f>
        <v>-1642000000</v>
      </c>
      <c r="O10">
        <f>INDEX(Raw!$B$4:$AO$39, MATCH(O$1, Raw!$A$4:$A$39, 0), MATCH($C10, Raw!$B$1:$AO$1, 0))</f>
        <v>0</v>
      </c>
      <c r="P10">
        <f>INDEX(Raw!$B$4:$AO$39, MATCH(P$1, Raw!$A$4:$A$39, 0), MATCH($C10, Raw!$B$1:$AO$1, 0))</f>
        <v>12000000</v>
      </c>
      <c r="Q10">
        <f>INDEX(Raw!$B$4:$AO$39, MATCH(Q$1, Raw!$A$4:$A$39, 0), MATCH($C10, Raw!$B$1:$AO$1, 0))</f>
        <v>-602000000</v>
      </c>
      <c r="R10">
        <f>INDEX(Raw!$B$4:$AO$39, MATCH(R$1, Raw!$A$4:$A$39, 0), MATCH($C10, Raw!$B$1:$AO$1, 0))</f>
        <v>0</v>
      </c>
      <c r="S10">
        <f>INDEX(Raw!$B$4:$AO$39, MATCH(S$1, Raw!$A$4:$A$39, 0), MATCH($C10, Raw!$B$1:$AO$1, 0))</f>
        <v>-602000000</v>
      </c>
      <c r="T10">
        <f>INDEX(Raw!$B$4:$AO$39, MATCH(T$1, Raw!$A$4:$A$39, 0), MATCH($C10, Raw!$B$1:$AO$1, 0))</f>
        <v>-80000000</v>
      </c>
      <c r="U10">
        <f>INDEX(Raw!$B$4:$AO$39, MATCH(U$1, Raw!$A$4:$A$39, 0), MATCH($C10, Raw!$B$1:$AO$1, 0))</f>
        <v>-2312000000</v>
      </c>
      <c r="V10">
        <f>INDEX(Raw!$B$4:$AO$39, MATCH(V$1, Raw!$A$4:$A$39, 0), MATCH($C10, Raw!$B$1:$AO$1, 0))</f>
        <v>1055000000</v>
      </c>
      <c r="W10">
        <f>INDEX(Raw!$B$4:$AO$39, MATCH(W$1, Raw!$A$4:$A$39, 0), MATCH($C10, Raw!$B$1:$AO$1, 0))</f>
        <v>0</v>
      </c>
      <c r="X10">
        <f>INDEX(Raw!$B$4:$AO$39, MATCH(X$1, Raw!$A$4:$A$39, 0), MATCH($C10, Raw!$B$1:$AO$1, 0))</f>
        <v>1055000000</v>
      </c>
      <c r="Y10">
        <f>INDEX(Raw!$B$4:$AO$39, MATCH(Y$1, Raw!$A$4:$A$39, 0), MATCH($C10, Raw!$B$1:$AO$1, 0))</f>
        <v>-2087000000</v>
      </c>
      <c r="Z10">
        <f>INDEX(Raw!$B$4:$AO$39, MATCH(Z$1, Raw!$A$4:$A$39, 0), MATCH($C10, Raw!$B$1:$AO$1, 0))</f>
        <v>-2087000000</v>
      </c>
      <c r="AA10">
        <f>INDEX(Raw!$B$4:$AO$39, MATCH(AA$1, Raw!$A$4:$A$39, 0), MATCH($C10, Raw!$B$1:$AO$1, 0))</f>
        <v>-6320000000</v>
      </c>
      <c r="AB10">
        <f>INDEX(Raw!$B$4:$AO$39, MATCH(AB$1, Raw!$A$4:$A$39, 0), MATCH($C10, Raw!$B$1:$AO$1, 0))</f>
        <v>-95000000</v>
      </c>
      <c r="AC10">
        <f>INDEX(Raw!$B$4:$AO$39, MATCH(AC$1, Raw!$A$4:$A$39, 0), MATCH($C10, Raw!$B$1:$AO$1, 0))</f>
        <v>-7447000000</v>
      </c>
      <c r="AD10">
        <f>INDEX(Raw!$B$4:$AO$39, MATCH(AD$1, Raw!$A$4:$A$39, 0), MATCH($C10, Raw!$B$1:$AO$1, 0))</f>
        <v>-2748000000</v>
      </c>
      <c r="AE10">
        <f>INDEX(Raw!$B$4:$AO$39, MATCH(AE$1, Raw!$A$4:$A$39, 0), MATCH($C10, Raw!$B$1:$AO$1, 0))</f>
        <v>219000000</v>
      </c>
      <c r="AF10">
        <f>INDEX(Raw!$B$4:$AO$39, MATCH(AF$1, Raw!$A$4:$A$39, 0), MATCH($C10, Raw!$B$1:$AO$1, 0))</f>
        <v>-6320000000</v>
      </c>
    </row>
    <row r="11" spans="1:32" x14ac:dyDescent="0.25">
      <c r="A11" s="2" t="s">
        <v>61</v>
      </c>
      <c r="B11" s="8">
        <f t="shared" ca="1" si="0"/>
        <v>46089</v>
      </c>
      <c r="C11" s="2">
        <v>2016</v>
      </c>
      <c r="D11">
        <f>INDEX(Raw!$B$4:$AO$39, MATCH(D$1, Raw!$A$4:$A$39, 0), MATCH($C11, Raw!$B$1:$AO$1, 0))</f>
        <v>6550000000</v>
      </c>
      <c r="E11">
        <f>INDEX(Raw!$B$4:$AO$39, MATCH(E$1, Raw!$A$4:$A$39, 0), MATCH($C11, Raw!$B$1:$AO$1, 0))</f>
        <v>1787000000</v>
      </c>
      <c r="F11">
        <f>INDEX(Raw!$B$4:$AO$39, MATCH(F$1, Raw!$A$4:$A$39, 0), MATCH($C11, Raw!$B$1:$AO$1, 0))</f>
        <v>680000000</v>
      </c>
      <c r="G11">
        <f>INDEX(Raw!$B$4:$AO$39, MATCH(G$1, Raw!$A$4:$A$39, 0), MATCH($C11, Raw!$B$1:$AO$1, 0))</f>
        <v>2467000000</v>
      </c>
      <c r="H11">
        <f>INDEX(Raw!$B$4:$AO$39, MATCH(H$1, Raw!$A$4:$A$39, 0), MATCH($C11, Raw!$B$1:$AO$1, 0))</f>
        <v>0</v>
      </c>
      <c r="I11">
        <f>INDEX(Raw!$B$4:$AO$39, MATCH(I$1, Raw!$A$4:$A$39, 0), MATCH($C11, Raw!$B$1:$AO$1, 0))</f>
        <v>0</v>
      </c>
      <c r="J11">
        <f>INDEX(Raw!$B$4:$AO$39, MATCH(J$1, Raw!$A$4:$A$39, 0), MATCH($C11, Raw!$B$1:$AO$1, 0))</f>
        <v>0</v>
      </c>
      <c r="K11">
        <f>INDEX(Raw!$B$4:$AO$39, MATCH(K$1, Raw!$A$4:$A$39, 0), MATCH($C11, Raw!$B$1:$AO$1, 0))</f>
        <v>-225000000</v>
      </c>
      <c r="L11">
        <f>INDEX(Raw!$B$4:$AO$39, MATCH(L$1, Raw!$A$4:$A$39, 0), MATCH($C11, Raw!$B$1:$AO$1, 0))</f>
        <v>-225000000</v>
      </c>
      <c r="M11">
        <f>INDEX(Raw!$B$4:$AO$39, MATCH(M$1, Raw!$A$4:$A$39, 0), MATCH($C11, Raw!$B$1:$AO$1, 0))</f>
        <v>8792000000</v>
      </c>
      <c r="N11">
        <f>INDEX(Raw!$B$4:$AO$39, MATCH(N$1, Raw!$A$4:$A$39, 0), MATCH($C11, Raw!$B$1:$AO$1, 0))</f>
        <v>-2112000000</v>
      </c>
      <c r="O11">
        <f>INDEX(Raw!$B$4:$AO$39, MATCH(O$1, Raw!$A$4:$A$39, 0), MATCH($C11, Raw!$B$1:$AO$1, 0))</f>
        <v>0</v>
      </c>
      <c r="P11">
        <f>INDEX(Raw!$B$4:$AO$39, MATCH(P$1, Raw!$A$4:$A$39, 0), MATCH($C11, Raw!$B$1:$AO$1, 0))</f>
        <v>197000000</v>
      </c>
      <c r="Q11">
        <f>INDEX(Raw!$B$4:$AO$39, MATCH(Q$1, Raw!$A$4:$A$39, 0), MATCH($C11, Raw!$B$1:$AO$1, 0))</f>
        <v>1216000000</v>
      </c>
      <c r="R11">
        <f>INDEX(Raw!$B$4:$AO$39, MATCH(R$1, Raw!$A$4:$A$39, 0), MATCH($C11, Raw!$B$1:$AO$1, 0))</f>
        <v>0</v>
      </c>
      <c r="S11">
        <f>INDEX(Raw!$B$4:$AO$39, MATCH(S$1, Raw!$A$4:$A$39, 0), MATCH($C11, Raw!$B$1:$AO$1, 0))</f>
        <v>1216000000</v>
      </c>
      <c r="T11">
        <f>INDEX(Raw!$B$4:$AO$39, MATCH(T$1, Raw!$A$4:$A$39, 0), MATCH($C11, Raw!$B$1:$AO$1, 0))</f>
        <v>-305000000</v>
      </c>
      <c r="U11">
        <f>INDEX(Raw!$B$4:$AO$39, MATCH(U$1, Raw!$A$4:$A$39, 0), MATCH($C11, Raw!$B$1:$AO$1, 0))</f>
        <v>-1004000000</v>
      </c>
      <c r="V11">
        <f>INDEX(Raw!$B$4:$AO$39, MATCH(V$1, Raw!$A$4:$A$39, 0), MATCH($C11, Raw!$B$1:$AO$1, 0))</f>
        <v>1666000000</v>
      </c>
      <c r="W11">
        <f>INDEX(Raw!$B$4:$AO$39, MATCH(W$1, Raw!$A$4:$A$39, 0), MATCH($C11, Raw!$B$1:$AO$1, 0))</f>
        <v>0</v>
      </c>
      <c r="X11">
        <f>INDEX(Raw!$B$4:$AO$39, MATCH(X$1, Raw!$A$4:$A$39, 0), MATCH($C11, Raw!$B$1:$AO$1, 0))</f>
        <v>1666000000</v>
      </c>
      <c r="Y11">
        <f>INDEX(Raw!$B$4:$AO$39, MATCH(Y$1, Raw!$A$4:$A$39, 0), MATCH($C11, Raw!$B$1:$AO$1, 0))</f>
        <v>-2247000000</v>
      </c>
      <c r="Z11">
        <f>INDEX(Raw!$B$4:$AO$39, MATCH(Z$1, Raw!$A$4:$A$39, 0), MATCH($C11, Raw!$B$1:$AO$1, 0))</f>
        <v>-2247000000</v>
      </c>
      <c r="AA11">
        <f>INDEX(Raw!$B$4:$AO$39, MATCH(AA$1, Raw!$A$4:$A$39, 0), MATCH($C11, Raw!$B$1:$AO$1, 0))</f>
        <v>-6043000000</v>
      </c>
      <c r="AB11">
        <f>INDEX(Raw!$B$4:$AO$39, MATCH(AB$1, Raw!$A$4:$A$39, 0), MATCH($C11, Raw!$B$1:$AO$1, 0))</f>
        <v>79000000</v>
      </c>
      <c r="AC11">
        <f>INDEX(Raw!$B$4:$AO$39, MATCH(AC$1, Raw!$A$4:$A$39, 0), MATCH($C11, Raw!$B$1:$AO$1, 0))</f>
        <v>-6545000000</v>
      </c>
      <c r="AD11">
        <f>INDEX(Raw!$B$4:$AO$39, MATCH(AD$1, Raw!$A$4:$A$39, 0), MATCH($C11, Raw!$B$1:$AO$1, 0))</f>
        <v>943000000</v>
      </c>
      <c r="AE11">
        <f>INDEX(Raw!$B$4:$AO$39, MATCH(AE$1, Raw!$A$4:$A$39, 0), MATCH($C11, Raw!$B$1:$AO$1, 0))</f>
        <v>258000000</v>
      </c>
      <c r="AF11">
        <f>INDEX(Raw!$B$4:$AO$39, MATCH(AF$1, Raw!$A$4:$A$39, 0), MATCH($C11, Raw!$B$1:$AO$1, 0))</f>
        <v>-6043000000</v>
      </c>
    </row>
    <row r="12" spans="1:32" x14ac:dyDescent="0.25">
      <c r="A12" s="2" t="s">
        <v>61</v>
      </c>
      <c r="B12" s="8">
        <f t="shared" ca="1" si="0"/>
        <v>46089</v>
      </c>
      <c r="C12" s="2">
        <v>2015</v>
      </c>
      <c r="D12">
        <f>INDEX(Raw!$B$4:$AO$39, MATCH(D$1, Raw!$A$4:$A$39, 0), MATCH($C12, Raw!$B$1:$AO$1, 0))</f>
        <v>7366000000</v>
      </c>
      <c r="E12">
        <f>INDEX(Raw!$B$4:$AO$39, MATCH(E$1, Raw!$A$4:$A$39, 0), MATCH($C12, Raw!$B$1:$AO$1, 0))</f>
        <v>1970000000</v>
      </c>
      <c r="F12">
        <f>INDEX(Raw!$B$4:$AO$39, MATCH(F$1, Raw!$A$4:$A$39, 0), MATCH($C12, Raw!$B$1:$AO$1, 0))</f>
        <v>1349000000</v>
      </c>
      <c r="G12">
        <f>INDEX(Raw!$B$4:$AO$39, MATCH(G$1, Raw!$A$4:$A$39, 0), MATCH($C12, Raw!$B$1:$AO$1, 0))</f>
        <v>3319000000</v>
      </c>
      <c r="H12">
        <f>INDEX(Raw!$B$4:$AO$39, MATCH(H$1, Raw!$A$4:$A$39, 0), MATCH($C12, Raw!$B$1:$AO$1, 0))</f>
        <v>0</v>
      </c>
      <c r="I12">
        <f>INDEX(Raw!$B$4:$AO$39, MATCH(I$1, Raw!$A$4:$A$39, 0), MATCH($C12, Raw!$B$1:$AO$1, 0))</f>
        <v>0</v>
      </c>
      <c r="J12">
        <f>INDEX(Raw!$B$4:$AO$39, MATCH(J$1, Raw!$A$4:$A$39, 0), MATCH($C12, Raw!$B$1:$AO$1, 0))</f>
        <v>0</v>
      </c>
      <c r="K12">
        <f>INDEX(Raw!$B$4:$AO$39, MATCH(K$1, Raw!$A$4:$A$39, 0), MATCH($C12, Raw!$B$1:$AO$1, 0))</f>
        <v>-157000000</v>
      </c>
      <c r="L12">
        <f>INDEX(Raw!$B$4:$AO$39, MATCH(L$1, Raw!$A$4:$A$39, 0), MATCH($C12, Raw!$B$1:$AO$1, 0))</f>
        <v>-157000000</v>
      </c>
      <c r="M12">
        <f>INDEX(Raw!$B$4:$AO$39, MATCH(M$1, Raw!$A$4:$A$39, 0), MATCH($C12, Raw!$B$1:$AO$1, 0))</f>
        <v>10528000000</v>
      </c>
      <c r="N12">
        <f>INDEX(Raw!$B$4:$AO$39, MATCH(N$1, Raw!$A$4:$A$39, 0), MATCH($C12, Raw!$B$1:$AO$1, 0))</f>
        <v>-2468000000</v>
      </c>
      <c r="O12">
        <f>INDEX(Raw!$B$4:$AO$39, MATCH(O$1, Raw!$A$4:$A$39, 0), MATCH($C12, Raw!$B$1:$AO$1, 0))</f>
        <v>0</v>
      </c>
      <c r="P12">
        <f>INDEX(Raw!$B$4:$AO$39, MATCH(P$1, Raw!$A$4:$A$39, 0), MATCH($C12, Raw!$B$1:$AO$1, 0))</f>
        <v>-1926000000</v>
      </c>
      <c r="Q12">
        <f>INDEX(Raw!$B$4:$AO$39, MATCH(Q$1, Raw!$A$4:$A$39, 0), MATCH($C12, Raw!$B$1:$AO$1, 0))</f>
        <v>-1752000000</v>
      </c>
      <c r="R12">
        <f>INDEX(Raw!$B$4:$AO$39, MATCH(R$1, Raw!$A$4:$A$39, 0), MATCH($C12, Raw!$B$1:$AO$1, 0))</f>
        <v>0</v>
      </c>
      <c r="S12">
        <f>INDEX(Raw!$B$4:$AO$39, MATCH(S$1, Raw!$A$4:$A$39, 0), MATCH($C12, Raw!$B$1:$AO$1, 0))</f>
        <v>-1752000000</v>
      </c>
      <c r="T12">
        <f>INDEX(Raw!$B$4:$AO$39, MATCH(T$1, Raw!$A$4:$A$39, 0), MATCH($C12, Raw!$B$1:$AO$1, 0))</f>
        <v>-40000000</v>
      </c>
      <c r="U12">
        <f>INDEX(Raw!$B$4:$AO$39, MATCH(U$1, Raw!$A$4:$A$39, 0), MATCH($C12, Raw!$B$1:$AO$1, 0))</f>
        <v>-6186000000</v>
      </c>
      <c r="V12">
        <f>INDEX(Raw!$B$4:$AO$39, MATCH(V$1, Raw!$A$4:$A$39, 0), MATCH($C12, Raw!$B$1:$AO$1, 0))</f>
        <v>2696000000</v>
      </c>
      <c r="W12">
        <f>INDEX(Raw!$B$4:$AO$39, MATCH(W$1, Raw!$A$4:$A$39, 0), MATCH($C12, Raw!$B$1:$AO$1, 0))</f>
        <v>0</v>
      </c>
      <c r="X12">
        <f>INDEX(Raw!$B$4:$AO$39, MATCH(X$1, Raw!$A$4:$A$39, 0), MATCH($C12, Raw!$B$1:$AO$1, 0))</f>
        <v>2696000000</v>
      </c>
      <c r="Y12">
        <f>INDEX(Raw!$B$4:$AO$39, MATCH(Y$1, Raw!$A$4:$A$39, 0), MATCH($C12, Raw!$B$1:$AO$1, 0))</f>
        <v>-2319000000</v>
      </c>
      <c r="Z12">
        <f>INDEX(Raw!$B$4:$AO$39, MATCH(Z$1, Raw!$A$4:$A$39, 0), MATCH($C12, Raw!$B$1:$AO$1, 0))</f>
        <v>-2319000000</v>
      </c>
      <c r="AA12">
        <f>INDEX(Raw!$B$4:$AO$39, MATCH(AA$1, Raw!$A$4:$A$39, 0), MATCH($C12, Raw!$B$1:$AO$1, 0))</f>
        <v>-5741000000</v>
      </c>
      <c r="AB12">
        <f>INDEX(Raw!$B$4:$AO$39, MATCH(AB$1, Raw!$A$4:$A$39, 0), MATCH($C12, Raw!$B$1:$AO$1, 0))</f>
        <v>251000000</v>
      </c>
      <c r="AC12">
        <f>INDEX(Raw!$B$4:$AO$39, MATCH(AC$1, Raw!$A$4:$A$39, 0), MATCH($C12, Raw!$B$1:$AO$1, 0))</f>
        <v>-5113000000</v>
      </c>
      <c r="AD12">
        <f>INDEX(Raw!$B$4:$AO$39, MATCH(AD$1, Raw!$A$4:$A$39, 0), MATCH($C12, Raw!$B$1:$AO$1, 0))</f>
        <v>-1649000000</v>
      </c>
      <c r="AE12">
        <f>INDEX(Raw!$B$4:$AO$39, MATCH(AE$1, Raw!$A$4:$A$39, 0), MATCH($C12, Raw!$B$1:$AO$1, 0))</f>
        <v>236000000</v>
      </c>
      <c r="AF12">
        <f>INDEX(Raw!$B$4:$AO$39, MATCH(AF$1, Raw!$A$4:$A$39, 0), MATCH($C12, Raw!$B$1:$AO$1, 0))</f>
        <v>-5741000000</v>
      </c>
    </row>
    <row r="13" spans="1:32" x14ac:dyDescent="0.25">
      <c r="A13" s="2" t="s">
        <v>61</v>
      </c>
      <c r="B13" s="8">
        <f t="shared" ca="1" si="0"/>
        <v>46089</v>
      </c>
      <c r="C13" s="2">
        <v>2014</v>
      </c>
      <c r="D13">
        <f>INDEX(Raw!$B$4:$AO$39, MATCH(D$1, Raw!$A$4:$A$39, 0), MATCH($C13, Raw!$B$1:$AO$1, 0))</f>
        <v>7124000000</v>
      </c>
      <c r="E13">
        <f>INDEX(Raw!$B$4:$AO$39, MATCH(E$1, Raw!$A$4:$A$39, 0), MATCH($C13, Raw!$B$1:$AO$1, 0))</f>
        <v>1976000000</v>
      </c>
      <c r="F13">
        <f>INDEX(Raw!$B$4:$AO$39, MATCH(F$1, Raw!$A$4:$A$39, 0), MATCH($C13, Raw!$B$1:$AO$1, 0))</f>
        <v>1954000000</v>
      </c>
      <c r="G13">
        <f>INDEX(Raw!$B$4:$AO$39, MATCH(G$1, Raw!$A$4:$A$39, 0), MATCH($C13, Raw!$B$1:$AO$1, 0))</f>
        <v>3930000000</v>
      </c>
      <c r="H13">
        <f>INDEX(Raw!$B$4:$AO$39, MATCH(H$1, Raw!$A$4:$A$39, 0), MATCH($C13, Raw!$B$1:$AO$1, 0))</f>
        <v>0</v>
      </c>
      <c r="I13">
        <f>INDEX(Raw!$B$4:$AO$39, MATCH(I$1, Raw!$A$4:$A$39, 0), MATCH($C13, Raw!$B$1:$AO$1, 0))</f>
        <v>0</v>
      </c>
      <c r="J13">
        <f>INDEX(Raw!$B$4:$AO$39, MATCH(J$1, Raw!$A$4:$A$39, 0), MATCH($C13, Raw!$B$1:$AO$1, 0))</f>
        <v>0</v>
      </c>
      <c r="K13">
        <f>INDEX(Raw!$B$4:$AO$39, MATCH(K$1, Raw!$A$4:$A$39, 0), MATCH($C13, Raw!$B$1:$AO$1, 0))</f>
        <v>-439000000</v>
      </c>
      <c r="L13">
        <f>INDEX(Raw!$B$4:$AO$39, MATCH(L$1, Raw!$A$4:$A$39, 0), MATCH($C13, Raw!$B$1:$AO$1, 0))</f>
        <v>-439000000</v>
      </c>
      <c r="M13">
        <f>INDEX(Raw!$B$4:$AO$39, MATCH(M$1, Raw!$A$4:$A$39, 0), MATCH($C13, Raw!$B$1:$AO$1, 0))</f>
        <v>10615000000</v>
      </c>
      <c r="N13">
        <f>INDEX(Raw!$B$4:$AO$39, MATCH(N$1, Raw!$A$4:$A$39, 0), MATCH($C13, Raw!$B$1:$AO$1, 0))</f>
        <v>-2183000000</v>
      </c>
      <c r="O13">
        <f>INDEX(Raw!$B$4:$AO$39, MATCH(O$1, Raw!$A$4:$A$39, 0), MATCH($C13, Raw!$B$1:$AO$1, 0))</f>
        <v>0</v>
      </c>
      <c r="P13">
        <f>INDEX(Raw!$B$4:$AO$39, MATCH(P$1, Raw!$A$4:$A$39, 0), MATCH($C13, Raw!$B$1:$AO$1, 0))</f>
        <v>-241000000</v>
      </c>
      <c r="Q13">
        <f>INDEX(Raw!$B$4:$AO$39, MATCH(Q$1, Raw!$A$4:$A$39, 0), MATCH($C13, Raw!$B$1:$AO$1, 0))</f>
        <v>-4814000000</v>
      </c>
      <c r="R13">
        <f>INDEX(Raw!$B$4:$AO$39, MATCH(R$1, Raw!$A$4:$A$39, 0), MATCH($C13, Raw!$B$1:$AO$1, 0))</f>
        <v>0</v>
      </c>
      <c r="S13">
        <f>INDEX(Raw!$B$4:$AO$39, MATCH(S$1, Raw!$A$4:$A$39, 0), MATCH($C13, Raw!$B$1:$AO$1, 0))</f>
        <v>-4814000000</v>
      </c>
      <c r="T13">
        <f>INDEX(Raw!$B$4:$AO$39, MATCH(T$1, Raw!$A$4:$A$39, 0), MATCH($C13, Raw!$B$1:$AO$1, 0))</f>
        <v>-268000000</v>
      </c>
      <c r="U13">
        <f>INDEX(Raw!$B$4:$AO$39, MATCH(U$1, Raw!$A$4:$A$39, 0), MATCH($C13, Raw!$B$1:$AO$1, 0))</f>
        <v>-7506000000</v>
      </c>
      <c r="V13">
        <f>INDEX(Raw!$B$4:$AO$39, MATCH(V$1, Raw!$A$4:$A$39, 0), MATCH($C13, Raw!$B$1:$AO$1, 0))</f>
        <v>4712000000</v>
      </c>
      <c r="W13">
        <f>INDEX(Raw!$B$4:$AO$39, MATCH(W$1, Raw!$A$4:$A$39, 0), MATCH($C13, Raw!$B$1:$AO$1, 0))</f>
        <v>0</v>
      </c>
      <c r="X13">
        <f>INDEX(Raw!$B$4:$AO$39, MATCH(X$1, Raw!$A$4:$A$39, 0), MATCH($C13, Raw!$B$1:$AO$1, 0))</f>
        <v>4712000000</v>
      </c>
      <c r="Y13">
        <f>INDEX(Raw!$B$4:$AO$39, MATCH(Y$1, Raw!$A$4:$A$39, 0), MATCH($C13, Raw!$B$1:$AO$1, 0))</f>
        <v>-2630000000</v>
      </c>
      <c r="Z13">
        <f>INDEX(Raw!$B$4:$AO$39, MATCH(Z$1, Raw!$A$4:$A$39, 0), MATCH($C13, Raw!$B$1:$AO$1, 0))</f>
        <v>-2630000000</v>
      </c>
      <c r="AA13">
        <f>INDEX(Raw!$B$4:$AO$39, MATCH(AA$1, Raw!$A$4:$A$39, 0), MATCH($C13, Raw!$B$1:$AO$1, 0))</f>
        <v>-5350000000</v>
      </c>
      <c r="AB13">
        <f>INDEX(Raw!$B$4:$AO$39, MATCH(AB$1, Raw!$A$4:$A$39, 0), MATCH($C13, Raw!$B$1:$AO$1, 0))</f>
        <v>-363000000</v>
      </c>
      <c r="AC13">
        <f>INDEX(Raw!$B$4:$AO$39, MATCH(AC$1, Raw!$A$4:$A$39, 0), MATCH($C13, Raw!$B$1:$AO$1, 0))</f>
        <v>-3631000000</v>
      </c>
      <c r="AD13">
        <f>INDEX(Raw!$B$4:$AO$39, MATCH(AD$1, Raw!$A$4:$A$39, 0), MATCH($C13, Raw!$B$1:$AO$1, 0))</f>
        <v>-1456000000</v>
      </c>
      <c r="AE13">
        <f>INDEX(Raw!$B$4:$AO$39, MATCH(AE$1, Raw!$A$4:$A$39, 0), MATCH($C13, Raw!$B$1:$AO$1, 0))</f>
        <v>209000000</v>
      </c>
      <c r="AF13">
        <f>INDEX(Raw!$B$4:$AO$39, MATCH(AF$1, Raw!$A$4:$A$39, 0), MATCH($C13, Raw!$B$1:$AO$1, 0))</f>
        <v>-5350000000</v>
      </c>
    </row>
    <row r="14" spans="1:32" x14ac:dyDescent="0.25">
      <c r="A14" s="2" t="s">
        <v>61</v>
      </c>
      <c r="B14" s="8">
        <f t="shared" ca="1" si="0"/>
        <v>46089</v>
      </c>
      <c r="C14" s="2">
        <v>2013</v>
      </c>
      <c r="D14">
        <f>INDEX(Raw!$B$4:$AO$39, MATCH(D$1, Raw!$A$4:$A$39, 0), MATCH($C14, Raw!$B$1:$AO$1, 0))</f>
        <v>8626000000</v>
      </c>
      <c r="E14">
        <f>INDEX(Raw!$B$4:$AO$39, MATCH(E$1, Raw!$A$4:$A$39, 0), MATCH($C14, Raw!$B$1:$AO$1, 0))</f>
        <v>1977000000</v>
      </c>
      <c r="F14">
        <f>INDEX(Raw!$B$4:$AO$39, MATCH(F$1, Raw!$A$4:$A$39, 0), MATCH($C14, Raw!$B$1:$AO$1, 0))</f>
        <v>871000000</v>
      </c>
      <c r="G14">
        <f>INDEX(Raw!$B$4:$AO$39, MATCH(G$1, Raw!$A$4:$A$39, 0), MATCH($C14, Raw!$B$1:$AO$1, 0))</f>
        <v>2848000000</v>
      </c>
      <c r="H14">
        <f>INDEX(Raw!$B$4:$AO$39, MATCH(H$1, Raw!$A$4:$A$39, 0), MATCH($C14, Raw!$B$1:$AO$1, 0))</f>
        <v>0</v>
      </c>
      <c r="I14">
        <f>INDEX(Raw!$B$4:$AO$39, MATCH(I$1, Raw!$A$4:$A$39, 0), MATCH($C14, Raw!$B$1:$AO$1, 0))</f>
        <v>0</v>
      </c>
      <c r="J14">
        <f>INDEX(Raw!$B$4:$AO$39, MATCH(J$1, Raw!$A$4:$A$39, 0), MATCH($C14, Raw!$B$1:$AO$1, 0))</f>
        <v>0</v>
      </c>
      <c r="K14">
        <f>INDEX(Raw!$B$4:$AO$39, MATCH(K$1, Raw!$A$4:$A$39, 0), MATCH($C14, Raw!$B$1:$AO$1, 0))</f>
        <v>-932000000</v>
      </c>
      <c r="L14">
        <f>INDEX(Raw!$B$4:$AO$39, MATCH(L$1, Raw!$A$4:$A$39, 0), MATCH($C14, Raw!$B$1:$AO$1, 0))</f>
        <v>-932000000</v>
      </c>
      <c r="M14">
        <f>INDEX(Raw!$B$4:$AO$39, MATCH(M$1, Raw!$A$4:$A$39, 0), MATCH($C14, Raw!$B$1:$AO$1, 0))</f>
        <v>10542000000</v>
      </c>
      <c r="N14">
        <f>INDEX(Raw!$B$4:$AO$39, MATCH(N$1, Raw!$A$4:$A$39, 0), MATCH($C14, Raw!$B$1:$AO$1, 0))</f>
        <v>-2439000000</v>
      </c>
      <c r="O14">
        <f>INDEX(Raw!$B$4:$AO$39, MATCH(O$1, Raw!$A$4:$A$39, 0), MATCH($C14, Raw!$B$1:$AO$1, 0))</f>
        <v>0</v>
      </c>
      <c r="P14">
        <f>INDEX(Raw!$B$4:$AO$39, MATCH(P$1, Raw!$A$4:$A$39, 0), MATCH($C14, Raw!$B$1:$AO$1, 0))</f>
        <v>519000000</v>
      </c>
      <c r="Q14">
        <f>INDEX(Raw!$B$4:$AO$39, MATCH(Q$1, Raw!$A$4:$A$39, 0), MATCH($C14, Raw!$B$1:$AO$1, 0))</f>
        <v>-1991000000</v>
      </c>
      <c r="R14">
        <f>INDEX(Raw!$B$4:$AO$39, MATCH(R$1, Raw!$A$4:$A$39, 0), MATCH($C14, Raw!$B$1:$AO$1, 0))</f>
        <v>0</v>
      </c>
      <c r="S14">
        <f>INDEX(Raw!$B$4:$AO$39, MATCH(S$1, Raw!$A$4:$A$39, 0), MATCH($C14, Raw!$B$1:$AO$1, 0))</f>
        <v>-1991000000</v>
      </c>
      <c r="T14">
        <f>INDEX(Raw!$B$4:$AO$39, MATCH(T$1, Raw!$A$4:$A$39, 0), MATCH($C14, Raw!$B$1:$AO$1, 0))</f>
        <v>-303000000</v>
      </c>
      <c r="U14">
        <f>INDEX(Raw!$B$4:$AO$39, MATCH(U$1, Raw!$A$4:$A$39, 0), MATCH($C14, Raw!$B$1:$AO$1, 0))</f>
        <v>-4214000000</v>
      </c>
      <c r="V14">
        <f>INDEX(Raw!$B$4:$AO$39, MATCH(V$1, Raw!$A$4:$A$39, 0), MATCH($C14, Raw!$B$1:$AO$1, 0))</f>
        <v>4711000000</v>
      </c>
      <c r="W14">
        <f>INDEX(Raw!$B$4:$AO$39, MATCH(W$1, Raw!$A$4:$A$39, 0), MATCH($C14, Raw!$B$1:$AO$1, 0))</f>
        <v>0</v>
      </c>
      <c r="X14">
        <f>INDEX(Raw!$B$4:$AO$39, MATCH(X$1, Raw!$A$4:$A$39, 0), MATCH($C14, Raw!$B$1:$AO$1, 0))</f>
        <v>4711000000</v>
      </c>
      <c r="Y14">
        <f>INDEX(Raw!$B$4:$AO$39, MATCH(Y$1, Raw!$A$4:$A$39, 0), MATCH($C14, Raw!$B$1:$AO$1, 0))</f>
        <v>-3504000000</v>
      </c>
      <c r="Z14">
        <f>INDEX(Raw!$B$4:$AO$39, MATCH(Z$1, Raw!$A$4:$A$39, 0), MATCH($C14, Raw!$B$1:$AO$1, 0))</f>
        <v>-3504000000</v>
      </c>
      <c r="AA14">
        <f>INDEX(Raw!$B$4:$AO$39, MATCH(AA$1, Raw!$A$4:$A$39, 0), MATCH($C14, Raw!$B$1:$AO$1, 0))</f>
        <v>-4969000000</v>
      </c>
      <c r="AB14">
        <f>INDEX(Raw!$B$4:$AO$39, MATCH(AB$1, Raw!$A$4:$A$39, 0), MATCH($C14, Raw!$B$1:$AO$1, 0))</f>
        <v>17000000</v>
      </c>
      <c r="AC14">
        <f>INDEX(Raw!$B$4:$AO$39, MATCH(AC$1, Raw!$A$4:$A$39, 0), MATCH($C14, Raw!$B$1:$AO$1, 0))</f>
        <v>-3745000000</v>
      </c>
      <c r="AD14">
        <f>INDEX(Raw!$B$4:$AO$39, MATCH(AD$1, Raw!$A$4:$A$39, 0), MATCH($C14, Raw!$B$1:$AO$1, 0))</f>
        <v>1972000000</v>
      </c>
      <c r="AE14">
        <f>INDEX(Raw!$B$4:$AO$39, MATCH(AE$1, Raw!$A$4:$A$39, 0), MATCH($C14, Raw!$B$1:$AO$1, 0))</f>
        <v>227000000</v>
      </c>
      <c r="AF14">
        <f>INDEX(Raw!$B$4:$AO$39, MATCH(AF$1, Raw!$A$4:$A$39, 0), MATCH($C14, Raw!$B$1:$AO$1, 0))</f>
        <v>-4969000000</v>
      </c>
    </row>
    <row r="15" spans="1:32" x14ac:dyDescent="0.25">
      <c r="A15" s="2" t="s">
        <v>61</v>
      </c>
      <c r="B15" s="8">
        <f t="shared" ca="1" si="0"/>
        <v>46089</v>
      </c>
      <c r="C15" s="2">
        <v>2012</v>
      </c>
      <c r="D15">
        <f>INDEX(Raw!$B$4:$AO$39, MATCH(D$1, Raw!$A$4:$A$39, 0), MATCH($C15, Raw!$B$1:$AO$1, 0))</f>
        <v>9086000000</v>
      </c>
      <c r="E15">
        <f>INDEX(Raw!$B$4:$AO$39, MATCH(E$1, Raw!$A$4:$A$39, 0), MATCH($C15, Raw!$B$1:$AO$1, 0))</f>
        <v>1982000000</v>
      </c>
      <c r="F15">
        <f>INDEX(Raw!$B$4:$AO$39, MATCH(F$1, Raw!$A$4:$A$39, 0), MATCH($C15, Raw!$B$1:$AO$1, 0))</f>
        <v>657000000</v>
      </c>
      <c r="G15">
        <f>INDEX(Raw!$B$4:$AO$39, MATCH(G$1, Raw!$A$4:$A$39, 0), MATCH($C15, Raw!$B$1:$AO$1, 0))</f>
        <v>2639000000</v>
      </c>
      <c r="H15">
        <f>INDEX(Raw!$B$4:$AO$39, MATCH(H$1, Raw!$A$4:$A$39, 0), MATCH($C15, Raw!$B$1:$AO$1, 0))</f>
        <v>0</v>
      </c>
      <c r="I15">
        <f>INDEX(Raw!$B$4:$AO$39, MATCH(I$1, Raw!$A$4:$A$39, 0), MATCH($C15, Raw!$B$1:$AO$1, 0))</f>
        <v>0</v>
      </c>
      <c r="J15">
        <f>INDEX(Raw!$B$4:$AO$39, MATCH(J$1, Raw!$A$4:$A$39, 0), MATCH($C15, Raw!$B$1:$AO$1, 0))</f>
        <v>0</v>
      </c>
      <c r="K15">
        <f>INDEX(Raw!$B$4:$AO$39, MATCH(K$1, Raw!$A$4:$A$39, 0), MATCH($C15, Raw!$B$1:$AO$1, 0))</f>
        <v>-1080000000</v>
      </c>
      <c r="L15">
        <f>INDEX(Raw!$B$4:$AO$39, MATCH(L$1, Raw!$A$4:$A$39, 0), MATCH($C15, Raw!$B$1:$AO$1, 0))</f>
        <v>-1080000000</v>
      </c>
      <c r="M15">
        <f>INDEX(Raw!$B$4:$AO$39, MATCH(M$1, Raw!$A$4:$A$39, 0), MATCH($C15, Raw!$B$1:$AO$1, 0))</f>
        <v>10645000000</v>
      </c>
      <c r="N15">
        <f>INDEX(Raw!$B$4:$AO$39, MATCH(N$1, Raw!$A$4:$A$39, 0), MATCH($C15, Raw!$B$1:$AO$1, 0))</f>
        <v>-2637000000</v>
      </c>
      <c r="O15">
        <f>INDEX(Raw!$B$4:$AO$39, MATCH(O$1, Raw!$A$4:$A$39, 0), MATCH($C15, Raw!$B$1:$AO$1, 0))</f>
        <v>0</v>
      </c>
      <c r="P15">
        <f>INDEX(Raw!$B$4:$AO$39, MATCH(P$1, Raw!$A$4:$A$39, 0), MATCH($C15, Raw!$B$1:$AO$1, 0))</f>
        <v>-1466000000</v>
      </c>
      <c r="Q15">
        <f>INDEX(Raw!$B$4:$AO$39, MATCH(Q$1, Raw!$A$4:$A$39, 0), MATCH($C15, Raw!$B$1:$AO$1, 0))</f>
        <v>-7033000000</v>
      </c>
      <c r="R15">
        <f>INDEX(Raw!$B$4:$AO$39, MATCH(R$1, Raw!$A$4:$A$39, 0), MATCH($C15, Raw!$B$1:$AO$1, 0))</f>
        <v>0</v>
      </c>
      <c r="S15">
        <f>INDEX(Raw!$B$4:$AO$39, MATCH(S$1, Raw!$A$4:$A$39, 0), MATCH($C15, Raw!$B$1:$AO$1, 0))</f>
        <v>-7033000000</v>
      </c>
      <c r="T15">
        <f>INDEX(Raw!$B$4:$AO$39, MATCH(T$1, Raw!$A$4:$A$39, 0), MATCH($C15, Raw!$B$1:$AO$1, 0))</f>
        <v>-268000000</v>
      </c>
      <c r="U15">
        <f>INDEX(Raw!$B$4:$AO$39, MATCH(U$1, Raw!$A$4:$A$39, 0), MATCH($C15, Raw!$B$1:$AO$1, 0))</f>
        <v>-11404000000</v>
      </c>
      <c r="V15">
        <f>INDEX(Raw!$B$4:$AO$39, MATCH(V$1, Raw!$A$4:$A$39, 0), MATCH($C15, Raw!$B$1:$AO$1, 0))</f>
        <v>4218000000</v>
      </c>
      <c r="W15">
        <f>INDEX(Raw!$B$4:$AO$39, MATCH(W$1, Raw!$A$4:$A$39, 0), MATCH($C15, Raw!$B$1:$AO$1, 0))</f>
        <v>0</v>
      </c>
      <c r="X15">
        <f>INDEX(Raw!$B$4:$AO$39, MATCH(X$1, Raw!$A$4:$A$39, 0), MATCH($C15, Raw!$B$1:$AO$1, 0))</f>
        <v>4218000000</v>
      </c>
      <c r="Y15">
        <f>INDEX(Raw!$B$4:$AO$39, MATCH(Y$1, Raw!$A$4:$A$39, 0), MATCH($C15, Raw!$B$1:$AO$1, 0))</f>
        <v>-3070000000</v>
      </c>
      <c r="Z15">
        <f>INDEX(Raw!$B$4:$AO$39, MATCH(Z$1, Raw!$A$4:$A$39, 0), MATCH($C15, Raw!$B$1:$AO$1, 0))</f>
        <v>-3070000000</v>
      </c>
      <c r="AA15">
        <f>INDEX(Raw!$B$4:$AO$39, MATCH(AA$1, Raw!$A$4:$A$39, 0), MATCH($C15, Raw!$B$1:$AO$1, 0))</f>
        <v>-4595000000</v>
      </c>
      <c r="AB15">
        <f>INDEX(Raw!$B$4:$AO$39, MATCH(AB$1, Raw!$A$4:$A$39, 0), MATCH($C15, Raw!$B$1:$AO$1, 0))</f>
        <v>100000000</v>
      </c>
      <c r="AC15">
        <f>INDEX(Raw!$B$4:$AO$39, MATCH(AC$1, Raw!$A$4:$A$39, 0), MATCH($C15, Raw!$B$1:$AO$1, 0))</f>
        <v>-3347000000</v>
      </c>
      <c r="AD15">
        <f>INDEX(Raw!$B$4:$AO$39, MATCH(AD$1, Raw!$A$4:$A$39, 0), MATCH($C15, Raw!$B$1:$AO$1, 0))</f>
        <v>-4361000000</v>
      </c>
      <c r="AE15">
        <f>INDEX(Raw!$B$4:$AO$39, MATCH(AE$1, Raw!$A$4:$A$39, 0), MATCH($C15, Raw!$B$1:$AO$1, 0))</f>
        <v>259000000</v>
      </c>
      <c r="AF15">
        <f>INDEX(Raw!$B$4:$AO$39, MATCH(AF$1, Raw!$A$4:$A$39, 0), MATCH($C15, Raw!$B$1:$AO$1, 0))</f>
        <v>-4595000000</v>
      </c>
    </row>
    <row r="16" spans="1:32" x14ac:dyDescent="0.25">
      <c r="A16" s="2" t="s">
        <v>61</v>
      </c>
      <c r="B16" s="8">
        <f t="shared" ca="1" si="0"/>
        <v>46089</v>
      </c>
      <c r="C16" s="2">
        <v>2011</v>
      </c>
      <c r="D16">
        <f>INDEX(Raw!$B$4:$AO$39, MATCH(D$1, Raw!$A$4:$A$39, 0), MATCH($C16, Raw!$B$1:$AO$1, 0))</f>
        <v>8646000000</v>
      </c>
      <c r="E16">
        <f>INDEX(Raw!$B$4:$AO$39, MATCH(E$1, Raw!$A$4:$A$39, 0), MATCH($C16, Raw!$B$1:$AO$1, 0))</f>
        <v>1954000000</v>
      </c>
      <c r="F16">
        <f>INDEX(Raw!$B$4:$AO$39, MATCH(F$1, Raw!$A$4:$A$39, 0), MATCH($C16, Raw!$B$1:$AO$1, 0))</f>
        <v>767000000</v>
      </c>
      <c r="G16">
        <f>INDEX(Raw!$B$4:$AO$39, MATCH(G$1, Raw!$A$4:$A$39, 0), MATCH($C16, Raw!$B$1:$AO$1, 0))</f>
        <v>2721000000</v>
      </c>
      <c r="H16">
        <f>INDEX(Raw!$B$4:$AO$39, MATCH(H$1, Raw!$A$4:$A$39, 0), MATCH($C16, Raw!$B$1:$AO$1, 0))</f>
        <v>0</v>
      </c>
      <c r="I16">
        <f>INDEX(Raw!$B$4:$AO$39, MATCH(I$1, Raw!$A$4:$A$39, 0), MATCH($C16, Raw!$B$1:$AO$1, 0))</f>
        <v>0</v>
      </c>
      <c r="J16">
        <f>INDEX(Raw!$B$4:$AO$39, MATCH(J$1, Raw!$A$4:$A$39, 0), MATCH($C16, Raw!$B$1:$AO$1, 0))</f>
        <v>0</v>
      </c>
      <c r="K16">
        <f>INDEX(Raw!$B$4:$AO$39, MATCH(K$1, Raw!$A$4:$A$39, 0), MATCH($C16, Raw!$B$1:$AO$1, 0))</f>
        <v>-1893000000</v>
      </c>
      <c r="L16">
        <f>INDEX(Raw!$B$4:$AO$39, MATCH(L$1, Raw!$A$4:$A$39, 0), MATCH($C16, Raw!$B$1:$AO$1, 0))</f>
        <v>-1893000000</v>
      </c>
      <c r="M16">
        <f>INDEX(Raw!$B$4:$AO$39, MATCH(M$1, Raw!$A$4:$A$39, 0), MATCH($C16, Raw!$B$1:$AO$1, 0))</f>
        <v>9474000000</v>
      </c>
      <c r="N16">
        <f>INDEX(Raw!$B$4:$AO$39, MATCH(N$1, Raw!$A$4:$A$39, 0), MATCH($C16, Raw!$B$1:$AO$1, 0))</f>
        <v>-2819000000</v>
      </c>
      <c r="O16">
        <f>INDEX(Raw!$B$4:$AO$39, MATCH(O$1, Raw!$A$4:$A$39, 0), MATCH($C16, Raw!$B$1:$AO$1, 0))</f>
        <v>0</v>
      </c>
      <c r="P16">
        <f>INDEX(Raw!$B$4:$AO$39, MATCH(P$1, Raw!$A$4:$A$39, 0), MATCH($C16, Raw!$B$1:$AO$1, 0))</f>
        <v>-573000000</v>
      </c>
      <c r="Q16">
        <f>INDEX(Raw!$B$4:$AO$39, MATCH(Q$1, Raw!$A$4:$A$39, 0), MATCH($C16, Raw!$B$1:$AO$1, 0))</f>
        <v>1013000000</v>
      </c>
      <c r="R16">
        <f>INDEX(Raw!$B$4:$AO$39, MATCH(R$1, Raw!$A$4:$A$39, 0), MATCH($C16, Raw!$B$1:$AO$1, 0))</f>
        <v>0</v>
      </c>
      <c r="S16">
        <f>INDEX(Raw!$B$4:$AO$39, MATCH(S$1, Raw!$A$4:$A$39, 0), MATCH($C16, Raw!$B$1:$AO$1, 0))</f>
        <v>1013000000</v>
      </c>
      <c r="T16">
        <f>INDEX(Raw!$B$4:$AO$39, MATCH(T$1, Raw!$A$4:$A$39, 0), MATCH($C16, Raw!$B$1:$AO$1, 0))</f>
        <v>-145000000</v>
      </c>
      <c r="U16">
        <f>INDEX(Raw!$B$4:$AO$39, MATCH(U$1, Raw!$A$4:$A$39, 0), MATCH($C16, Raw!$B$1:$AO$1, 0))</f>
        <v>-2524000000</v>
      </c>
      <c r="V16">
        <f>INDEX(Raw!$B$4:$AO$39, MATCH(V$1, Raw!$A$4:$A$39, 0), MATCH($C16, Raw!$B$1:$AO$1, 0))</f>
        <v>4965000000</v>
      </c>
      <c r="W16">
        <f>INDEX(Raw!$B$4:$AO$39, MATCH(W$1, Raw!$A$4:$A$39, 0), MATCH($C16, Raw!$B$1:$AO$1, 0))</f>
        <v>0</v>
      </c>
      <c r="X16">
        <f>INDEX(Raw!$B$4:$AO$39, MATCH(X$1, Raw!$A$4:$A$39, 0), MATCH($C16, Raw!$B$1:$AO$1, 0))</f>
        <v>4965000000</v>
      </c>
      <c r="Y16">
        <f>INDEX(Raw!$B$4:$AO$39, MATCH(Y$1, Raw!$A$4:$A$39, 0), MATCH($C16, Raw!$B$1:$AO$1, 0))</f>
        <v>-2944000000</v>
      </c>
      <c r="Z16">
        <f>INDEX(Raw!$B$4:$AO$39, MATCH(Z$1, Raw!$A$4:$A$39, 0), MATCH($C16, Raw!$B$1:$AO$1, 0))</f>
        <v>-2944000000</v>
      </c>
      <c r="AA16">
        <f>INDEX(Raw!$B$4:$AO$39, MATCH(AA$1, Raw!$A$4:$A$39, 0), MATCH($C16, Raw!$B$1:$AO$1, 0))</f>
        <v>-4300000000</v>
      </c>
      <c r="AB16">
        <f>INDEX(Raw!$B$4:$AO$39, MATCH(AB$1, Raw!$A$4:$A$39, 0), MATCH($C16, Raw!$B$1:$AO$1, 0))</f>
        <v>45000000</v>
      </c>
      <c r="AC16">
        <f>INDEX(Raw!$B$4:$AO$39, MATCH(AC$1, Raw!$A$4:$A$39, 0), MATCH($C16, Raw!$B$1:$AO$1, 0))</f>
        <v>-2234000000</v>
      </c>
      <c r="AD16">
        <f>INDEX(Raw!$B$4:$AO$39, MATCH(AD$1, Raw!$A$4:$A$39, 0), MATCH($C16, Raw!$B$1:$AO$1, 0))</f>
        <v>4286000000</v>
      </c>
      <c r="AE16">
        <f>INDEX(Raw!$B$4:$AO$39, MATCH(AE$1, Raw!$A$4:$A$39, 0), MATCH($C16, Raw!$B$1:$AO$1, 0))</f>
        <v>354000000</v>
      </c>
      <c r="AF16">
        <f>INDEX(Raw!$B$4:$AO$39, MATCH(AF$1, Raw!$A$4:$A$39, 0), MATCH($C16, Raw!$B$1:$AO$1, 0))</f>
        <v>-4300000000</v>
      </c>
    </row>
    <row r="17" spans="1:32" x14ac:dyDescent="0.25">
      <c r="A17" s="2" t="s">
        <v>61</v>
      </c>
      <c r="B17" s="8">
        <f t="shared" ca="1" si="0"/>
        <v>46089</v>
      </c>
      <c r="C17" s="2">
        <v>2010</v>
      </c>
      <c r="D17">
        <f>INDEX(Raw!$B$4:$AO$39, MATCH(D$1, Raw!$A$4:$A$39, 0), MATCH($C17, Raw!$B$1:$AO$1, 0))</f>
        <v>11837000000</v>
      </c>
      <c r="E17">
        <f>INDEX(Raw!$B$4:$AO$39, MATCH(E$1, Raw!$A$4:$A$39, 0), MATCH($C17, Raw!$B$1:$AO$1, 0))</f>
        <v>1443000000</v>
      </c>
      <c r="F17">
        <f>INDEX(Raw!$B$4:$AO$39, MATCH(F$1, Raw!$A$4:$A$39, 0), MATCH($C17, Raw!$B$1:$AO$1, 0))</f>
        <v>-4118000000</v>
      </c>
      <c r="G17">
        <f>INDEX(Raw!$B$4:$AO$39, MATCH(G$1, Raw!$A$4:$A$39, 0), MATCH($C17, Raw!$B$1:$AO$1, 0))</f>
        <v>-2675000000</v>
      </c>
      <c r="H17">
        <f>INDEX(Raw!$B$4:$AO$39, MATCH(H$1, Raw!$A$4:$A$39, 0), MATCH($C17, Raw!$B$1:$AO$1, 0))</f>
        <v>0</v>
      </c>
      <c r="I17">
        <f>INDEX(Raw!$B$4:$AO$39, MATCH(I$1, Raw!$A$4:$A$39, 0), MATCH($C17, Raw!$B$1:$AO$1, 0))</f>
        <v>0</v>
      </c>
      <c r="J17">
        <f>INDEX(Raw!$B$4:$AO$39, MATCH(J$1, Raw!$A$4:$A$39, 0), MATCH($C17, Raw!$B$1:$AO$1, 0))</f>
        <v>0</v>
      </c>
      <c r="K17">
        <f>INDEX(Raw!$B$4:$AO$39, MATCH(K$1, Raw!$A$4:$A$39, 0), MATCH($C17, Raw!$B$1:$AO$1, 0))</f>
        <v>370000000</v>
      </c>
      <c r="L17">
        <f>INDEX(Raw!$B$4:$AO$39, MATCH(L$1, Raw!$A$4:$A$39, 0), MATCH($C17, Raw!$B$1:$AO$1, 0))</f>
        <v>370000000</v>
      </c>
      <c r="M17">
        <f>INDEX(Raw!$B$4:$AO$39, MATCH(M$1, Raw!$A$4:$A$39, 0), MATCH($C17, Raw!$B$1:$AO$1, 0))</f>
        <v>9532000000</v>
      </c>
      <c r="N17">
        <f>INDEX(Raw!$B$4:$AO$39, MATCH(N$1, Raw!$A$4:$A$39, 0), MATCH($C17, Raw!$B$1:$AO$1, 0))</f>
        <v>-2081000000</v>
      </c>
      <c r="O17">
        <f>INDEX(Raw!$B$4:$AO$39, MATCH(O$1, Raw!$A$4:$A$39, 0), MATCH($C17, Raw!$B$1:$AO$1, 0))</f>
        <v>0</v>
      </c>
      <c r="P17">
        <f>INDEX(Raw!$B$4:$AO$39, MATCH(P$1, Raw!$A$4:$A$39, 0), MATCH($C17, Raw!$B$1:$AO$1, 0))</f>
        <v>-1539000000</v>
      </c>
      <c r="Q17">
        <f>INDEX(Raw!$B$4:$AO$39, MATCH(Q$1, Raw!$A$4:$A$39, 0), MATCH($C17, Raw!$B$1:$AO$1, 0))</f>
        <v>-547000000</v>
      </c>
      <c r="R17">
        <f>INDEX(Raw!$B$4:$AO$39, MATCH(R$1, Raw!$A$4:$A$39, 0), MATCH($C17, Raw!$B$1:$AO$1, 0))</f>
        <v>-132000000</v>
      </c>
      <c r="S17">
        <f>INDEX(Raw!$B$4:$AO$39, MATCH(S$1, Raw!$A$4:$A$39, 0), MATCH($C17, Raw!$B$1:$AO$1, 0))</f>
        <v>-679000000</v>
      </c>
      <c r="T17">
        <f>INDEX(Raw!$B$4:$AO$39, MATCH(T$1, Raw!$A$4:$A$39, 0), MATCH($C17, Raw!$B$1:$AO$1, 0))</f>
        <v>-106000000</v>
      </c>
      <c r="U17">
        <f>INDEX(Raw!$B$4:$AO$39, MATCH(U$1, Raw!$A$4:$A$39, 0), MATCH($C17, Raw!$B$1:$AO$1, 0))</f>
        <v>-4405000000</v>
      </c>
      <c r="V17">
        <f>INDEX(Raw!$B$4:$AO$39, MATCH(V$1, Raw!$A$4:$A$39, 0), MATCH($C17, Raw!$B$1:$AO$1, 0))</f>
        <v>1848000000</v>
      </c>
      <c r="W17">
        <f>INDEX(Raw!$B$4:$AO$39, MATCH(W$1, Raw!$A$4:$A$39, 0), MATCH($C17, Raw!$B$1:$AO$1, 0))</f>
        <v>0</v>
      </c>
      <c r="X17">
        <f>INDEX(Raw!$B$4:$AO$39, MATCH(X$1, Raw!$A$4:$A$39, 0), MATCH($C17, Raw!$B$1:$AO$1, 0))</f>
        <v>1848000000</v>
      </c>
      <c r="Y17">
        <f>INDEX(Raw!$B$4:$AO$39, MATCH(Y$1, Raw!$A$4:$A$39, 0), MATCH($C17, Raw!$B$1:$AO$1, 0))</f>
        <v>-1295000000</v>
      </c>
      <c r="Z17">
        <f>INDEX(Raw!$B$4:$AO$39, MATCH(Z$1, Raw!$A$4:$A$39, 0), MATCH($C17, Raw!$B$1:$AO$1, 0))</f>
        <v>-1295000000</v>
      </c>
      <c r="AA17">
        <f>INDEX(Raw!$B$4:$AO$39, MATCH(AA$1, Raw!$A$4:$A$39, 0), MATCH($C17, Raw!$B$1:$AO$1, 0))</f>
        <v>-4068000000</v>
      </c>
      <c r="AB17">
        <f>INDEX(Raw!$B$4:$AO$39, MATCH(AB$1, Raw!$A$4:$A$39, 0), MATCH($C17, Raw!$B$1:$AO$1, 0))</f>
        <v>50000000</v>
      </c>
      <c r="AC17">
        <f>INDEX(Raw!$B$4:$AO$39, MATCH(AC$1, Raw!$A$4:$A$39, 0), MATCH($C17, Raw!$B$1:$AO$1, 0))</f>
        <v>-3465000000</v>
      </c>
      <c r="AD17">
        <f>INDEX(Raw!$B$4:$AO$39, MATCH(AD$1, Raw!$A$4:$A$39, 0), MATCH($C17, Raw!$B$1:$AO$1, 0))</f>
        <v>1496000000</v>
      </c>
      <c r="AE17">
        <f>INDEX(Raw!$B$4:$AO$39, MATCH(AE$1, Raw!$A$4:$A$39, 0), MATCH($C17, Raw!$B$1:$AO$1, 0))</f>
        <v>380000000</v>
      </c>
      <c r="AF17">
        <f>INDEX(Raw!$B$4:$AO$39, MATCH(AF$1, Raw!$A$4:$A$39, 0), MATCH($C17, Raw!$B$1:$AO$1, 0))</f>
        <v>-4068000000</v>
      </c>
    </row>
    <row r="18" spans="1:32" x14ac:dyDescent="0.25">
      <c r="A18" s="2" t="s">
        <v>61</v>
      </c>
      <c r="B18" s="8">
        <f t="shared" ca="1" si="0"/>
        <v>46089</v>
      </c>
      <c r="C18" s="2">
        <v>2009</v>
      </c>
      <c r="D18">
        <f>INDEX(Raw!$B$4:$AO$39, MATCH(D$1, Raw!$A$4:$A$39, 0), MATCH($C18, Raw!$B$1:$AO$1, 0))</f>
        <v>6906000000</v>
      </c>
      <c r="E18">
        <f>INDEX(Raw!$B$4:$AO$39, MATCH(E$1, Raw!$A$4:$A$39, 0), MATCH($C18, Raw!$B$1:$AO$1, 0))</f>
        <v>1236000000</v>
      </c>
      <c r="F18">
        <f>INDEX(Raw!$B$4:$AO$39, MATCH(F$1, Raw!$A$4:$A$39, 0), MATCH($C18, Raw!$B$1:$AO$1, 0))</f>
        <v>608000000</v>
      </c>
      <c r="G18">
        <f>INDEX(Raw!$B$4:$AO$39, MATCH(G$1, Raw!$A$4:$A$39, 0), MATCH($C18, Raw!$B$1:$AO$1, 0))</f>
        <v>1844000000</v>
      </c>
      <c r="H18">
        <f>INDEX(Raw!$B$4:$AO$39, MATCH(H$1, Raw!$A$4:$A$39, 0), MATCH($C18, Raw!$B$1:$AO$1, 0))</f>
        <v>0</v>
      </c>
      <c r="I18">
        <f>INDEX(Raw!$B$4:$AO$39, MATCH(I$1, Raw!$A$4:$A$39, 0), MATCH($C18, Raw!$B$1:$AO$1, 0))</f>
        <v>0</v>
      </c>
      <c r="J18">
        <f>INDEX(Raw!$B$4:$AO$39, MATCH(J$1, Raw!$A$4:$A$39, 0), MATCH($C18, Raw!$B$1:$AO$1, 0))</f>
        <v>0</v>
      </c>
      <c r="K18">
        <f>INDEX(Raw!$B$4:$AO$39, MATCH(K$1, Raw!$A$4:$A$39, 0), MATCH($C18, Raw!$B$1:$AO$1, 0))</f>
        <v>-564000000</v>
      </c>
      <c r="L18">
        <f>INDEX(Raw!$B$4:$AO$39, MATCH(L$1, Raw!$A$4:$A$39, 0), MATCH($C18, Raw!$B$1:$AO$1, 0))</f>
        <v>-564000000</v>
      </c>
      <c r="M18">
        <f>INDEX(Raw!$B$4:$AO$39, MATCH(M$1, Raw!$A$4:$A$39, 0), MATCH($C18, Raw!$B$1:$AO$1, 0))</f>
        <v>8186000000</v>
      </c>
      <c r="N18">
        <f>INDEX(Raw!$B$4:$AO$39, MATCH(N$1, Raw!$A$4:$A$39, 0), MATCH($C18, Raw!$B$1:$AO$1, 0))</f>
        <v>-1889000000</v>
      </c>
      <c r="O18">
        <f>INDEX(Raw!$B$4:$AO$39, MATCH(O$1, Raw!$A$4:$A$39, 0), MATCH($C18, Raw!$B$1:$AO$1, 0))</f>
        <v>0</v>
      </c>
      <c r="P18">
        <f>INDEX(Raw!$B$4:$AO$39, MATCH(P$1, Raw!$A$4:$A$39, 0), MATCH($C18, Raw!$B$1:$AO$1, 0))</f>
        <v>-60000000</v>
      </c>
      <c r="Q18">
        <f>INDEX(Raw!$B$4:$AO$39, MATCH(Q$1, Raw!$A$4:$A$39, 0), MATCH($C18, Raw!$B$1:$AO$1, 0))</f>
        <v>-2130000000</v>
      </c>
      <c r="R18">
        <f>INDEX(Raw!$B$4:$AO$39, MATCH(R$1, Raw!$A$4:$A$39, 0), MATCH($C18, Raw!$B$1:$AO$1, 0))</f>
        <v>-22000000</v>
      </c>
      <c r="S18">
        <f>INDEX(Raw!$B$4:$AO$39, MATCH(S$1, Raw!$A$4:$A$39, 0), MATCH($C18, Raw!$B$1:$AO$1, 0))</f>
        <v>-2152000000</v>
      </c>
      <c r="T18">
        <f>INDEX(Raw!$B$4:$AO$39, MATCH(T$1, Raw!$A$4:$A$39, 0), MATCH($C18, Raw!$B$1:$AO$1, 0))</f>
        <v>-48000000</v>
      </c>
      <c r="U18">
        <f>INDEX(Raw!$B$4:$AO$39, MATCH(U$1, Raw!$A$4:$A$39, 0), MATCH($C18, Raw!$B$1:$AO$1, 0))</f>
        <v>-4149000000</v>
      </c>
      <c r="V18">
        <f>INDEX(Raw!$B$4:$AO$39, MATCH(V$1, Raw!$A$4:$A$39, 0), MATCH($C18, Raw!$B$1:$AO$1, 0))</f>
        <v>2363000000</v>
      </c>
      <c r="W18">
        <f>INDEX(Raw!$B$4:$AO$39, MATCH(W$1, Raw!$A$4:$A$39, 0), MATCH($C18, Raw!$B$1:$AO$1, 0))</f>
        <v>0</v>
      </c>
      <c r="X18">
        <f>INDEX(Raw!$B$4:$AO$39, MATCH(X$1, Raw!$A$4:$A$39, 0), MATCH($C18, Raw!$B$1:$AO$1, 0))</f>
        <v>2363000000</v>
      </c>
      <c r="Y18">
        <f>INDEX(Raw!$B$4:$AO$39, MATCH(Y$1, Raw!$A$4:$A$39, 0), MATCH($C18, Raw!$B$1:$AO$1, 0))</f>
        <v>-854000000</v>
      </c>
      <c r="Z18">
        <f>INDEX(Raw!$B$4:$AO$39, MATCH(Z$1, Raw!$A$4:$A$39, 0), MATCH($C18, Raw!$B$1:$AO$1, 0))</f>
        <v>-854000000</v>
      </c>
      <c r="AA18">
        <f>INDEX(Raw!$B$4:$AO$39, MATCH(AA$1, Raw!$A$4:$A$39, 0), MATCH($C18, Raw!$B$1:$AO$1, 0))</f>
        <v>-3800000000</v>
      </c>
      <c r="AB18">
        <f>INDEX(Raw!$B$4:$AO$39, MATCH(AB$1, Raw!$A$4:$A$39, 0), MATCH($C18, Raw!$B$1:$AO$1, 0))</f>
        <v>-2000000</v>
      </c>
      <c r="AC18">
        <f>INDEX(Raw!$B$4:$AO$39, MATCH(AC$1, Raw!$A$4:$A$39, 0), MATCH($C18, Raw!$B$1:$AO$1, 0))</f>
        <v>-2293000000</v>
      </c>
      <c r="AD18">
        <f>INDEX(Raw!$B$4:$AO$39, MATCH(AD$1, Raw!$A$4:$A$39, 0), MATCH($C18, Raw!$B$1:$AO$1, 0))</f>
        <v>2320000000</v>
      </c>
      <c r="AE18">
        <f>INDEX(Raw!$B$4:$AO$39, MATCH(AE$1, Raw!$A$4:$A$39, 0), MATCH($C18, Raw!$B$1:$AO$1, 0))</f>
        <v>241000000</v>
      </c>
      <c r="AF18">
        <f>INDEX(Raw!$B$4:$AO$39, MATCH(AF$1, Raw!$A$4:$A$39, 0), MATCH($C18, Raw!$B$1:$AO$1, 0))</f>
        <v>-3800000000</v>
      </c>
    </row>
    <row r="19" spans="1:32" x14ac:dyDescent="0.25">
      <c r="A19" s="2" t="s">
        <v>61</v>
      </c>
      <c r="B19" s="8">
        <f t="shared" ca="1" si="0"/>
        <v>46089</v>
      </c>
      <c r="C19" s="2">
        <v>2008</v>
      </c>
      <c r="D19">
        <f>INDEX(Raw!$B$4:$AO$39, MATCH(D$1, Raw!$A$4:$A$39, 0), MATCH($C19, Raw!$B$1:$AO$1, 0))</f>
        <v>5874000000</v>
      </c>
      <c r="E19">
        <f>INDEX(Raw!$B$4:$AO$39, MATCH(E$1, Raw!$A$4:$A$39, 0), MATCH($C19, Raw!$B$1:$AO$1, 0))</f>
        <v>1228000000</v>
      </c>
      <c r="F19">
        <f>INDEX(Raw!$B$4:$AO$39, MATCH(F$1, Raw!$A$4:$A$39, 0), MATCH($C19, Raw!$B$1:$AO$1, 0))</f>
        <v>1224000000</v>
      </c>
      <c r="G19">
        <f>INDEX(Raw!$B$4:$AO$39, MATCH(G$1, Raw!$A$4:$A$39, 0), MATCH($C19, Raw!$B$1:$AO$1, 0))</f>
        <v>2452000000</v>
      </c>
      <c r="H19">
        <f>INDEX(Raw!$B$4:$AO$39, MATCH(H$1, Raw!$A$4:$A$39, 0), MATCH($C19, Raw!$B$1:$AO$1, 0))</f>
        <v>0</v>
      </c>
      <c r="I19">
        <f>INDEX(Raw!$B$4:$AO$39, MATCH(I$1, Raw!$A$4:$A$39, 0), MATCH($C19, Raw!$B$1:$AO$1, 0))</f>
        <v>0</v>
      </c>
      <c r="J19">
        <f>INDEX(Raw!$B$4:$AO$39, MATCH(J$1, Raw!$A$4:$A$39, 0), MATCH($C19, Raw!$B$1:$AO$1, 0))</f>
        <v>0</v>
      </c>
      <c r="K19">
        <f>INDEX(Raw!$B$4:$AO$39, MATCH(K$1, Raw!$A$4:$A$39, 0), MATCH($C19, Raw!$B$1:$AO$1, 0))</f>
        <v>-755000000</v>
      </c>
      <c r="L19">
        <f>INDEX(Raw!$B$4:$AO$39, MATCH(L$1, Raw!$A$4:$A$39, 0), MATCH($C19, Raw!$B$1:$AO$1, 0))</f>
        <v>-755000000</v>
      </c>
      <c r="M19">
        <f>INDEX(Raw!$B$4:$AO$39, MATCH(M$1, Raw!$A$4:$A$39, 0), MATCH($C19, Raw!$B$1:$AO$1, 0))</f>
        <v>7571000000</v>
      </c>
      <c r="N19">
        <f>INDEX(Raw!$B$4:$AO$39, MATCH(N$1, Raw!$A$4:$A$39, 0), MATCH($C19, Raw!$B$1:$AO$1, 0))</f>
        <v>-1839000000</v>
      </c>
      <c r="O19">
        <f>INDEX(Raw!$B$4:$AO$39, MATCH(O$1, Raw!$A$4:$A$39, 0), MATCH($C19, Raw!$B$1:$AO$1, 0))</f>
        <v>0</v>
      </c>
      <c r="P19">
        <f>INDEX(Raw!$B$4:$AO$39, MATCH(P$1, Raw!$A$4:$A$39, 0), MATCH($C19, Raw!$B$1:$AO$1, 0))</f>
        <v>-280000000</v>
      </c>
      <c r="Q19">
        <f>INDEX(Raw!$B$4:$AO$39, MATCH(Q$1, Raw!$A$4:$A$39, 0), MATCH($C19, Raw!$B$1:$AO$1, 0))</f>
        <v>0</v>
      </c>
      <c r="R19">
        <f>INDEX(Raw!$B$4:$AO$39, MATCH(R$1, Raw!$A$4:$A$39, 0), MATCH($C19, Raw!$B$1:$AO$1, 0))</f>
        <v>-240000000</v>
      </c>
      <c r="S19">
        <f>INDEX(Raw!$B$4:$AO$39, MATCH(S$1, Raw!$A$4:$A$39, 0), MATCH($C19, Raw!$B$1:$AO$1, 0))</f>
        <v>-240000000</v>
      </c>
      <c r="T19">
        <f>INDEX(Raw!$B$4:$AO$39, MATCH(T$1, Raw!$A$4:$A$39, 0), MATCH($C19, Raw!$B$1:$AO$1, 0))</f>
        <v>-4000000</v>
      </c>
      <c r="U19">
        <f>INDEX(Raw!$B$4:$AO$39, MATCH(U$1, Raw!$A$4:$A$39, 0), MATCH($C19, Raw!$B$1:$AO$1, 0))</f>
        <v>-2363000000</v>
      </c>
      <c r="V19">
        <f>INDEX(Raw!$B$4:$AO$39, MATCH(V$1, Raw!$A$4:$A$39, 0), MATCH($C19, Raw!$B$1:$AO$1, 0))</f>
        <v>29000000</v>
      </c>
      <c r="W19">
        <f>INDEX(Raw!$B$4:$AO$39, MATCH(W$1, Raw!$A$4:$A$39, 0), MATCH($C19, Raw!$B$1:$AO$1, 0))</f>
        <v>0</v>
      </c>
      <c r="X19">
        <f>INDEX(Raw!$B$4:$AO$39, MATCH(X$1, Raw!$A$4:$A$39, 0), MATCH($C19, Raw!$B$1:$AO$1, 0))</f>
        <v>29000000</v>
      </c>
      <c r="Y19">
        <f>INDEX(Raw!$B$4:$AO$39, MATCH(Y$1, Raw!$A$4:$A$39, 0), MATCH($C19, Raw!$B$1:$AO$1, 0))</f>
        <v>-484000000</v>
      </c>
      <c r="Z19">
        <f>INDEX(Raw!$B$4:$AO$39, MATCH(Z$1, Raw!$A$4:$A$39, 0), MATCH($C19, Raw!$B$1:$AO$1, 0))</f>
        <v>-484000000</v>
      </c>
      <c r="AA19">
        <f>INDEX(Raw!$B$4:$AO$39, MATCH(AA$1, Raw!$A$4:$A$39, 0), MATCH($C19, Raw!$B$1:$AO$1, 0))</f>
        <v>-3521000000</v>
      </c>
      <c r="AB19">
        <f>INDEX(Raw!$B$4:$AO$39, MATCH(AB$1, Raw!$A$4:$A$39, 0), MATCH($C19, Raw!$B$1:$AO$1, 0))</f>
        <v>-9000000</v>
      </c>
      <c r="AC19">
        <f>INDEX(Raw!$B$4:$AO$39, MATCH(AC$1, Raw!$A$4:$A$39, 0), MATCH($C19, Raw!$B$1:$AO$1, 0))</f>
        <v>-3985000000</v>
      </c>
      <c r="AD19">
        <f>INDEX(Raw!$B$4:$AO$39, MATCH(AD$1, Raw!$A$4:$A$39, 0), MATCH($C19, Raw!$B$1:$AO$1, 0))</f>
        <v>608000000</v>
      </c>
      <c r="AE19">
        <f>INDEX(Raw!$B$4:$AO$39, MATCH(AE$1, Raw!$A$4:$A$39, 0), MATCH($C19, Raw!$B$1:$AO$1, 0))</f>
        <v>266000000</v>
      </c>
      <c r="AF19">
        <f>INDEX(Raw!$B$4:$AO$39, MATCH(AF$1, Raw!$A$4:$A$39, 0), MATCH($C19, Raw!$B$1:$AO$1, 0))</f>
        <v>-3521000000</v>
      </c>
    </row>
    <row r="20" spans="1:32" x14ac:dyDescent="0.25">
      <c r="A20" s="2" t="s">
        <v>61</v>
      </c>
      <c r="B20" s="8">
        <f t="shared" ca="1" si="0"/>
        <v>46089</v>
      </c>
      <c r="C20" s="2">
        <v>2007</v>
      </c>
      <c r="D20">
        <f>INDEX(Raw!$B$4:$AO$39, MATCH(D$1, Raw!$A$4:$A$39, 0), MATCH($C20, Raw!$B$1:$AO$1, 0))</f>
        <v>6027000000</v>
      </c>
      <c r="E20">
        <f>INDEX(Raw!$B$4:$AO$39, MATCH(E$1, Raw!$A$4:$A$39, 0), MATCH($C20, Raw!$B$1:$AO$1, 0))</f>
        <v>1163000000</v>
      </c>
      <c r="F20">
        <f>INDEX(Raw!$B$4:$AO$39, MATCH(F$1, Raw!$A$4:$A$39, 0), MATCH($C20, Raw!$B$1:$AO$1, 0))</f>
        <v>0</v>
      </c>
      <c r="G20">
        <f>INDEX(Raw!$B$4:$AO$39, MATCH(G$1, Raw!$A$4:$A$39, 0), MATCH($C20, Raw!$B$1:$AO$1, 0))</f>
        <v>1163000000</v>
      </c>
      <c r="H20">
        <f>INDEX(Raw!$B$4:$AO$39, MATCH(H$1, Raw!$A$4:$A$39, 0), MATCH($C20, Raw!$B$1:$AO$1, 0))</f>
        <v>0</v>
      </c>
      <c r="I20">
        <f>INDEX(Raw!$B$4:$AO$39, MATCH(I$1, Raw!$A$4:$A$39, 0), MATCH($C20, Raw!$B$1:$AO$1, 0))</f>
        <v>0</v>
      </c>
      <c r="J20">
        <f>INDEX(Raw!$B$4:$AO$39, MATCH(J$1, Raw!$A$4:$A$39, 0), MATCH($C20, Raw!$B$1:$AO$1, 0))</f>
        <v>0</v>
      </c>
      <c r="K20">
        <f>INDEX(Raw!$B$4:$AO$39, MATCH(K$1, Raw!$A$4:$A$39, 0), MATCH($C20, Raw!$B$1:$AO$1, 0))</f>
        <v>-40000000</v>
      </c>
      <c r="L20">
        <f>INDEX(Raw!$B$4:$AO$39, MATCH(L$1, Raw!$A$4:$A$39, 0), MATCH($C20, Raw!$B$1:$AO$1, 0))</f>
        <v>-40000000</v>
      </c>
      <c r="M20">
        <f>INDEX(Raw!$B$4:$AO$39, MATCH(M$1, Raw!$A$4:$A$39, 0), MATCH($C20, Raw!$B$1:$AO$1, 0))</f>
        <v>7150000000</v>
      </c>
      <c r="N20">
        <f>INDEX(Raw!$B$4:$AO$39, MATCH(N$1, Raw!$A$4:$A$39, 0), MATCH($C20, Raw!$B$1:$AO$1, 0))</f>
        <v>-1409000000</v>
      </c>
      <c r="O20">
        <f>INDEX(Raw!$B$4:$AO$39, MATCH(O$1, Raw!$A$4:$A$39, 0), MATCH($C20, Raw!$B$1:$AO$1, 0))</f>
        <v>0</v>
      </c>
      <c r="P20">
        <f>INDEX(Raw!$B$4:$AO$39, MATCH(P$1, Raw!$A$4:$A$39, 0), MATCH($C20, Raw!$B$1:$AO$1, 0))</f>
        <v>-5653000000</v>
      </c>
      <c r="Q20">
        <f>INDEX(Raw!$B$4:$AO$39, MATCH(Q$1, Raw!$A$4:$A$39, 0), MATCH($C20, Raw!$B$1:$AO$1, 0))</f>
        <v>0</v>
      </c>
      <c r="R20">
        <f>INDEX(Raw!$B$4:$AO$39, MATCH(R$1, Raw!$A$4:$A$39, 0), MATCH($C20, Raw!$B$1:$AO$1, 0))</f>
        <v>349000000</v>
      </c>
      <c r="S20">
        <f>INDEX(Raw!$B$4:$AO$39, MATCH(S$1, Raw!$A$4:$A$39, 0), MATCH($C20, Raw!$B$1:$AO$1, 0))</f>
        <v>349000000</v>
      </c>
      <c r="T20">
        <f>INDEX(Raw!$B$4:$AO$39, MATCH(T$1, Raw!$A$4:$A$39, 0), MATCH($C20, Raw!$B$1:$AO$1, 0))</f>
        <v>-6000000</v>
      </c>
      <c r="U20">
        <f>INDEX(Raw!$B$4:$AO$39, MATCH(U$1, Raw!$A$4:$A$39, 0), MATCH($C20, Raw!$B$1:$AO$1, 0))</f>
        <v>-6719000000</v>
      </c>
      <c r="V20">
        <f>INDEX(Raw!$B$4:$AO$39, MATCH(V$1, Raw!$A$4:$A$39, 0), MATCH($C20, Raw!$B$1:$AO$1, 0))</f>
        <v>4341000000</v>
      </c>
      <c r="W20">
        <f>INDEX(Raw!$B$4:$AO$39, MATCH(W$1, Raw!$A$4:$A$39, 0), MATCH($C20, Raw!$B$1:$AO$1, 0))</f>
        <v>0</v>
      </c>
      <c r="X20">
        <f>INDEX(Raw!$B$4:$AO$39, MATCH(X$1, Raw!$A$4:$A$39, 0), MATCH($C20, Raw!$B$1:$AO$1, 0))</f>
        <v>4341000000</v>
      </c>
      <c r="Y20">
        <f>INDEX(Raw!$B$4:$AO$39, MATCH(Y$1, Raw!$A$4:$A$39, 0), MATCH($C20, Raw!$B$1:$AO$1, 0))</f>
        <v>-219000000</v>
      </c>
      <c r="Z20">
        <f>INDEX(Raw!$B$4:$AO$39, MATCH(Z$1, Raw!$A$4:$A$39, 0), MATCH($C20, Raw!$B$1:$AO$1, 0))</f>
        <v>-219000000</v>
      </c>
      <c r="AA20">
        <f>INDEX(Raw!$B$4:$AO$39, MATCH(AA$1, Raw!$A$4:$A$39, 0), MATCH($C20, Raw!$B$1:$AO$1, 0))</f>
        <v>-3149000000</v>
      </c>
      <c r="AB20">
        <f>INDEX(Raw!$B$4:$AO$39, MATCH(AB$1, Raw!$A$4:$A$39, 0), MATCH($C20, Raw!$B$1:$AO$1, 0))</f>
        <v>0</v>
      </c>
      <c r="AC20">
        <f>INDEX(Raw!$B$4:$AO$39, MATCH(AC$1, Raw!$A$4:$A$39, 0), MATCH($C20, Raw!$B$1:$AO$1, 0))</f>
        <v>973000000</v>
      </c>
      <c r="AD20">
        <f>INDEX(Raw!$B$4:$AO$39, MATCH(AD$1, Raw!$A$4:$A$39, 0), MATCH($C20, Raw!$B$1:$AO$1, 0))</f>
        <v>1653000000</v>
      </c>
      <c r="AE20">
        <f>INDEX(Raw!$B$4:$AO$39, MATCH(AE$1, Raw!$A$4:$A$39, 0), MATCH($C20, Raw!$B$1:$AO$1, 0))</f>
        <v>313000000</v>
      </c>
      <c r="AF20">
        <f>INDEX(Raw!$B$4:$AO$39, MATCH(AF$1, Raw!$A$4:$A$39, 0), MATCH($C20, Raw!$B$1:$AO$1, 0))</f>
        <v>-3149000000</v>
      </c>
    </row>
    <row r="21" spans="1:32" x14ac:dyDescent="0.25">
      <c r="A21" s="2" t="s">
        <v>61</v>
      </c>
      <c r="B21" s="8">
        <f t="shared" ca="1" si="0"/>
        <v>46089</v>
      </c>
      <c r="C21" s="2">
        <v>2006</v>
      </c>
      <c r="D21">
        <f>INDEX(Raw!$B$4:$AO$39, MATCH(D$1, Raw!$A$4:$A$39, 0), MATCH($C21, Raw!$B$1:$AO$1, 0))</f>
        <v>5080000000</v>
      </c>
      <c r="E21">
        <f>INDEX(Raw!$B$4:$AO$39, MATCH(E$1, Raw!$A$4:$A$39, 0), MATCH($C21, Raw!$B$1:$AO$1, 0))</f>
        <v>938000000</v>
      </c>
      <c r="F21">
        <f>INDEX(Raw!$B$4:$AO$39, MATCH(F$1, Raw!$A$4:$A$39, 0), MATCH($C21, Raw!$B$1:$AO$1, 0))</f>
        <v>554000000</v>
      </c>
      <c r="G21">
        <f>INDEX(Raw!$B$4:$AO$39, MATCH(G$1, Raw!$A$4:$A$39, 0), MATCH($C21, Raw!$B$1:$AO$1, 0))</f>
        <v>1492000000</v>
      </c>
      <c r="H21">
        <f>INDEX(Raw!$B$4:$AO$39, MATCH(H$1, Raw!$A$4:$A$39, 0), MATCH($C21, Raw!$B$1:$AO$1, 0))</f>
        <v>0</v>
      </c>
      <c r="I21">
        <f>INDEX(Raw!$B$4:$AO$39, MATCH(I$1, Raw!$A$4:$A$39, 0), MATCH($C21, Raw!$B$1:$AO$1, 0))</f>
        <v>0</v>
      </c>
      <c r="J21">
        <f>INDEX(Raw!$B$4:$AO$39, MATCH(J$1, Raw!$A$4:$A$39, 0), MATCH($C21, Raw!$B$1:$AO$1, 0))</f>
        <v>0</v>
      </c>
      <c r="K21">
        <f>INDEX(Raw!$B$4:$AO$39, MATCH(K$1, Raw!$A$4:$A$39, 0), MATCH($C21, Raw!$B$1:$AO$1, 0))</f>
        <v>-615000000</v>
      </c>
      <c r="L21">
        <f>INDEX(Raw!$B$4:$AO$39, MATCH(L$1, Raw!$A$4:$A$39, 0), MATCH($C21, Raw!$B$1:$AO$1, 0))</f>
        <v>-615000000</v>
      </c>
      <c r="M21">
        <f>INDEX(Raw!$B$4:$AO$39, MATCH(M$1, Raw!$A$4:$A$39, 0), MATCH($C21, Raw!$B$1:$AO$1, 0))</f>
        <v>5957000000</v>
      </c>
      <c r="N21">
        <f>INDEX(Raw!$B$4:$AO$39, MATCH(N$1, Raw!$A$4:$A$39, 0), MATCH($C21, Raw!$B$1:$AO$1, 0))</f>
        <v>-767000000</v>
      </c>
      <c r="O21">
        <f>INDEX(Raw!$B$4:$AO$39, MATCH(O$1, Raw!$A$4:$A$39, 0), MATCH($C21, Raw!$B$1:$AO$1, 0))</f>
        <v>0</v>
      </c>
      <c r="P21">
        <f>INDEX(Raw!$B$4:$AO$39, MATCH(P$1, Raw!$A$4:$A$39, 0), MATCH($C21, Raw!$B$1:$AO$1, 0))</f>
        <v>-901000000</v>
      </c>
      <c r="Q21">
        <f>INDEX(Raw!$B$4:$AO$39, MATCH(Q$1, Raw!$A$4:$A$39, 0), MATCH($C21, Raw!$B$1:$AO$1, 0))</f>
        <v>0</v>
      </c>
      <c r="R21">
        <f>INDEX(Raw!$B$4:$AO$39, MATCH(R$1, Raw!$A$4:$A$39, 0), MATCH($C21, Raw!$B$1:$AO$1, 0))</f>
        <v>30000000</v>
      </c>
      <c r="S21">
        <f>INDEX(Raw!$B$4:$AO$39, MATCH(S$1, Raw!$A$4:$A$39, 0), MATCH($C21, Raw!$B$1:$AO$1, 0))</f>
        <v>30000000</v>
      </c>
      <c r="T21">
        <f>INDEX(Raw!$B$4:$AO$39, MATCH(T$1, Raw!$A$4:$A$39, 0), MATCH($C21, Raw!$B$1:$AO$1, 0))</f>
        <v>-62000000</v>
      </c>
      <c r="U21">
        <f>INDEX(Raw!$B$4:$AO$39, MATCH(U$1, Raw!$A$4:$A$39, 0), MATCH($C21, Raw!$B$1:$AO$1, 0))</f>
        <v>-1700000000</v>
      </c>
      <c r="V21">
        <f>INDEX(Raw!$B$4:$AO$39, MATCH(V$1, Raw!$A$4:$A$39, 0), MATCH($C21, Raw!$B$1:$AO$1, 0))</f>
        <v>-1404000000</v>
      </c>
      <c r="W21">
        <f>INDEX(Raw!$B$4:$AO$39, MATCH(W$1, Raw!$A$4:$A$39, 0), MATCH($C21, Raw!$B$1:$AO$1, 0))</f>
        <v>0</v>
      </c>
      <c r="X21">
        <f>INDEX(Raw!$B$4:$AO$39, MATCH(X$1, Raw!$A$4:$A$39, 0), MATCH($C21, Raw!$B$1:$AO$1, 0))</f>
        <v>-1404000000</v>
      </c>
      <c r="Y21">
        <f>INDEX(Raw!$B$4:$AO$39, MATCH(Y$1, Raw!$A$4:$A$39, 0), MATCH($C21, Raw!$B$1:$AO$1, 0))</f>
        <v>-2268000000</v>
      </c>
      <c r="Z21">
        <f>INDEX(Raw!$B$4:$AO$39, MATCH(Z$1, Raw!$A$4:$A$39, 0), MATCH($C21, Raw!$B$1:$AO$1, 0))</f>
        <v>-2268000000</v>
      </c>
      <c r="AA21">
        <f>INDEX(Raw!$B$4:$AO$39, MATCH(AA$1, Raw!$A$4:$A$39, 0), MATCH($C21, Raw!$B$1:$AO$1, 0))</f>
        <v>-2911000000</v>
      </c>
      <c r="AB21">
        <f>INDEX(Raw!$B$4:$AO$39, MATCH(AB$1, Raw!$A$4:$A$39, 0), MATCH($C21, Raw!$B$1:$AO$1, 0))</f>
        <v>0</v>
      </c>
      <c r="AC21">
        <f>INDEX(Raw!$B$4:$AO$39, MATCH(AC$1, Raw!$A$4:$A$39, 0), MATCH($C21, Raw!$B$1:$AO$1, 0))</f>
        <v>-6583000000</v>
      </c>
      <c r="AD21">
        <f>INDEX(Raw!$B$4:$AO$39, MATCH(AD$1, Raw!$A$4:$A$39, 0), MATCH($C21, Raw!$B$1:$AO$1, 0))</f>
        <v>-2261000000</v>
      </c>
      <c r="AE21">
        <f>INDEX(Raw!$B$4:$AO$39, MATCH(AE$1, Raw!$A$4:$A$39, 0), MATCH($C21, Raw!$B$1:$AO$1, 0))</f>
        <v>324000000</v>
      </c>
      <c r="AF21">
        <f>INDEX(Raw!$B$4:$AO$39, MATCH(AF$1, Raw!$A$4:$A$39, 0), MATCH($C21, Raw!$B$1:$AO$1, 0))</f>
        <v>-2911000000</v>
      </c>
    </row>
    <row r="22" spans="1:32" x14ac:dyDescent="0.25">
      <c r="A22" s="2" t="s">
        <v>61</v>
      </c>
      <c r="B22" s="8">
        <f t="shared" ca="1" si="0"/>
        <v>46089</v>
      </c>
      <c r="C22" s="2">
        <v>2005</v>
      </c>
      <c r="D22">
        <f>INDEX(Raw!$B$4:$AO$39, MATCH(D$1, Raw!$A$4:$A$39, 0), MATCH($C22, Raw!$B$1:$AO$1, 0))</f>
        <v>4872000000</v>
      </c>
      <c r="E22">
        <f>INDEX(Raw!$B$4:$AO$39, MATCH(E$1, Raw!$A$4:$A$39, 0), MATCH($C22, Raw!$B$1:$AO$1, 0))</f>
        <v>932000000</v>
      </c>
      <c r="F22">
        <f>INDEX(Raw!$B$4:$AO$39, MATCH(F$1, Raw!$A$4:$A$39, 0), MATCH($C22, Raw!$B$1:$AO$1, 0))</f>
        <v>189000000</v>
      </c>
      <c r="G22">
        <f>INDEX(Raw!$B$4:$AO$39, MATCH(G$1, Raw!$A$4:$A$39, 0), MATCH($C22, Raw!$B$1:$AO$1, 0))</f>
        <v>1121000000</v>
      </c>
      <c r="H22">
        <f>INDEX(Raw!$B$4:$AO$39, MATCH(H$1, Raw!$A$4:$A$39, 0), MATCH($C22, Raw!$B$1:$AO$1, 0))</f>
        <v>0</v>
      </c>
      <c r="I22">
        <f>INDEX(Raw!$B$4:$AO$39, MATCH(I$1, Raw!$A$4:$A$39, 0), MATCH($C22, Raw!$B$1:$AO$1, 0))</f>
        <v>0</v>
      </c>
      <c r="J22">
        <f>INDEX(Raw!$B$4:$AO$39, MATCH(J$1, Raw!$A$4:$A$39, 0), MATCH($C22, Raw!$B$1:$AO$1, 0))</f>
        <v>0</v>
      </c>
      <c r="K22">
        <f>INDEX(Raw!$B$4:$AO$39, MATCH(K$1, Raw!$A$4:$A$39, 0), MATCH($C22, Raw!$B$1:$AO$1, 0))</f>
        <v>430000000</v>
      </c>
      <c r="L22">
        <f>INDEX(Raw!$B$4:$AO$39, MATCH(L$1, Raw!$A$4:$A$39, 0), MATCH($C22, Raw!$B$1:$AO$1, 0))</f>
        <v>430000000</v>
      </c>
      <c r="M22">
        <f>INDEX(Raw!$B$4:$AO$39, MATCH(M$1, Raw!$A$4:$A$39, 0), MATCH($C22, Raw!$B$1:$AO$1, 0))</f>
        <v>6423000000</v>
      </c>
      <c r="N22">
        <f>INDEX(Raw!$B$4:$AO$39, MATCH(N$1, Raw!$A$4:$A$39, 0), MATCH($C22, Raw!$B$1:$AO$1, 0))</f>
        <v>-811000000</v>
      </c>
      <c r="O22">
        <f>INDEX(Raw!$B$4:$AO$39, MATCH(O$1, Raw!$A$4:$A$39, 0), MATCH($C22, Raw!$B$1:$AO$1, 0))</f>
        <v>0</v>
      </c>
      <c r="P22">
        <f>INDEX(Raw!$B$4:$AO$39, MATCH(P$1, Raw!$A$4:$A$39, 0), MATCH($C22, Raw!$B$1:$AO$1, 0))</f>
        <v>-637000000</v>
      </c>
      <c r="Q22">
        <f>INDEX(Raw!$B$4:$AO$39, MATCH(Q$1, Raw!$A$4:$A$39, 0), MATCH($C22, Raw!$B$1:$AO$1, 0))</f>
        <v>0</v>
      </c>
      <c r="R22">
        <f>INDEX(Raw!$B$4:$AO$39, MATCH(R$1, Raw!$A$4:$A$39, 0), MATCH($C22, Raw!$B$1:$AO$1, 0))</f>
        <v>-20000000</v>
      </c>
      <c r="S22">
        <f>INDEX(Raw!$B$4:$AO$39, MATCH(S$1, Raw!$A$4:$A$39, 0), MATCH($C22, Raw!$B$1:$AO$1, 0))</f>
        <v>-20000000</v>
      </c>
      <c r="T22">
        <f>INDEX(Raw!$B$4:$AO$39, MATCH(T$1, Raw!$A$4:$A$39, 0), MATCH($C22, Raw!$B$1:$AO$1, 0))</f>
        <v>-28000000</v>
      </c>
      <c r="U22">
        <f>INDEX(Raw!$B$4:$AO$39, MATCH(U$1, Raw!$A$4:$A$39, 0), MATCH($C22, Raw!$B$1:$AO$1, 0))</f>
        <v>-1496000000</v>
      </c>
      <c r="V22">
        <f>INDEX(Raw!$B$4:$AO$39, MATCH(V$1, Raw!$A$4:$A$39, 0), MATCH($C22, Raw!$B$1:$AO$1, 0))</f>
        <v>-2282000000</v>
      </c>
      <c r="W22">
        <f>INDEX(Raw!$B$4:$AO$39, MATCH(W$1, Raw!$A$4:$A$39, 0), MATCH($C22, Raw!$B$1:$AO$1, 0))</f>
        <v>0</v>
      </c>
      <c r="X22">
        <f>INDEX(Raw!$B$4:$AO$39, MATCH(X$1, Raw!$A$4:$A$39, 0), MATCH($C22, Raw!$B$1:$AO$1, 0))</f>
        <v>-2282000000</v>
      </c>
      <c r="Y22">
        <f>INDEX(Raw!$B$4:$AO$39, MATCH(Y$1, Raw!$A$4:$A$39, 0), MATCH($C22, Raw!$B$1:$AO$1, 0))</f>
        <v>-1825000000</v>
      </c>
      <c r="Z22">
        <f>INDEX(Raw!$B$4:$AO$39, MATCH(Z$1, Raw!$A$4:$A$39, 0), MATCH($C22, Raw!$B$1:$AO$1, 0))</f>
        <v>-1825000000</v>
      </c>
      <c r="AA22">
        <f>INDEX(Raw!$B$4:$AO$39, MATCH(AA$1, Raw!$A$4:$A$39, 0), MATCH($C22, Raw!$B$1:$AO$1, 0))</f>
        <v>-2678000000</v>
      </c>
      <c r="AB22">
        <f>INDEX(Raw!$B$4:$AO$39, MATCH(AB$1, Raw!$A$4:$A$39, 0), MATCH($C22, Raw!$B$1:$AO$1, 0))</f>
        <v>0</v>
      </c>
      <c r="AC22">
        <f>INDEX(Raw!$B$4:$AO$39, MATCH(AC$1, Raw!$A$4:$A$39, 0), MATCH($C22, Raw!$B$1:$AO$1, 0))</f>
        <v>-6785000000</v>
      </c>
      <c r="AD22">
        <f>INDEX(Raw!$B$4:$AO$39, MATCH(AD$1, Raw!$A$4:$A$39, 0), MATCH($C22, Raw!$B$1:$AO$1, 0))</f>
        <v>-2006000000</v>
      </c>
      <c r="AE22">
        <f>INDEX(Raw!$B$4:$AO$39, MATCH(AE$1, Raw!$A$4:$A$39, 0), MATCH($C22, Raw!$B$1:$AO$1, 0))</f>
        <v>324000000</v>
      </c>
      <c r="AF22">
        <f>INDEX(Raw!$B$4:$AO$39, MATCH(AF$1, Raw!$A$4:$A$39, 0), MATCH($C22, Raw!$B$1:$AO$1, 0))</f>
        <v>-2678000000</v>
      </c>
    </row>
    <row r="23" spans="1:32" x14ac:dyDescent="0.25">
      <c r="A23" s="2" t="s">
        <v>61</v>
      </c>
      <c r="B23" s="8">
        <f t="shared" ca="1" si="0"/>
        <v>46089</v>
      </c>
      <c r="C23" s="2">
        <v>2004</v>
      </c>
      <c r="D23">
        <f>INDEX(Raw!$B$4:$AO$39, MATCH(D$1, Raw!$A$4:$A$39, 0), MATCH($C23, Raw!$B$1:$AO$1, 0))</f>
        <v>4847000000</v>
      </c>
      <c r="E23">
        <f>INDEX(Raw!$B$4:$AO$39, MATCH(E$1, Raw!$A$4:$A$39, 0), MATCH($C23, Raw!$B$1:$AO$1, 0))</f>
        <v>893000000</v>
      </c>
      <c r="F23">
        <f>INDEX(Raw!$B$4:$AO$39, MATCH(F$1, Raw!$A$4:$A$39, 0), MATCH($C23, Raw!$B$1:$AO$1, 0))</f>
        <v>845000000</v>
      </c>
      <c r="G23">
        <f>INDEX(Raw!$B$4:$AO$39, MATCH(G$1, Raw!$A$4:$A$39, 0), MATCH($C23, Raw!$B$1:$AO$1, 0))</f>
        <v>1738000000</v>
      </c>
      <c r="H23">
        <f>INDEX(Raw!$B$4:$AO$39, MATCH(H$1, Raw!$A$4:$A$39, 0), MATCH($C23, Raw!$B$1:$AO$1, 0))</f>
        <v>0</v>
      </c>
      <c r="I23">
        <f>INDEX(Raw!$B$4:$AO$39, MATCH(I$1, Raw!$A$4:$A$39, 0), MATCH($C23, Raw!$B$1:$AO$1, 0))</f>
        <v>0</v>
      </c>
      <c r="J23">
        <f>INDEX(Raw!$B$4:$AO$39, MATCH(J$1, Raw!$A$4:$A$39, 0), MATCH($C23, Raw!$B$1:$AO$1, 0))</f>
        <v>0</v>
      </c>
      <c r="K23">
        <f>INDEX(Raw!$B$4:$AO$39, MATCH(K$1, Raw!$A$4:$A$39, 0), MATCH($C23, Raw!$B$1:$AO$1, 0))</f>
        <v>-617000000</v>
      </c>
      <c r="L23">
        <f>INDEX(Raw!$B$4:$AO$39, MATCH(L$1, Raw!$A$4:$A$39, 0), MATCH($C23, Raw!$B$1:$AO$1, 0))</f>
        <v>-617000000</v>
      </c>
      <c r="M23">
        <f>INDEX(Raw!$B$4:$AO$39, MATCH(M$1, Raw!$A$4:$A$39, 0), MATCH($C23, Raw!$B$1:$AO$1, 0))</f>
        <v>5968000000</v>
      </c>
      <c r="N23">
        <f>INDEX(Raw!$B$4:$AO$39, MATCH(N$1, Raw!$A$4:$A$39, 0), MATCH($C23, Raw!$B$1:$AO$1, 0))</f>
        <v>-414000000</v>
      </c>
      <c r="O23">
        <f>INDEX(Raw!$B$4:$AO$39, MATCH(O$1, Raw!$A$4:$A$39, 0), MATCH($C23, Raw!$B$1:$AO$1, 0))</f>
        <v>0</v>
      </c>
      <c r="P23">
        <f>INDEX(Raw!$B$4:$AO$39, MATCH(P$1, Raw!$A$4:$A$39, 0), MATCH($C23, Raw!$B$1:$AO$1, 0))</f>
        <v>-267000000</v>
      </c>
      <c r="Q23">
        <f>INDEX(Raw!$B$4:$AO$39, MATCH(Q$1, Raw!$A$4:$A$39, 0), MATCH($C23, Raw!$B$1:$AO$1, 0))</f>
        <v>0</v>
      </c>
      <c r="R23">
        <f>INDEX(Raw!$B$4:$AO$39, MATCH(R$1, Raw!$A$4:$A$39, 0), MATCH($C23, Raw!$B$1:$AO$1, 0))</f>
        <v>115000000</v>
      </c>
      <c r="S23">
        <f>INDEX(Raw!$B$4:$AO$39, MATCH(S$1, Raw!$A$4:$A$39, 0), MATCH($C23, Raw!$B$1:$AO$1, 0))</f>
        <v>115000000</v>
      </c>
      <c r="T23">
        <f>INDEX(Raw!$B$4:$AO$39, MATCH(T$1, Raw!$A$4:$A$39, 0), MATCH($C23, Raw!$B$1:$AO$1, 0))</f>
        <v>63000000</v>
      </c>
      <c r="U23">
        <f>INDEX(Raw!$B$4:$AO$39, MATCH(U$1, Raw!$A$4:$A$39, 0), MATCH($C23, Raw!$B$1:$AO$1, 0))</f>
        <v>-503000000</v>
      </c>
      <c r="V23">
        <f>INDEX(Raw!$B$4:$AO$39, MATCH(V$1, Raw!$A$4:$A$39, 0), MATCH($C23, Raw!$B$1:$AO$1, 0))</f>
        <v>1714000000</v>
      </c>
      <c r="W23">
        <f>INDEX(Raw!$B$4:$AO$39, MATCH(W$1, Raw!$A$4:$A$39, 0), MATCH($C23, Raw!$B$1:$AO$1, 0))</f>
        <v>0</v>
      </c>
      <c r="X23">
        <f>INDEX(Raw!$B$4:$AO$39, MATCH(X$1, Raw!$A$4:$A$39, 0), MATCH($C23, Raw!$B$1:$AO$1, 0))</f>
        <v>1714000000</v>
      </c>
      <c r="Y23">
        <f>INDEX(Raw!$B$4:$AO$39, MATCH(Y$1, Raw!$A$4:$A$39, 0), MATCH($C23, Raw!$B$1:$AO$1, 0))</f>
        <v>-1546000000</v>
      </c>
      <c r="Z23">
        <f>INDEX(Raw!$B$4:$AO$39, MATCH(Z$1, Raw!$A$4:$A$39, 0), MATCH($C23, Raw!$B$1:$AO$1, 0))</f>
        <v>-1546000000</v>
      </c>
      <c r="AA23">
        <f>INDEX(Raw!$B$4:$AO$39, MATCH(AA$1, Raw!$A$4:$A$39, 0), MATCH($C23, Raw!$B$1:$AO$1, 0))</f>
        <v>-2429000000</v>
      </c>
      <c r="AB23">
        <f>INDEX(Raw!$B$4:$AO$39, MATCH(AB$1, Raw!$A$4:$A$39, 0), MATCH($C23, Raw!$B$1:$AO$1, 0))</f>
        <v>0</v>
      </c>
      <c r="AC23">
        <f>INDEX(Raw!$B$4:$AO$39, MATCH(AC$1, Raw!$A$4:$A$39, 0), MATCH($C23, Raw!$B$1:$AO$1, 0))</f>
        <v>-2261000000</v>
      </c>
      <c r="AD23">
        <f>INDEX(Raw!$B$4:$AO$39, MATCH(AD$1, Raw!$A$4:$A$39, 0), MATCH($C23, Raw!$B$1:$AO$1, 0))</f>
        <v>3345000000</v>
      </c>
      <c r="AE23">
        <f>INDEX(Raw!$B$4:$AO$39, MATCH(AE$1, Raw!$A$4:$A$39, 0), MATCH($C23, Raw!$B$1:$AO$1, 0))</f>
        <v>345000000</v>
      </c>
      <c r="AF23">
        <f>INDEX(Raw!$B$4:$AO$39, MATCH(AF$1, Raw!$A$4:$A$39, 0), MATCH($C23, Raw!$B$1:$AO$1, 0))</f>
        <v>-2429000000</v>
      </c>
    </row>
    <row r="24" spans="1:32" x14ac:dyDescent="0.25">
      <c r="A24" s="2" t="s">
        <v>61</v>
      </c>
      <c r="B24" s="8">
        <f t="shared" ca="1" si="0"/>
        <v>46089</v>
      </c>
      <c r="C24" s="2">
        <v>2003</v>
      </c>
      <c r="D24">
        <f>INDEX(Raw!$B$4:$AO$39, MATCH(D$1, Raw!$A$4:$A$39, 0), MATCH($C24, Raw!$B$1:$AO$1, 0))</f>
        <v>4347000000</v>
      </c>
      <c r="E24">
        <f>INDEX(Raw!$B$4:$AO$39, MATCH(E$1, Raw!$A$4:$A$39, 0), MATCH($C24, Raw!$B$1:$AO$1, 0))</f>
        <v>850000000</v>
      </c>
      <c r="F24">
        <f>INDEX(Raw!$B$4:$AO$39, MATCH(F$1, Raw!$A$4:$A$39, 0), MATCH($C24, Raw!$B$1:$AO$1, 0))</f>
        <v>427000000</v>
      </c>
      <c r="G24">
        <f>INDEX(Raw!$B$4:$AO$39, MATCH(G$1, Raw!$A$4:$A$39, 0), MATCH($C24, Raw!$B$1:$AO$1, 0))</f>
        <v>1277000000</v>
      </c>
      <c r="H24">
        <f>INDEX(Raw!$B$4:$AO$39, MATCH(H$1, Raw!$A$4:$A$39, 0), MATCH($C24, Raw!$B$1:$AO$1, 0))</f>
        <v>0</v>
      </c>
      <c r="I24">
        <f>INDEX(Raw!$B$4:$AO$39, MATCH(I$1, Raw!$A$4:$A$39, 0), MATCH($C24, Raw!$B$1:$AO$1, 0))</f>
        <v>0</v>
      </c>
      <c r="J24">
        <f>INDEX(Raw!$B$4:$AO$39, MATCH(J$1, Raw!$A$4:$A$39, 0), MATCH($C24, Raw!$B$1:$AO$1, 0))</f>
        <v>0</v>
      </c>
      <c r="K24">
        <f>INDEX(Raw!$B$4:$AO$39, MATCH(K$1, Raw!$A$4:$A$39, 0), MATCH($C24, Raw!$B$1:$AO$1, 0))</f>
        <v>-168000000</v>
      </c>
      <c r="L24">
        <f>INDEX(Raw!$B$4:$AO$39, MATCH(L$1, Raw!$A$4:$A$39, 0), MATCH($C24, Raw!$B$1:$AO$1, 0))</f>
        <v>-168000000</v>
      </c>
      <c r="M24">
        <f>INDEX(Raw!$B$4:$AO$39, MATCH(M$1, Raw!$A$4:$A$39, 0), MATCH($C24, Raw!$B$1:$AO$1, 0))</f>
        <v>5456000000</v>
      </c>
      <c r="N24">
        <f>INDEX(Raw!$B$4:$AO$39, MATCH(N$1, Raw!$A$4:$A$39, 0), MATCH($C24, Raw!$B$1:$AO$1, 0))</f>
        <v>-725000000</v>
      </c>
      <c r="O24">
        <f>INDEX(Raw!$B$4:$AO$39, MATCH(O$1, Raw!$A$4:$A$39, 0), MATCH($C24, Raw!$B$1:$AO$1, 0))</f>
        <v>0</v>
      </c>
      <c r="P24">
        <f>INDEX(Raw!$B$4:$AO$39, MATCH(P$1, Raw!$A$4:$A$39, 0), MATCH($C24, Raw!$B$1:$AO$1, 0))</f>
        <v>-359000000</v>
      </c>
      <c r="Q24">
        <f>INDEX(Raw!$B$4:$AO$39, MATCH(Q$1, Raw!$A$4:$A$39, 0), MATCH($C24, Raw!$B$1:$AO$1, 0))</f>
        <v>0</v>
      </c>
      <c r="R24">
        <f>INDEX(Raw!$B$4:$AO$39, MATCH(R$1, Raw!$A$4:$A$39, 0), MATCH($C24, Raw!$B$1:$AO$1, 0))</f>
        <v>-30000000</v>
      </c>
      <c r="S24">
        <f>INDEX(Raw!$B$4:$AO$39, MATCH(S$1, Raw!$A$4:$A$39, 0), MATCH($C24, Raw!$B$1:$AO$1, 0))</f>
        <v>-30000000</v>
      </c>
      <c r="T24">
        <f>INDEX(Raw!$B$4:$AO$39, MATCH(T$1, Raw!$A$4:$A$39, 0), MATCH($C24, Raw!$B$1:$AO$1, 0))</f>
        <v>178000000</v>
      </c>
      <c r="U24">
        <f>INDEX(Raw!$B$4:$AO$39, MATCH(U$1, Raw!$A$4:$A$39, 0), MATCH($C24, Raw!$B$1:$AO$1, 0))</f>
        <v>-936000000</v>
      </c>
      <c r="V24">
        <f>INDEX(Raw!$B$4:$AO$39, MATCH(V$1, Raw!$A$4:$A$39, 0), MATCH($C24, Raw!$B$1:$AO$1, 0))</f>
        <v>-93000000</v>
      </c>
      <c r="W24">
        <f>INDEX(Raw!$B$4:$AO$39, MATCH(W$1, Raw!$A$4:$A$39, 0), MATCH($C24, Raw!$B$1:$AO$1, 0))</f>
        <v>0</v>
      </c>
      <c r="X24">
        <f>INDEX(Raw!$B$4:$AO$39, MATCH(X$1, Raw!$A$4:$A$39, 0), MATCH($C24, Raw!$B$1:$AO$1, 0))</f>
        <v>-93000000</v>
      </c>
      <c r="Y24">
        <f>INDEX(Raw!$B$4:$AO$39, MATCH(Y$1, Raw!$A$4:$A$39, 0), MATCH($C24, Raw!$B$1:$AO$1, 0))</f>
        <v>-1342000000</v>
      </c>
      <c r="Z24">
        <f>INDEX(Raw!$B$4:$AO$39, MATCH(Z$1, Raw!$A$4:$A$39, 0), MATCH($C24, Raw!$B$1:$AO$1, 0))</f>
        <v>-1342000000</v>
      </c>
      <c r="AA24">
        <f>INDEX(Raw!$B$4:$AO$39, MATCH(AA$1, Raw!$A$4:$A$39, 0), MATCH($C24, Raw!$B$1:$AO$1, 0))</f>
        <v>-2166000000</v>
      </c>
      <c r="AB24">
        <f>INDEX(Raw!$B$4:$AO$39, MATCH(AB$1, Raw!$A$4:$A$39, 0), MATCH($C24, Raw!$B$1:$AO$1, 0))</f>
        <v>0</v>
      </c>
      <c r="AC24">
        <f>INDEX(Raw!$B$4:$AO$39, MATCH(AC$1, Raw!$A$4:$A$39, 0), MATCH($C24, Raw!$B$1:$AO$1, 0))</f>
        <v>-3601000000</v>
      </c>
      <c r="AD24">
        <f>INDEX(Raw!$B$4:$AO$39, MATCH(AD$1, Raw!$A$4:$A$39, 0), MATCH($C24, Raw!$B$1:$AO$1, 0))</f>
        <v>1102000000</v>
      </c>
      <c r="AE24">
        <f>INDEX(Raw!$B$4:$AO$39, MATCH(AE$1, Raw!$A$4:$A$39, 0), MATCH($C24, Raw!$B$1:$AO$1, 0))</f>
        <v>422000000</v>
      </c>
      <c r="AF24">
        <f>INDEX(Raw!$B$4:$AO$39, MATCH(AF$1, Raw!$A$4:$A$39, 0), MATCH($C24, Raw!$B$1:$AO$1, 0))</f>
        <v>-2166000000</v>
      </c>
    </row>
    <row r="25" spans="1:32" x14ac:dyDescent="0.25">
      <c r="A25" s="2" t="s">
        <v>61</v>
      </c>
      <c r="B25" s="8">
        <f t="shared" ca="1" si="0"/>
        <v>46089</v>
      </c>
      <c r="C25" s="2">
        <v>2002</v>
      </c>
      <c r="D25">
        <f>INDEX(Raw!$B$4:$AO$39, MATCH(D$1, Raw!$A$4:$A$39, 0), MATCH($C25, Raw!$B$1:$AO$1, 0))</f>
        <v>3050000000</v>
      </c>
      <c r="E25">
        <f>INDEX(Raw!$B$4:$AO$39, MATCH(E$1, Raw!$A$4:$A$39, 0), MATCH($C25, Raw!$B$1:$AO$1, 0))</f>
        <v>806000000</v>
      </c>
      <c r="F25">
        <f>INDEX(Raw!$B$4:$AO$39, MATCH(F$1, Raw!$A$4:$A$39, 0), MATCH($C25, Raw!$B$1:$AO$1, 0))</f>
        <v>1293000000</v>
      </c>
      <c r="G25">
        <f>INDEX(Raw!$B$4:$AO$39, MATCH(G$1, Raw!$A$4:$A$39, 0), MATCH($C25, Raw!$B$1:$AO$1, 0))</f>
        <v>2099000000</v>
      </c>
      <c r="H25">
        <f>INDEX(Raw!$B$4:$AO$39, MATCH(H$1, Raw!$A$4:$A$39, 0), MATCH($C25, Raw!$B$1:$AO$1, 0))</f>
        <v>0</v>
      </c>
      <c r="I25">
        <f>INDEX(Raw!$B$4:$AO$39, MATCH(I$1, Raw!$A$4:$A$39, 0), MATCH($C25, Raw!$B$1:$AO$1, 0))</f>
        <v>0</v>
      </c>
      <c r="J25">
        <f>INDEX(Raw!$B$4:$AO$39, MATCH(J$1, Raw!$A$4:$A$39, 0), MATCH($C25, Raw!$B$1:$AO$1, 0))</f>
        <v>0</v>
      </c>
      <c r="K25">
        <f>INDEX(Raw!$B$4:$AO$39, MATCH(K$1, Raw!$A$4:$A$39, 0), MATCH($C25, Raw!$B$1:$AO$1, 0))</f>
        <v>-407000000</v>
      </c>
      <c r="L25">
        <f>INDEX(Raw!$B$4:$AO$39, MATCH(L$1, Raw!$A$4:$A$39, 0), MATCH($C25, Raw!$B$1:$AO$1, 0))</f>
        <v>-407000000</v>
      </c>
      <c r="M25">
        <f>INDEX(Raw!$B$4:$AO$39, MATCH(M$1, Raw!$A$4:$A$39, 0), MATCH($C25, Raw!$B$1:$AO$1, 0))</f>
        <v>4742000000</v>
      </c>
      <c r="N25">
        <f>INDEX(Raw!$B$4:$AO$39, MATCH(N$1, Raw!$A$4:$A$39, 0), MATCH($C25, Raw!$B$1:$AO$1, 0))</f>
        <v>-782000000</v>
      </c>
      <c r="O25">
        <f>INDEX(Raw!$B$4:$AO$39, MATCH(O$1, Raw!$A$4:$A$39, 0), MATCH($C25, Raw!$B$1:$AO$1, 0))</f>
        <v>0</v>
      </c>
      <c r="P25">
        <f>INDEX(Raw!$B$4:$AO$39, MATCH(P$1, Raw!$A$4:$A$39, 0), MATCH($C25, Raw!$B$1:$AO$1, 0))</f>
        <v>-544000000</v>
      </c>
      <c r="Q25">
        <f>INDEX(Raw!$B$4:$AO$39, MATCH(Q$1, Raw!$A$4:$A$39, 0), MATCH($C25, Raw!$B$1:$AO$1, 0))</f>
        <v>0</v>
      </c>
      <c r="R25">
        <f>INDEX(Raw!$B$4:$AO$39, MATCH(R$1, Raw!$A$4:$A$39, 0), MATCH($C25, Raw!$B$1:$AO$1, 0))</f>
        <v>102000000</v>
      </c>
      <c r="S25">
        <f>INDEX(Raw!$B$4:$AO$39, MATCH(S$1, Raw!$A$4:$A$39, 0), MATCH($C25, Raw!$B$1:$AO$1, 0))</f>
        <v>102000000</v>
      </c>
      <c r="T25">
        <f>INDEX(Raw!$B$4:$AO$39, MATCH(T$1, Raw!$A$4:$A$39, 0), MATCH($C25, Raw!$B$1:$AO$1, 0))</f>
        <v>159000000</v>
      </c>
      <c r="U25">
        <f>INDEX(Raw!$B$4:$AO$39, MATCH(U$1, Raw!$A$4:$A$39, 0), MATCH($C25, Raw!$B$1:$AO$1, 0))</f>
        <v>-1065000000</v>
      </c>
      <c r="V25">
        <f>INDEX(Raw!$B$4:$AO$39, MATCH(V$1, Raw!$A$4:$A$39, 0), MATCH($C25, Raw!$B$1:$AO$1, 0))</f>
        <v>-756000000</v>
      </c>
      <c r="W25">
        <f>INDEX(Raw!$B$4:$AO$39, MATCH(W$1, Raw!$A$4:$A$39, 0), MATCH($C25, Raw!$B$1:$AO$1, 0))</f>
        <v>0</v>
      </c>
      <c r="X25">
        <f>INDEX(Raw!$B$4:$AO$39, MATCH(X$1, Raw!$A$4:$A$39, 0), MATCH($C25, Raw!$B$1:$AO$1, 0))</f>
        <v>-756000000</v>
      </c>
      <c r="Y25">
        <f>INDEX(Raw!$B$4:$AO$39, MATCH(Y$1, Raw!$A$4:$A$39, 0), MATCH($C25, Raw!$B$1:$AO$1, 0))</f>
        <v>-584000000</v>
      </c>
      <c r="Z25">
        <f>INDEX(Raw!$B$4:$AO$39, MATCH(Z$1, Raw!$A$4:$A$39, 0), MATCH($C25, Raw!$B$1:$AO$1, 0))</f>
        <v>-584000000</v>
      </c>
      <c r="AA25">
        <f>INDEX(Raw!$B$4:$AO$39, MATCH(AA$1, Raw!$A$4:$A$39, 0), MATCH($C25, Raw!$B$1:$AO$1, 0))</f>
        <v>-1987000000</v>
      </c>
      <c r="AB25">
        <f>INDEX(Raw!$B$4:$AO$39, MATCH(AB$1, Raw!$A$4:$A$39, 0), MATCH($C25, Raw!$B$1:$AO$1, 0))</f>
        <v>0</v>
      </c>
      <c r="AC25">
        <f>INDEX(Raw!$B$4:$AO$39, MATCH(AC$1, Raw!$A$4:$A$39, 0), MATCH($C25, Raw!$B$1:$AO$1, 0))</f>
        <v>-3327000000</v>
      </c>
      <c r="AD25">
        <f>INDEX(Raw!$B$4:$AO$39, MATCH(AD$1, Raw!$A$4:$A$39, 0), MATCH($C25, Raw!$B$1:$AO$1, 0))</f>
        <v>394000000</v>
      </c>
      <c r="AE25">
        <f>INDEX(Raw!$B$4:$AO$39, MATCH(AE$1, Raw!$A$4:$A$39, 0), MATCH($C25, Raw!$B$1:$AO$1, 0))</f>
        <v>365000000</v>
      </c>
      <c r="AF25">
        <f>INDEX(Raw!$B$4:$AO$39, MATCH(AF$1, Raw!$A$4:$A$39, 0), MATCH($C25, Raw!$B$1:$AO$1, 0))</f>
        <v>-1987000000</v>
      </c>
    </row>
    <row r="26" spans="1:32" x14ac:dyDescent="0.25">
      <c r="A26" s="2" t="s">
        <v>61</v>
      </c>
      <c r="B26" s="8">
        <f t="shared" ca="1" si="0"/>
        <v>46089</v>
      </c>
      <c r="C26" s="2">
        <v>2001</v>
      </c>
      <c r="D26">
        <f>INDEX(Raw!$B$4:$AO$39, MATCH(D$1, Raw!$A$4:$A$39, 0), MATCH($C26, Raw!$B$1:$AO$1, 0))</f>
        <v>3969000000</v>
      </c>
      <c r="E26">
        <f>INDEX(Raw!$B$4:$AO$39, MATCH(E$1, Raw!$A$4:$A$39, 0), MATCH($C26, Raw!$B$1:$AO$1, 0))</f>
        <v>803000000</v>
      </c>
      <c r="F26">
        <f>INDEX(Raw!$B$4:$AO$39, MATCH(F$1, Raw!$A$4:$A$39, 0), MATCH($C26, Raw!$B$1:$AO$1, 0))</f>
        <v>-200000000</v>
      </c>
      <c r="G26">
        <f>INDEX(Raw!$B$4:$AO$39, MATCH(G$1, Raw!$A$4:$A$39, 0), MATCH($C26, Raw!$B$1:$AO$1, 0))</f>
        <v>603000000</v>
      </c>
      <c r="H26">
        <f>INDEX(Raw!$B$4:$AO$39, MATCH(H$1, Raw!$A$4:$A$39, 0), MATCH($C26, Raw!$B$1:$AO$1, 0))</f>
        <v>0</v>
      </c>
      <c r="I26">
        <f>INDEX(Raw!$B$4:$AO$39, MATCH(I$1, Raw!$A$4:$A$39, 0), MATCH($C26, Raw!$B$1:$AO$1, 0))</f>
        <v>0</v>
      </c>
      <c r="J26">
        <f>INDEX(Raw!$B$4:$AO$39, MATCH(J$1, Raw!$A$4:$A$39, 0), MATCH($C26, Raw!$B$1:$AO$1, 0))</f>
        <v>0</v>
      </c>
      <c r="K26">
        <f>INDEX(Raw!$B$4:$AO$39, MATCH(K$1, Raw!$A$4:$A$39, 0), MATCH($C26, Raw!$B$1:$AO$1, 0))</f>
        <v>-462000000</v>
      </c>
      <c r="L26">
        <f>INDEX(Raw!$B$4:$AO$39, MATCH(L$1, Raw!$A$4:$A$39, 0), MATCH($C26, Raw!$B$1:$AO$1, 0))</f>
        <v>-462000000</v>
      </c>
      <c r="M26">
        <f>INDEX(Raw!$B$4:$AO$39, MATCH(M$1, Raw!$A$4:$A$39, 0), MATCH($C26, Raw!$B$1:$AO$1, 0))</f>
        <v>4110000000</v>
      </c>
      <c r="N26">
        <f>INDEX(Raw!$B$4:$AO$39, MATCH(N$1, Raw!$A$4:$A$39, 0), MATCH($C26, Raw!$B$1:$AO$1, 0))</f>
        <v>-678000000</v>
      </c>
      <c r="O26">
        <f>INDEX(Raw!$B$4:$AO$39, MATCH(O$1, Raw!$A$4:$A$39, 0), MATCH($C26, Raw!$B$1:$AO$1, 0))</f>
        <v>0</v>
      </c>
      <c r="P26">
        <f>INDEX(Raw!$B$4:$AO$39, MATCH(P$1, Raw!$A$4:$A$39, 0), MATCH($C26, Raw!$B$1:$AO$1, 0))</f>
        <v>-651000000</v>
      </c>
      <c r="Q26">
        <f>INDEX(Raw!$B$4:$AO$39, MATCH(Q$1, Raw!$A$4:$A$39, 0), MATCH($C26, Raw!$B$1:$AO$1, 0))</f>
        <v>0</v>
      </c>
      <c r="R26">
        <f>INDEX(Raw!$B$4:$AO$39, MATCH(R$1, Raw!$A$4:$A$39, 0), MATCH($C26, Raw!$B$1:$AO$1, 0))</f>
        <v>-1000000</v>
      </c>
      <c r="S26">
        <f>INDEX(Raw!$B$4:$AO$39, MATCH(S$1, Raw!$A$4:$A$39, 0), MATCH($C26, Raw!$B$1:$AO$1, 0))</f>
        <v>-1000000</v>
      </c>
      <c r="T26">
        <f>INDEX(Raw!$B$4:$AO$39, MATCH(T$1, Raw!$A$4:$A$39, 0), MATCH($C26, Raw!$B$1:$AO$1, 0))</f>
        <v>142000000</v>
      </c>
      <c r="U26">
        <f>INDEX(Raw!$B$4:$AO$39, MATCH(U$1, Raw!$A$4:$A$39, 0), MATCH($C26, Raw!$B$1:$AO$1, 0))</f>
        <v>-1188000000</v>
      </c>
      <c r="V26">
        <f>INDEX(Raw!$B$4:$AO$39, MATCH(V$1, Raw!$A$4:$A$39, 0), MATCH($C26, Raw!$B$1:$AO$1, 0))</f>
        <v>-926000000</v>
      </c>
      <c r="W26">
        <f>INDEX(Raw!$B$4:$AO$39, MATCH(W$1, Raw!$A$4:$A$39, 0), MATCH($C26, Raw!$B$1:$AO$1, 0))</f>
        <v>0</v>
      </c>
      <c r="X26">
        <f>INDEX(Raw!$B$4:$AO$39, MATCH(X$1, Raw!$A$4:$A$39, 0), MATCH($C26, Raw!$B$1:$AO$1, 0))</f>
        <v>-926000000</v>
      </c>
      <c r="Y26">
        <f>INDEX(Raw!$B$4:$AO$39, MATCH(Y$1, Raw!$A$4:$A$39, 0), MATCH($C26, Raw!$B$1:$AO$1, 0))</f>
        <v>-113000000</v>
      </c>
      <c r="Z26">
        <f>INDEX(Raw!$B$4:$AO$39, MATCH(Z$1, Raw!$A$4:$A$39, 0), MATCH($C26, Raw!$B$1:$AO$1, 0))</f>
        <v>-113000000</v>
      </c>
      <c r="AA26">
        <f>INDEX(Raw!$B$4:$AO$39, MATCH(AA$1, Raw!$A$4:$A$39, 0), MATCH($C26, Raw!$B$1:$AO$1, 0))</f>
        <v>-1791000000</v>
      </c>
      <c r="AB26">
        <f>INDEX(Raw!$B$4:$AO$39, MATCH(AB$1, Raw!$A$4:$A$39, 0), MATCH($C26, Raw!$B$1:$AO$1, 0))</f>
        <v>0</v>
      </c>
      <c r="AC26">
        <f>INDEX(Raw!$B$4:$AO$39, MATCH(AC$1, Raw!$A$4:$A$39, 0), MATCH($C26, Raw!$B$1:$AO$1, 0))</f>
        <v>-2830000000</v>
      </c>
      <c r="AD26">
        <f>INDEX(Raw!$B$4:$AO$39, MATCH(AD$1, Raw!$A$4:$A$39, 0), MATCH($C26, Raw!$B$1:$AO$1, 0))</f>
        <v>47000000</v>
      </c>
      <c r="AE26">
        <f>INDEX(Raw!$B$4:$AO$39, MATCH(AE$1, Raw!$A$4:$A$39, 0), MATCH($C26, Raw!$B$1:$AO$1, 0))</f>
        <v>41000000</v>
      </c>
      <c r="AF26">
        <f>INDEX(Raw!$B$4:$AO$39, MATCH(AF$1, Raw!$A$4:$A$39, 0), MATCH($C26, Raw!$B$1:$AO$1, 0))</f>
        <v>-1791000000</v>
      </c>
    </row>
    <row r="27" spans="1:32" x14ac:dyDescent="0.25">
      <c r="A27" s="2" t="s">
        <v>61</v>
      </c>
      <c r="B27" s="8">
        <f t="shared" ca="1" si="0"/>
        <v>46089</v>
      </c>
      <c r="C27" s="2">
        <v>2000</v>
      </c>
      <c r="D27">
        <f>INDEX(Raw!$B$4:$AO$39, MATCH(D$1, Raw!$A$4:$A$39, 0), MATCH($C27, Raw!$B$1:$AO$1, 0))</f>
        <v>2177000000</v>
      </c>
      <c r="E27">
        <f>INDEX(Raw!$B$4:$AO$39, MATCH(E$1, Raw!$A$4:$A$39, 0), MATCH($C27, Raw!$B$1:$AO$1, 0))</f>
        <v>773000000</v>
      </c>
      <c r="F27">
        <f>INDEX(Raw!$B$4:$AO$39, MATCH(F$1, Raw!$A$4:$A$39, 0), MATCH($C27, Raw!$B$1:$AO$1, 0))</f>
        <v>1487000000</v>
      </c>
      <c r="G27">
        <f>INDEX(Raw!$B$4:$AO$39, MATCH(G$1, Raw!$A$4:$A$39, 0), MATCH($C27, Raw!$B$1:$AO$1, 0))</f>
        <v>2260000000</v>
      </c>
      <c r="H27">
        <f>INDEX(Raw!$B$4:$AO$39, MATCH(H$1, Raw!$A$4:$A$39, 0), MATCH($C27, Raw!$B$1:$AO$1, 0))</f>
        <v>0</v>
      </c>
      <c r="I27">
        <f>INDEX(Raw!$B$4:$AO$39, MATCH(I$1, Raw!$A$4:$A$39, 0), MATCH($C27, Raw!$B$1:$AO$1, 0))</f>
        <v>0</v>
      </c>
      <c r="J27">
        <f>INDEX(Raw!$B$4:$AO$39, MATCH(J$1, Raw!$A$4:$A$39, 0), MATCH($C27, Raw!$B$1:$AO$1, 0))</f>
        <v>0</v>
      </c>
      <c r="K27">
        <f>INDEX(Raw!$B$4:$AO$39, MATCH(K$1, Raw!$A$4:$A$39, 0), MATCH($C27, Raw!$B$1:$AO$1, 0))</f>
        <v>-852000000</v>
      </c>
      <c r="L27">
        <f>INDEX(Raw!$B$4:$AO$39, MATCH(L$1, Raw!$A$4:$A$39, 0), MATCH($C27, Raw!$B$1:$AO$1, 0))</f>
        <v>-852000000</v>
      </c>
      <c r="M27">
        <f>INDEX(Raw!$B$4:$AO$39, MATCH(M$1, Raw!$A$4:$A$39, 0), MATCH($C27, Raw!$B$1:$AO$1, 0))</f>
        <v>3585000000</v>
      </c>
      <c r="N27">
        <f>INDEX(Raw!$B$4:$AO$39, MATCH(N$1, Raw!$A$4:$A$39, 0), MATCH($C27, Raw!$B$1:$AO$1, 0))</f>
        <v>-688000000</v>
      </c>
      <c r="O27">
        <f>INDEX(Raw!$B$4:$AO$39, MATCH(O$1, Raw!$A$4:$A$39, 0), MATCH($C27, Raw!$B$1:$AO$1, 0))</f>
        <v>0</v>
      </c>
      <c r="P27">
        <f>INDEX(Raw!$B$4:$AO$39, MATCH(P$1, Raw!$A$4:$A$39, 0), MATCH($C27, Raw!$B$1:$AO$1, 0))</f>
        <v>-397000000</v>
      </c>
      <c r="Q27">
        <f>INDEX(Raw!$B$4:$AO$39, MATCH(Q$1, Raw!$A$4:$A$39, 0), MATCH($C27, Raw!$B$1:$AO$1, 0))</f>
        <v>0</v>
      </c>
      <c r="R27">
        <f>INDEX(Raw!$B$4:$AO$39, MATCH(R$1, Raw!$A$4:$A$39, 0), MATCH($C27, Raw!$B$1:$AO$1, 0))</f>
        <v>-218000000</v>
      </c>
      <c r="S27">
        <f>INDEX(Raw!$B$4:$AO$39, MATCH(S$1, Raw!$A$4:$A$39, 0), MATCH($C27, Raw!$B$1:$AO$1, 0))</f>
        <v>-218000000</v>
      </c>
      <c r="T27">
        <f>INDEX(Raw!$B$4:$AO$39, MATCH(T$1, Raw!$A$4:$A$39, 0), MATCH($C27, Raw!$B$1:$AO$1, 0))</f>
        <v>138000000</v>
      </c>
      <c r="U27">
        <f>INDEX(Raw!$B$4:$AO$39, MATCH(U$1, Raw!$A$4:$A$39, 0), MATCH($C27, Raw!$B$1:$AO$1, 0))</f>
        <v>-1165000000</v>
      </c>
      <c r="V27">
        <f>INDEX(Raw!$B$4:$AO$39, MATCH(V$1, Raw!$A$4:$A$39, 0), MATCH($C27, Raw!$B$1:$AO$1, 0))</f>
        <v>-585000000</v>
      </c>
      <c r="W27">
        <f>INDEX(Raw!$B$4:$AO$39, MATCH(W$1, Raw!$A$4:$A$39, 0), MATCH($C27, Raw!$B$1:$AO$1, 0))</f>
        <v>0</v>
      </c>
      <c r="X27">
        <f>INDEX(Raw!$B$4:$AO$39, MATCH(X$1, Raw!$A$4:$A$39, 0), MATCH($C27, Raw!$B$1:$AO$1, 0))</f>
        <v>-585000000</v>
      </c>
      <c r="Y27">
        <f>INDEX(Raw!$B$4:$AO$39, MATCH(Y$1, Raw!$A$4:$A$39, 0), MATCH($C27, Raw!$B$1:$AO$1, 0))</f>
        <v>198000000</v>
      </c>
      <c r="Z27">
        <f>INDEX(Raw!$B$4:$AO$39, MATCH(Z$1, Raw!$A$4:$A$39, 0), MATCH($C27, Raw!$B$1:$AO$1, 0))</f>
        <v>198000000</v>
      </c>
      <c r="AA27">
        <f>INDEX(Raw!$B$4:$AO$39, MATCH(AA$1, Raw!$A$4:$A$39, 0), MATCH($C27, Raw!$B$1:$AO$1, 0))</f>
        <v>-1685000000</v>
      </c>
      <c r="AB27">
        <f>INDEX(Raw!$B$4:$AO$39, MATCH(AB$1, Raw!$A$4:$A$39, 0), MATCH($C27, Raw!$B$1:$AO$1, 0))</f>
        <v>0</v>
      </c>
      <c r="AC27">
        <f>INDEX(Raw!$B$4:$AO$39, MATCH(AC$1, Raw!$A$4:$A$39, 0), MATCH($C27, Raw!$B$1:$AO$1, 0))</f>
        <v>-2072000000</v>
      </c>
      <c r="AD27">
        <f>INDEX(Raw!$B$4:$AO$39, MATCH(AD$1, Raw!$A$4:$A$39, 0), MATCH($C27, Raw!$B$1:$AO$1, 0))</f>
        <v>208000000</v>
      </c>
      <c r="AE27">
        <f>INDEX(Raw!$B$4:$AO$39, MATCH(AE$1, Raw!$A$4:$A$39, 0), MATCH($C27, Raw!$B$1:$AO$1, 0))</f>
        <v>43000000</v>
      </c>
      <c r="AF27">
        <f>INDEX(Raw!$B$4:$AO$39, MATCH(AF$1, Raw!$A$4:$A$39, 0), MATCH($C27, Raw!$B$1:$AO$1, 0))</f>
        <v>-1685000000</v>
      </c>
    </row>
    <row r="28" spans="1:32" x14ac:dyDescent="0.25">
      <c r="A28" s="2" t="s">
        <v>61</v>
      </c>
      <c r="B28" s="8">
        <f t="shared" ca="1" si="0"/>
        <v>46089</v>
      </c>
      <c r="C28" s="2">
        <v>1999</v>
      </c>
      <c r="D28">
        <f>INDEX(Raw!$B$4:$AO$39, MATCH(D$1, Raw!$A$4:$A$39, 0), MATCH($C28, Raw!$B$1:$AO$1, 0))</f>
        <v>2431000000</v>
      </c>
      <c r="E28">
        <f>INDEX(Raw!$B$4:$AO$39, MATCH(E$1, Raw!$A$4:$A$39, 0), MATCH($C28, Raw!$B$1:$AO$1, 0))</f>
        <v>792000000</v>
      </c>
      <c r="F28">
        <f>INDEX(Raw!$B$4:$AO$39, MATCH(F$1, Raw!$A$4:$A$39, 0), MATCH($C28, Raw!$B$1:$AO$1, 0))</f>
        <v>0</v>
      </c>
      <c r="G28">
        <f>INDEX(Raw!$B$4:$AO$39, MATCH(G$1, Raw!$A$4:$A$39, 0), MATCH($C28, Raw!$B$1:$AO$1, 0))</f>
        <v>792000000</v>
      </c>
      <c r="H28">
        <f>INDEX(Raw!$B$4:$AO$39, MATCH(H$1, Raw!$A$4:$A$39, 0), MATCH($C28, Raw!$B$1:$AO$1, 0))</f>
        <v>0</v>
      </c>
      <c r="I28">
        <f>INDEX(Raw!$B$4:$AO$39, MATCH(I$1, Raw!$A$4:$A$39, 0), MATCH($C28, Raw!$B$1:$AO$1, 0))</f>
        <v>0</v>
      </c>
      <c r="J28">
        <f>INDEX(Raw!$B$4:$AO$39, MATCH(J$1, Raw!$A$4:$A$39, 0), MATCH($C28, Raw!$B$1:$AO$1, 0))</f>
        <v>0</v>
      </c>
      <c r="K28">
        <f>INDEX(Raw!$B$4:$AO$39, MATCH(K$1, Raw!$A$4:$A$39, 0), MATCH($C28, Raw!$B$1:$AO$1, 0))</f>
        <v>0</v>
      </c>
      <c r="L28">
        <f>INDEX(Raw!$B$4:$AO$39, MATCH(L$1, Raw!$A$4:$A$39, 0), MATCH($C28, Raw!$B$1:$AO$1, 0))</f>
        <v>-557000000</v>
      </c>
      <c r="M28">
        <f>INDEX(Raw!$B$4:$AO$39, MATCH(M$1, Raw!$A$4:$A$39, 0), MATCH($C28, Raw!$B$1:$AO$1, 0))</f>
        <v>3883000000</v>
      </c>
      <c r="N28">
        <f>INDEX(Raw!$B$4:$AO$39, MATCH(N$1, Raw!$A$4:$A$39, 0), MATCH($C28, Raw!$B$1:$AO$1, 0))</f>
        <v>-1024000000</v>
      </c>
      <c r="O28">
        <f>INDEX(Raw!$B$4:$AO$39, MATCH(O$1, Raw!$A$4:$A$39, 0), MATCH($C28, Raw!$B$1:$AO$1, 0))</f>
        <v>0</v>
      </c>
      <c r="P28">
        <f>INDEX(Raw!$B$4:$AO$39, MATCH(P$1, Raw!$A$4:$A$39, 0), MATCH($C28, Raw!$B$1:$AO$1, 0))</f>
        <v>-1876000000</v>
      </c>
      <c r="Q28">
        <f>INDEX(Raw!$B$4:$AO$39, MATCH(Q$1, Raw!$A$4:$A$39, 0), MATCH($C28, Raw!$B$1:$AO$1, 0))</f>
        <v>0</v>
      </c>
      <c r="R28">
        <f>INDEX(Raw!$B$4:$AO$39, MATCH(R$1, Raw!$A$4:$A$39, 0), MATCH($C28, Raw!$B$1:$AO$1, 0))</f>
        <v>0</v>
      </c>
      <c r="S28">
        <f>INDEX(Raw!$B$4:$AO$39, MATCH(S$1, Raw!$A$4:$A$39, 0), MATCH($C28, Raw!$B$1:$AO$1, 0))</f>
        <v>-342000000</v>
      </c>
      <c r="T28">
        <f>INDEX(Raw!$B$4:$AO$39, MATCH(T$1, Raw!$A$4:$A$39, 0), MATCH($C28, Raw!$B$1:$AO$1, 0))</f>
        <v>-179000000</v>
      </c>
      <c r="U28">
        <f>INDEX(Raw!$B$4:$AO$39, MATCH(U$1, Raw!$A$4:$A$39, 0), MATCH($C28, Raw!$B$1:$AO$1, 0))</f>
        <v>-3421000000</v>
      </c>
      <c r="V28">
        <f>INDEX(Raw!$B$4:$AO$39, MATCH(V$1, Raw!$A$4:$A$39, 0), MATCH($C28, Raw!$B$1:$AO$1, 0))</f>
        <v>0</v>
      </c>
      <c r="W28">
        <f>INDEX(Raw!$B$4:$AO$39, MATCH(W$1, Raw!$A$4:$A$39, 0), MATCH($C28, Raw!$B$1:$AO$1, 0))</f>
        <v>0</v>
      </c>
      <c r="X28">
        <f>INDEX(Raw!$B$4:$AO$39, MATCH(X$1, Raw!$A$4:$A$39, 0), MATCH($C28, Raw!$B$1:$AO$1, 0))</f>
        <v>956000000</v>
      </c>
      <c r="Y28">
        <f>INDEX(Raw!$B$4:$AO$39, MATCH(Y$1, Raw!$A$4:$A$39, 0), MATCH($C28, Raw!$B$1:$AO$1, 0))</f>
        <v>0</v>
      </c>
      <c r="Z28">
        <f>INDEX(Raw!$B$4:$AO$39, MATCH(Z$1, Raw!$A$4:$A$39, 0), MATCH($C28, Raw!$B$1:$AO$1, 0))</f>
        <v>153000000</v>
      </c>
      <c r="AA28">
        <f>INDEX(Raw!$B$4:$AO$39, MATCH(AA$1, Raw!$A$4:$A$39, 0), MATCH($C28, Raw!$B$1:$AO$1, 0))</f>
        <v>-1580000000</v>
      </c>
      <c r="AB28">
        <f>INDEX(Raw!$B$4:$AO$39, MATCH(AB$1, Raw!$A$4:$A$39, 0), MATCH($C28, Raw!$B$1:$AO$1, 0))</f>
        <v>0</v>
      </c>
      <c r="AC28">
        <f>INDEX(Raw!$B$4:$AO$39, MATCH(AC$1, Raw!$A$4:$A$39, 0), MATCH($C28, Raw!$B$1:$AO$1, 0))</f>
        <v>-471000000</v>
      </c>
      <c r="AD28">
        <f>INDEX(Raw!$B$4:$AO$39, MATCH(AD$1, Raw!$A$4:$A$39, 0), MATCH($C28, Raw!$B$1:$AO$1, 0))</f>
        <v>-37000000</v>
      </c>
      <c r="AE28">
        <f>INDEX(Raw!$B$4:$AO$39, MATCH(AE$1, Raw!$A$4:$A$39, 0), MATCH($C28, Raw!$B$1:$AO$1, 0))</f>
        <v>0</v>
      </c>
      <c r="AF28">
        <f>INDEX(Raw!$B$4:$AO$39, MATCH(AF$1, Raw!$A$4:$A$39, 0), MATCH($C28, Raw!$B$1:$AO$1, 0))</f>
        <v>0</v>
      </c>
    </row>
    <row r="29" spans="1:32" x14ac:dyDescent="0.25">
      <c r="A29" s="2" t="s">
        <v>61</v>
      </c>
      <c r="B29" s="8">
        <f t="shared" ca="1" si="0"/>
        <v>46089</v>
      </c>
      <c r="C29" s="2">
        <v>1998</v>
      </c>
      <c r="D29">
        <f>INDEX(Raw!$B$4:$AO$39, MATCH(D$1, Raw!$A$4:$A$39, 0), MATCH($C29, Raw!$B$1:$AO$1, 0))</f>
        <v>3533000000</v>
      </c>
      <c r="E29">
        <f>INDEX(Raw!$B$4:$AO$39, MATCH(E$1, Raw!$A$4:$A$39, 0), MATCH($C29, Raw!$B$1:$AO$1, 0))</f>
        <v>645000000</v>
      </c>
      <c r="F29">
        <f>INDEX(Raw!$B$4:$AO$39, MATCH(F$1, Raw!$A$4:$A$39, 0), MATCH($C29, Raw!$B$1:$AO$1, 0))</f>
        <v>0</v>
      </c>
      <c r="G29">
        <f>INDEX(Raw!$B$4:$AO$39, MATCH(G$1, Raw!$A$4:$A$39, 0), MATCH($C29, Raw!$B$1:$AO$1, 0))</f>
        <v>645000000</v>
      </c>
      <c r="H29">
        <f>INDEX(Raw!$B$4:$AO$39, MATCH(H$1, Raw!$A$4:$A$39, 0), MATCH($C29, Raw!$B$1:$AO$1, 0))</f>
        <v>0</v>
      </c>
      <c r="I29">
        <f>INDEX(Raw!$B$4:$AO$39, MATCH(I$1, Raw!$A$4:$A$39, 0), MATCH($C29, Raw!$B$1:$AO$1, 0))</f>
        <v>0</v>
      </c>
      <c r="J29">
        <f>INDEX(Raw!$B$4:$AO$39, MATCH(J$1, Raw!$A$4:$A$39, 0), MATCH($C29, Raw!$B$1:$AO$1, 0))</f>
        <v>0</v>
      </c>
      <c r="K29">
        <f>INDEX(Raw!$B$4:$AO$39, MATCH(K$1, Raw!$A$4:$A$39, 0), MATCH($C29, Raw!$B$1:$AO$1, 0))</f>
        <v>0</v>
      </c>
      <c r="L29">
        <f>INDEX(Raw!$B$4:$AO$39, MATCH(L$1, Raw!$A$4:$A$39, 0), MATCH($C29, Raw!$B$1:$AO$1, 0))</f>
        <v>-550000000</v>
      </c>
      <c r="M29">
        <f>INDEX(Raw!$B$4:$AO$39, MATCH(M$1, Raw!$A$4:$A$39, 0), MATCH($C29, Raw!$B$1:$AO$1, 0))</f>
        <v>3433000000</v>
      </c>
      <c r="N29">
        <f>INDEX(Raw!$B$4:$AO$39, MATCH(N$1, Raw!$A$4:$A$39, 0), MATCH($C29, Raw!$B$1:$AO$1, 0))</f>
        <v>-809000000</v>
      </c>
      <c r="O29">
        <f>INDEX(Raw!$B$4:$AO$39, MATCH(O$1, Raw!$A$4:$A$39, 0), MATCH($C29, Raw!$B$1:$AO$1, 0))</f>
        <v>0</v>
      </c>
      <c r="P29">
        <f>INDEX(Raw!$B$4:$AO$39, MATCH(P$1, Raw!$A$4:$A$39, 0), MATCH($C29, Raw!$B$1:$AO$1, 0))</f>
        <v>-1428000000</v>
      </c>
      <c r="Q29">
        <f>INDEX(Raw!$B$4:$AO$39, MATCH(Q$1, Raw!$A$4:$A$39, 0), MATCH($C29, Raw!$B$1:$AO$1, 0))</f>
        <v>0</v>
      </c>
      <c r="R29">
        <f>INDEX(Raw!$B$4:$AO$39, MATCH(R$1, Raw!$A$4:$A$39, 0), MATCH($C29, Raw!$B$1:$AO$1, 0))</f>
        <v>0</v>
      </c>
      <c r="S29">
        <f>INDEX(Raw!$B$4:$AO$39, MATCH(S$1, Raw!$A$4:$A$39, 0), MATCH($C29, Raw!$B$1:$AO$1, 0))</f>
        <v>426000000</v>
      </c>
      <c r="T29">
        <f>INDEX(Raw!$B$4:$AO$39, MATCH(T$1, Raw!$A$4:$A$39, 0), MATCH($C29, Raw!$B$1:$AO$1, 0))</f>
        <v>-350000000</v>
      </c>
      <c r="U29">
        <f>INDEX(Raw!$B$4:$AO$39, MATCH(U$1, Raw!$A$4:$A$39, 0), MATCH($C29, Raw!$B$1:$AO$1, 0))</f>
        <v>-2161000000</v>
      </c>
      <c r="V29">
        <f>INDEX(Raw!$B$4:$AO$39, MATCH(V$1, Raw!$A$4:$A$39, 0), MATCH($C29, Raw!$B$1:$AO$1, 0))</f>
        <v>0</v>
      </c>
      <c r="W29">
        <f>INDEX(Raw!$B$4:$AO$39, MATCH(W$1, Raw!$A$4:$A$39, 0), MATCH($C29, Raw!$B$1:$AO$1, 0))</f>
        <v>1408000000</v>
      </c>
      <c r="X29">
        <f>INDEX(Raw!$B$4:$AO$39, MATCH(X$1, Raw!$A$4:$A$39, 0), MATCH($C29, Raw!$B$1:$AO$1, 0))</f>
        <v>0</v>
      </c>
      <c r="Y29">
        <f>INDEX(Raw!$B$4:$AO$39, MATCH(Y$1, Raw!$A$4:$A$39, 0), MATCH($C29, Raw!$B$1:$AO$1, 0))</f>
        <v>0</v>
      </c>
      <c r="Z29">
        <f>INDEX(Raw!$B$4:$AO$39, MATCH(Z$1, Raw!$A$4:$A$39, 0), MATCH($C29, Raw!$B$1:$AO$1, 0))</f>
        <v>-1261000000</v>
      </c>
      <c r="AA29">
        <f>INDEX(Raw!$B$4:$AO$39, MATCH(AA$1, Raw!$A$4:$A$39, 0), MATCH($C29, Raw!$B$1:$AO$1, 0))</f>
        <v>-1480000000</v>
      </c>
      <c r="AB29">
        <f>INDEX(Raw!$B$4:$AO$39, MATCH(AB$1, Raw!$A$4:$A$39, 0), MATCH($C29, Raw!$B$1:$AO$1, 0))</f>
        <v>0</v>
      </c>
      <c r="AC29">
        <f>INDEX(Raw!$B$4:$AO$39, MATCH(AC$1, Raw!$A$4:$A$39, 0), MATCH($C29, Raw!$B$1:$AO$1, 0))</f>
        <v>-1333000000</v>
      </c>
      <c r="AD29">
        <f>INDEX(Raw!$B$4:$AO$39, MATCH(AD$1, Raw!$A$4:$A$39, 0), MATCH($C29, Raw!$B$1:$AO$1, 0))</f>
        <v>-89000000</v>
      </c>
      <c r="AE29">
        <f>INDEX(Raw!$B$4:$AO$39, MATCH(AE$1, Raw!$A$4:$A$39, 0), MATCH($C29, Raw!$B$1:$AO$1, 0))</f>
        <v>0</v>
      </c>
      <c r="AF29">
        <f>INDEX(Raw!$B$4:$AO$39, MATCH(AF$1, Raw!$A$4:$A$39, 0), MATCH($C29, Raw!$B$1:$AO$1, 0))</f>
        <v>0</v>
      </c>
    </row>
    <row r="30" spans="1:32" x14ac:dyDescent="0.25">
      <c r="A30" s="2" t="s">
        <v>61</v>
      </c>
      <c r="B30" s="8">
        <f t="shared" ca="1" si="0"/>
        <v>46089</v>
      </c>
      <c r="C30" s="2">
        <v>1997</v>
      </c>
      <c r="D30">
        <f>INDEX(Raw!$B$4:$AO$39, MATCH(D$1, Raw!$A$4:$A$39, 0), MATCH($C30, Raw!$B$1:$AO$1, 0))</f>
        <v>4129000000</v>
      </c>
      <c r="E30">
        <f>INDEX(Raw!$B$4:$AO$39, MATCH(E$1, Raw!$A$4:$A$39, 0), MATCH($C30, Raw!$B$1:$AO$1, 0))</f>
        <v>626000000</v>
      </c>
      <c r="F30">
        <f>INDEX(Raw!$B$4:$AO$39, MATCH(F$1, Raw!$A$4:$A$39, 0), MATCH($C30, Raw!$B$1:$AO$1, 0))</f>
        <v>0</v>
      </c>
      <c r="G30">
        <f>INDEX(Raw!$B$4:$AO$39, MATCH(G$1, Raw!$A$4:$A$39, 0), MATCH($C30, Raw!$B$1:$AO$1, 0))</f>
        <v>626000000</v>
      </c>
      <c r="H30">
        <f>INDEX(Raw!$B$4:$AO$39, MATCH(H$1, Raw!$A$4:$A$39, 0), MATCH($C30, Raw!$B$1:$AO$1, 0))</f>
        <v>0</v>
      </c>
      <c r="I30">
        <f>INDEX(Raw!$B$4:$AO$39, MATCH(I$1, Raw!$A$4:$A$39, 0), MATCH($C30, Raw!$B$1:$AO$1, 0))</f>
        <v>0</v>
      </c>
      <c r="J30">
        <f>INDEX(Raw!$B$4:$AO$39, MATCH(J$1, Raw!$A$4:$A$39, 0), MATCH($C30, Raw!$B$1:$AO$1, 0))</f>
        <v>0</v>
      </c>
      <c r="K30">
        <f>INDEX(Raw!$B$4:$AO$39, MATCH(K$1, Raw!$A$4:$A$39, 0), MATCH($C30, Raw!$B$1:$AO$1, 0))</f>
        <v>0</v>
      </c>
      <c r="L30">
        <f>INDEX(Raw!$B$4:$AO$39, MATCH(L$1, Raw!$A$4:$A$39, 0), MATCH($C30, Raw!$B$1:$AO$1, 0))</f>
        <v>-47000000</v>
      </c>
      <c r="M30">
        <f>INDEX(Raw!$B$4:$AO$39, MATCH(M$1, Raw!$A$4:$A$39, 0), MATCH($C30, Raw!$B$1:$AO$1, 0))</f>
        <v>4033000000</v>
      </c>
      <c r="N30">
        <f>INDEX(Raw!$B$4:$AO$39, MATCH(N$1, Raw!$A$4:$A$39, 0), MATCH($C30, Raw!$B$1:$AO$1, 0))</f>
        <v>-1022000000</v>
      </c>
      <c r="O30">
        <f>INDEX(Raw!$B$4:$AO$39, MATCH(O$1, Raw!$A$4:$A$39, 0), MATCH($C30, Raw!$B$1:$AO$1, 0))</f>
        <v>0</v>
      </c>
      <c r="P30">
        <f>INDEX(Raw!$B$4:$AO$39, MATCH(P$1, Raw!$A$4:$A$39, 0), MATCH($C30, Raw!$B$1:$AO$1, 0))</f>
        <v>-1100000000</v>
      </c>
      <c r="Q30">
        <f>INDEX(Raw!$B$4:$AO$39, MATCH(Q$1, Raw!$A$4:$A$39, 0), MATCH($C30, Raw!$B$1:$AO$1, 0))</f>
        <v>0</v>
      </c>
      <c r="R30">
        <f>INDEX(Raw!$B$4:$AO$39, MATCH(R$1, Raw!$A$4:$A$39, 0), MATCH($C30, Raw!$B$1:$AO$1, 0))</f>
        <v>0</v>
      </c>
      <c r="S30">
        <f>INDEX(Raw!$B$4:$AO$39, MATCH(S$1, Raw!$A$4:$A$39, 0), MATCH($C30, Raw!$B$1:$AO$1, 0))</f>
        <v>1540000000</v>
      </c>
      <c r="T30">
        <f>INDEX(Raw!$B$4:$AO$39, MATCH(T$1, Raw!$A$4:$A$39, 0), MATCH($C30, Raw!$B$1:$AO$1, 0))</f>
        <v>82000000</v>
      </c>
      <c r="U30">
        <f>INDEX(Raw!$B$4:$AO$39, MATCH(U$1, Raw!$A$4:$A$39, 0), MATCH($C30, Raw!$B$1:$AO$1, 0))</f>
        <v>-500000000</v>
      </c>
      <c r="V30">
        <f>INDEX(Raw!$B$4:$AO$39, MATCH(V$1, Raw!$A$4:$A$39, 0), MATCH($C30, Raw!$B$1:$AO$1, 0))</f>
        <v>0</v>
      </c>
      <c r="W30">
        <f>INDEX(Raw!$B$4:$AO$39, MATCH(W$1, Raw!$A$4:$A$39, 0), MATCH($C30, Raw!$B$1:$AO$1, 0))</f>
        <v>0</v>
      </c>
      <c r="X30">
        <f>INDEX(Raw!$B$4:$AO$39, MATCH(X$1, Raw!$A$4:$A$39, 0), MATCH($C30, Raw!$B$1:$AO$1, 0))</f>
        <v>-596000000</v>
      </c>
      <c r="Y30">
        <f>INDEX(Raw!$B$4:$AO$39, MATCH(Y$1, Raw!$A$4:$A$39, 0), MATCH($C30, Raw!$B$1:$AO$1, 0))</f>
        <v>0</v>
      </c>
      <c r="Z30">
        <f>INDEX(Raw!$B$4:$AO$39, MATCH(Z$1, Raw!$A$4:$A$39, 0), MATCH($C30, Raw!$B$1:$AO$1, 0))</f>
        <v>-1112000000</v>
      </c>
      <c r="AA30">
        <f>INDEX(Raw!$B$4:$AO$39, MATCH(AA$1, Raw!$A$4:$A$39, 0), MATCH($C30, Raw!$B$1:$AO$1, 0))</f>
        <v>-1387000000</v>
      </c>
      <c r="AB30">
        <f>INDEX(Raw!$B$4:$AO$39, MATCH(AB$1, Raw!$A$4:$A$39, 0), MATCH($C30, Raw!$B$1:$AO$1, 0))</f>
        <v>0</v>
      </c>
      <c r="AC30">
        <f>INDEX(Raw!$B$4:$AO$39, MATCH(AC$1, Raw!$A$4:$A$39, 0), MATCH($C30, Raw!$B$1:$AO$1, 0))</f>
        <v>-3095000000</v>
      </c>
      <c r="AD30">
        <f>INDEX(Raw!$B$4:$AO$39, MATCH(AD$1, Raw!$A$4:$A$39, 0), MATCH($C30, Raw!$B$1:$AO$1, 0))</f>
        <v>304000000</v>
      </c>
      <c r="AE30">
        <f>INDEX(Raw!$B$4:$AO$39, MATCH(AE$1, Raw!$A$4:$A$39, 0), MATCH($C30, Raw!$B$1:$AO$1, 0))</f>
        <v>0</v>
      </c>
      <c r="AF30">
        <f>INDEX(Raw!$B$4:$AO$39, MATCH(AF$1, Raw!$A$4:$A$39, 0), MATCH($C30, Raw!$B$1:$AO$1, 0))</f>
        <v>0</v>
      </c>
    </row>
    <row r="31" spans="1:32" x14ac:dyDescent="0.25">
      <c r="A31" s="2" t="s">
        <v>61</v>
      </c>
      <c r="B31" s="8">
        <f t="shared" ca="1" si="0"/>
        <v>46089</v>
      </c>
      <c r="C31" s="2">
        <v>1996</v>
      </c>
      <c r="D31">
        <f>INDEX(Raw!$B$4:$AO$39, MATCH(D$1, Raw!$A$4:$A$39, 0), MATCH($C31, Raw!$B$1:$AO$1, 0))</f>
        <v>3492000000</v>
      </c>
      <c r="E31">
        <f>INDEX(Raw!$B$4:$AO$39, MATCH(E$1, Raw!$A$4:$A$39, 0), MATCH($C31, Raw!$B$1:$AO$1, 0))</f>
        <v>479000000</v>
      </c>
      <c r="F31">
        <f>INDEX(Raw!$B$4:$AO$39, MATCH(F$1, Raw!$A$4:$A$39, 0), MATCH($C31, Raw!$B$1:$AO$1, 0))</f>
        <v>0</v>
      </c>
      <c r="G31">
        <f>INDEX(Raw!$B$4:$AO$39, MATCH(G$1, Raw!$A$4:$A$39, 0), MATCH($C31, Raw!$B$1:$AO$1, 0))</f>
        <v>479000000</v>
      </c>
      <c r="H31">
        <f>INDEX(Raw!$B$4:$AO$39, MATCH(H$1, Raw!$A$4:$A$39, 0), MATCH($C31, Raw!$B$1:$AO$1, 0))</f>
        <v>0</v>
      </c>
      <c r="I31">
        <f>INDEX(Raw!$B$4:$AO$39, MATCH(I$1, Raw!$A$4:$A$39, 0), MATCH($C31, Raw!$B$1:$AO$1, 0))</f>
        <v>0</v>
      </c>
      <c r="J31">
        <f>INDEX(Raw!$B$4:$AO$39, MATCH(J$1, Raw!$A$4:$A$39, 0), MATCH($C31, Raw!$B$1:$AO$1, 0))</f>
        <v>0</v>
      </c>
      <c r="K31">
        <f>INDEX(Raw!$B$4:$AO$39, MATCH(K$1, Raw!$A$4:$A$39, 0), MATCH($C31, Raw!$B$1:$AO$1, 0))</f>
        <v>0</v>
      </c>
      <c r="L31">
        <f>INDEX(Raw!$B$4:$AO$39, MATCH(L$1, Raw!$A$4:$A$39, 0), MATCH($C31, Raw!$B$1:$AO$1, 0))</f>
        <v>36000000</v>
      </c>
      <c r="M31">
        <f>INDEX(Raw!$B$4:$AO$39, MATCH(M$1, Raw!$A$4:$A$39, 0), MATCH($C31, Raw!$B$1:$AO$1, 0))</f>
        <v>3463000000</v>
      </c>
      <c r="N31">
        <f>INDEX(Raw!$B$4:$AO$39, MATCH(N$1, Raw!$A$4:$A$39, 0), MATCH($C31, Raw!$B$1:$AO$1, 0))</f>
        <v>-909000000</v>
      </c>
      <c r="O31">
        <f>INDEX(Raw!$B$4:$AO$39, MATCH(O$1, Raw!$A$4:$A$39, 0), MATCH($C31, Raw!$B$1:$AO$1, 0))</f>
        <v>0</v>
      </c>
      <c r="P31">
        <f>INDEX(Raw!$B$4:$AO$39, MATCH(P$1, Raw!$A$4:$A$39, 0), MATCH($C31, Raw!$B$1:$AO$1, 0))</f>
        <v>-645000000</v>
      </c>
      <c r="Q31">
        <f>INDEX(Raw!$B$4:$AO$39, MATCH(Q$1, Raw!$A$4:$A$39, 0), MATCH($C31, Raw!$B$1:$AO$1, 0))</f>
        <v>0</v>
      </c>
      <c r="R31">
        <f>INDEX(Raw!$B$4:$AO$39, MATCH(R$1, Raw!$A$4:$A$39, 0), MATCH($C31, Raw!$B$1:$AO$1, 0))</f>
        <v>0</v>
      </c>
      <c r="S31">
        <f>INDEX(Raw!$B$4:$AO$39, MATCH(S$1, Raw!$A$4:$A$39, 0), MATCH($C31, Raw!$B$1:$AO$1, 0))</f>
        <v>679000000</v>
      </c>
      <c r="T31">
        <f>INDEX(Raw!$B$4:$AO$39, MATCH(T$1, Raw!$A$4:$A$39, 0), MATCH($C31, Raw!$B$1:$AO$1, 0))</f>
        <v>-175000000</v>
      </c>
      <c r="U31">
        <f>INDEX(Raw!$B$4:$AO$39, MATCH(U$1, Raw!$A$4:$A$39, 0), MATCH($C31, Raw!$B$1:$AO$1, 0))</f>
        <v>-1050000000</v>
      </c>
      <c r="V31">
        <f>INDEX(Raw!$B$4:$AO$39, MATCH(V$1, Raw!$A$4:$A$39, 0), MATCH($C31, Raw!$B$1:$AO$1, 0))</f>
        <v>0</v>
      </c>
      <c r="W31">
        <f>INDEX(Raw!$B$4:$AO$39, MATCH(W$1, Raw!$A$4:$A$39, 0), MATCH($C31, Raw!$B$1:$AO$1, 0))</f>
        <v>-580000000</v>
      </c>
      <c r="X31">
        <f>INDEX(Raw!$B$4:$AO$39, MATCH(X$1, Raw!$A$4:$A$39, 0), MATCH($C31, Raw!$B$1:$AO$1, 0))</f>
        <v>1122000000</v>
      </c>
      <c r="Y31">
        <f>INDEX(Raw!$B$4:$AO$39, MATCH(Y$1, Raw!$A$4:$A$39, 0), MATCH($C31, Raw!$B$1:$AO$1, 0))</f>
        <v>0</v>
      </c>
      <c r="Z31">
        <f>INDEX(Raw!$B$4:$AO$39, MATCH(Z$1, Raw!$A$4:$A$39, 0), MATCH($C31, Raw!$B$1:$AO$1, 0))</f>
        <v>-1397000000</v>
      </c>
      <c r="AA31">
        <f>INDEX(Raw!$B$4:$AO$39, MATCH(AA$1, Raw!$A$4:$A$39, 0), MATCH($C31, Raw!$B$1:$AO$1, 0))</f>
        <v>-1247000000</v>
      </c>
      <c r="AB31">
        <f>INDEX(Raw!$B$4:$AO$39, MATCH(AB$1, Raw!$A$4:$A$39, 0), MATCH($C31, Raw!$B$1:$AO$1, 0))</f>
        <v>0</v>
      </c>
      <c r="AC31">
        <f>INDEX(Raw!$B$4:$AO$39, MATCH(AC$1, Raw!$A$4:$A$39, 0), MATCH($C31, Raw!$B$1:$AO$1, 0))</f>
        <v>-2102000000</v>
      </c>
      <c r="AD31">
        <f>INDEX(Raw!$B$4:$AO$39, MATCH(AD$1, Raw!$A$4:$A$39, 0), MATCH($C31, Raw!$B$1:$AO$1, 0))</f>
        <v>266000000</v>
      </c>
      <c r="AE31">
        <f>INDEX(Raw!$B$4:$AO$39, MATCH(AE$1, Raw!$A$4:$A$39, 0), MATCH($C31, Raw!$B$1:$AO$1, 0))</f>
        <v>0</v>
      </c>
      <c r="AF31">
        <f>INDEX(Raw!$B$4:$AO$39, MATCH(AF$1, Raw!$A$4:$A$39, 0), MATCH($C31, Raw!$B$1:$AO$1, 0))</f>
        <v>0</v>
      </c>
    </row>
    <row r="32" spans="1:32" x14ac:dyDescent="0.25">
      <c r="A32" s="2" t="s">
        <v>61</v>
      </c>
      <c r="B32" s="8">
        <f t="shared" ca="1" si="0"/>
        <v>46089</v>
      </c>
      <c r="C32" s="2">
        <v>1995</v>
      </c>
      <c r="D32">
        <f>INDEX(Raw!$B$4:$AO$39, MATCH(D$1, Raw!$A$4:$A$39, 0), MATCH($C32, Raw!$B$1:$AO$1, 0))</f>
        <v>2986000000</v>
      </c>
      <c r="E32">
        <f>INDEX(Raw!$B$4:$AO$39, MATCH(E$1, Raw!$A$4:$A$39, 0), MATCH($C32, Raw!$B$1:$AO$1, 0))</f>
        <v>454000000</v>
      </c>
      <c r="F32">
        <f>INDEX(Raw!$B$4:$AO$39, MATCH(F$1, Raw!$A$4:$A$39, 0), MATCH($C32, Raw!$B$1:$AO$1, 0))</f>
        <v>0</v>
      </c>
      <c r="G32">
        <f>INDEX(Raw!$B$4:$AO$39, MATCH(G$1, Raw!$A$4:$A$39, 0), MATCH($C32, Raw!$B$1:$AO$1, 0))</f>
        <v>454000000</v>
      </c>
      <c r="H32">
        <f>INDEX(Raw!$B$4:$AO$39, MATCH(H$1, Raw!$A$4:$A$39, 0), MATCH($C32, Raw!$B$1:$AO$1, 0))</f>
        <v>0</v>
      </c>
      <c r="I32">
        <f>INDEX(Raw!$B$4:$AO$39, MATCH(I$1, Raw!$A$4:$A$39, 0), MATCH($C32, Raw!$B$1:$AO$1, 0))</f>
        <v>0</v>
      </c>
      <c r="J32">
        <f>INDEX(Raw!$B$4:$AO$39, MATCH(J$1, Raw!$A$4:$A$39, 0), MATCH($C32, Raw!$B$1:$AO$1, 0))</f>
        <v>0</v>
      </c>
      <c r="K32">
        <f>INDEX(Raw!$B$4:$AO$39, MATCH(K$1, Raw!$A$4:$A$39, 0), MATCH($C32, Raw!$B$1:$AO$1, 0))</f>
        <v>0</v>
      </c>
      <c r="L32">
        <f>INDEX(Raw!$B$4:$AO$39, MATCH(L$1, Raw!$A$4:$A$39, 0), MATCH($C32, Raw!$B$1:$AO$1, 0))</f>
        <v>-405000000</v>
      </c>
      <c r="M32">
        <f>INDEX(Raw!$B$4:$AO$39, MATCH(M$1, Raw!$A$4:$A$39, 0), MATCH($C32, Raw!$B$1:$AO$1, 0))</f>
        <v>3115000000</v>
      </c>
      <c r="N32">
        <f>INDEX(Raw!$B$4:$AO$39, MATCH(N$1, Raw!$A$4:$A$39, 0), MATCH($C32, Raw!$B$1:$AO$1, 0))</f>
        <v>-893000000</v>
      </c>
      <c r="O32">
        <f>INDEX(Raw!$B$4:$AO$39, MATCH(O$1, Raw!$A$4:$A$39, 0), MATCH($C32, Raw!$B$1:$AO$1, 0))</f>
        <v>0</v>
      </c>
      <c r="P32">
        <f>INDEX(Raw!$B$4:$AO$39, MATCH(P$1, Raw!$A$4:$A$39, 0), MATCH($C32, Raw!$B$1:$AO$1, 0))</f>
        <v>0</v>
      </c>
      <c r="Q32">
        <f>INDEX(Raw!$B$4:$AO$39, MATCH(Q$1, Raw!$A$4:$A$39, 0), MATCH($C32, Raw!$B$1:$AO$1, 0))</f>
        <v>0</v>
      </c>
      <c r="R32">
        <f>INDEX(Raw!$B$4:$AO$39, MATCH(R$1, Raw!$A$4:$A$39, 0), MATCH($C32, Raw!$B$1:$AO$1, 0))</f>
        <v>0</v>
      </c>
      <c r="S32">
        <f>INDEX(Raw!$B$4:$AO$39, MATCH(S$1, Raw!$A$4:$A$39, 0), MATCH($C32, Raw!$B$1:$AO$1, 0))</f>
        <v>52000000</v>
      </c>
      <c r="T32">
        <f>INDEX(Raw!$B$4:$AO$39, MATCH(T$1, Raw!$A$4:$A$39, 0), MATCH($C32, Raw!$B$1:$AO$1, 0))</f>
        <v>-172000000</v>
      </c>
      <c r="U32">
        <f>INDEX(Raw!$B$4:$AO$39, MATCH(U$1, Raw!$A$4:$A$39, 0), MATCH($C32, Raw!$B$1:$AO$1, 0))</f>
        <v>-1013000000</v>
      </c>
      <c r="V32">
        <f>INDEX(Raw!$B$4:$AO$39, MATCH(V$1, Raw!$A$4:$A$39, 0), MATCH($C32, Raw!$B$1:$AO$1, 0))</f>
        <v>0</v>
      </c>
      <c r="W32">
        <f>INDEX(Raw!$B$4:$AO$39, MATCH(W$1, Raw!$A$4:$A$39, 0), MATCH($C32, Raw!$B$1:$AO$1, 0))</f>
        <v>-212000000</v>
      </c>
      <c r="X32">
        <f>INDEX(Raw!$B$4:$AO$39, MATCH(X$1, Raw!$A$4:$A$39, 0), MATCH($C32, Raw!$B$1:$AO$1, 0))</f>
        <v>754000000</v>
      </c>
      <c r="Y32">
        <f>INDEX(Raw!$B$4:$AO$39, MATCH(Y$1, Raw!$A$4:$A$39, 0), MATCH($C32, Raw!$B$1:$AO$1, 0))</f>
        <v>0</v>
      </c>
      <c r="Z32">
        <f>INDEX(Raw!$B$4:$AO$39, MATCH(Z$1, Raw!$A$4:$A$39, 0), MATCH($C32, Raw!$B$1:$AO$1, 0))</f>
        <v>-1710000000</v>
      </c>
      <c r="AA32">
        <f>INDEX(Raw!$B$4:$AO$39, MATCH(AA$1, Raw!$A$4:$A$39, 0), MATCH($C32, Raw!$B$1:$AO$1, 0))</f>
        <v>-1110000000</v>
      </c>
      <c r="AB32">
        <f>INDEX(Raw!$B$4:$AO$39, MATCH(AB$1, Raw!$A$4:$A$39, 0), MATCH($C32, Raw!$B$1:$AO$1, 0))</f>
        <v>0</v>
      </c>
      <c r="AC32">
        <f>INDEX(Raw!$B$4:$AO$39, MATCH(AC$1, Raw!$A$4:$A$39, 0), MATCH($C32, Raw!$B$1:$AO$1, 0))</f>
        <v>-2278000000</v>
      </c>
      <c r="AD32">
        <f>INDEX(Raw!$B$4:$AO$39, MATCH(AD$1, Raw!$A$4:$A$39, 0), MATCH($C32, Raw!$B$1:$AO$1, 0))</f>
        <v>-219000000</v>
      </c>
      <c r="AE32">
        <f>INDEX(Raw!$B$4:$AO$39, MATCH(AE$1, Raw!$A$4:$A$39, 0), MATCH($C32, Raw!$B$1:$AO$1, 0))</f>
        <v>0</v>
      </c>
      <c r="AF32">
        <f>INDEX(Raw!$B$4:$AO$39, MATCH(AF$1, Raw!$A$4:$A$39, 0), MATCH($C32, Raw!$B$1:$AO$1, 0))</f>
        <v>0</v>
      </c>
    </row>
    <row r="33" spans="1:32" x14ac:dyDescent="0.25">
      <c r="A33" s="2" t="s">
        <v>61</v>
      </c>
      <c r="B33" s="8">
        <f t="shared" ca="1" si="0"/>
        <v>46089</v>
      </c>
      <c r="C33" s="2">
        <v>1994</v>
      </c>
      <c r="D33">
        <f>INDEX(Raw!$B$4:$AO$39, MATCH(D$1, Raw!$A$4:$A$39, 0), MATCH($C33, Raw!$B$1:$AO$1, 0))</f>
        <v>2554000000</v>
      </c>
      <c r="E33">
        <f>INDEX(Raw!$B$4:$AO$39, MATCH(E$1, Raw!$A$4:$A$39, 0), MATCH($C33, Raw!$B$1:$AO$1, 0))</f>
        <v>411000000</v>
      </c>
      <c r="F33">
        <f>INDEX(Raw!$B$4:$AO$39, MATCH(F$1, Raw!$A$4:$A$39, 0), MATCH($C33, Raw!$B$1:$AO$1, 0))</f>
        <v>0</v>
      </c>
      <c r="G33">
        <f>INDEX(Raw!$B$4:$AO$39, MATCH(G$1, Raw!$A$4:$A$39, 0), MATCH($C33, Raw!$B$1:$AO$1, 0))</f>
        <v>411000000</v>
      </c>
      <c r="H33">
        <f>INDEX(Raw!$B$4:$AO$39, MATCH(H$1, Raw!$A$4:$A$39, 0), MATCH($C33, Raw!$B$1:$AO$1, 0))</f>
        <v>0</v>
      </c>
      <c r="I33">
        <f>INDEX(Raw!$B$4:$AO$39, MATCH(I$1, Raw!$A$4:$A$39, 0), MATCH($C33, Raw!$B$1:$AO$1, 0))</f>
        <v>0</v>
      </c>
      <c r="J33">
        <f>INDEX(Raw!$B$4:$AO$39, MATCH(J$1, Raw!$A$4:$A$39, 0), MATCH($C33, Raw!$B$1:$AO$1, 0))</f>
        <v>0</v>
      </c>
      <c r="K33">
        <f>INDEX(Raw!$B$4:$AO$39, MATCH(K$1, Raw!$A$4:$A$39, 0), MATCH($C33, Raw!$B$1:$AO$1, 0))</f>
        <v>0</v>
      </c>
      <c r="L33">
        <f>INDEX(Raw!$B$4:$AO$39, MATCH(L$1, Raw!$A$4:$A$39, 0), MATCH($C33, Raw!$B$1:$AO$1, 0))</f>
        <v>129000000</v>
      </c>
      <c r="M33">
        <f>INDEX(Raw!$B$4:$AO$39, MATCH(M$1, Raw!$A$4:$A$39, 0), MATCH($C33, Raw!$B$1:$AO$1, 0))</f>
        <v>3183000000</v>
      </c>
      <c r="N33">
        <f>INDEX(Raw!$B$4:$AO$39, MATCH(N$1, Raw!$A$4:$A$39, 0), MATCH($C33, Raw!$B$1:$AO$1, 0))</f>
        <v>-769000000</v>
      </c>
      <c r="O33">
        <f>INDEX(Raw!$B$4:$AO$39, MATCH(O$1, Raw!$A$4:$A$39, 0), MATCH($C33, Raw!$B$1:$AO$1, 0))</f>
        <v>0</v>
      </c>
      <c r="P33">
        <f>INDEX(Raw!$B$4:$AO$39, MATCH(P$1, Raw!$A$4:$A$39, 0), MATCH($C33, Raw!$B$1:$AO$1, 0))</f>
        <v>0</v>
      </c>
      <c r="Q33">
        <f>INDEX(Raw!$B$4:$AO$39, MATCH(Q$1, Raw!$A$4:$A$39, 0), MATCH($C33, Raw!$B$1:$AO$1, 0))</f>
        <v>0</v>
      </c>
      <c r="R33">
        <f>INDEX(Raw!$B$4:$AO$39, MATCH(R$1, Raw!$A$4:$A$39, 0), MATCH($C33, Raw!$B$1:$AO$1, 0))</f>
        <v>0</v>
      </c>
      <c r="S33">
        <f>INDEX(Raw!$B$4:$AO$39, MATCH(S$1, Raw!$A$4:$A$39, 0), MATCH($C33, Raw!$B$1:$AO$1, 0))</f>
        <v>-257000000</v>
      </c>
      <c r="T33">
        <f>INDEX(Raw!$B$4:$AO$39, MATCH(T$1, Raw!$A$4:$A$39, 0), MATCH($C33, Raw!$B$1:$AO$1, 0))</f>
        <v>-11000000</v>
      </c>
      <c r="U33">
        <f>INDEX(Raw!$B$4:$AO$39, MATCH(U$1, Raw!$A$4:$A$39, 0), MATCH($C33, Raw!$B$1:$AO$1, 0))</f>
        <v>-1037000000</v>
      </c>
      <c r="V33">
        <f>INDEX(Raw!$B$4:$AO$39, MATCH(V$1, Raw!$A$4:$A$39, 0), MATCH($C33, Raw!$B$1:$AO$1, 0))</f>
        <v>0</v>
      </c>
      <c r="W33">
        <f>INDEX(Raw!$B$4:$AO$39, MATCH(W$1, Raw!$A$4:$A$39, 0), MATCH($C33, Raw!$B$1:$AO$1, 0))</f>
        <v>-154000000</v>
      </c>
      <c r="X33">
        <f>INDEX(Raw!$B$4:$AO$39, MATCH(X$1, Raw!$A$4:$A$39, 0), MATCH($C33, Raw!$B$1:$AO$1, 0))</f>
        <v>491000000</v>
      </c>
      <c r="Y33">
        <f>INDEX(Raw!$B$4:$AO$39, MATCH(Y$1, Raw!$A$4:$A$39, 0), MATCH($C33, Raw!$B$1:$AO$1, 0))</f>
        <v>0</v>
      </c>
      <c r="Z33">
        <f>INDEX(Raw!$B$4:$AO$39, MATCH(Z$1, Raw!$A$4:$A$39, 0), MATCH($C33, Raw!$B$1:$AO$1, 0))</f>
        <v>-1123000000</v>
      </c>
      <c r="AA33">
        <f>INDEX(Raw!$B$4:$AO$39, MATCH(AA$1, Raw!$A$4:$A$39, 0), MATCH($C33, Raw!$B$1:$AO$1, 0))</f>
        <v>-1006000000</v>
      </c>
      <c r="AB33">
        <f>INDEX(Raw!$B$4:$AO$39, MATCH(AB$1, Raw!$A$4:$A$39, 0), MATCH($C33, Raw!$B$1:$AO$1, 0))</f>
        <v>0</v>
      </c>
      <c r="AC33">
        <f>INDEX(Raw!$B$4:$AO$39, MATCH(AC$1, Raw!$A$4:$A$39, 0), MATCH($C33, Raw!$B$1:$AO$1, 0))</f>
        <v>-1792000000</v>
      </c>
      <c r="AD33">
        <f>INDEX(Raw!$B$4:$AO$39, MATCH(AD$1, Raw!$A$4:$A$39, 0), MATCH($C33, Raw!$B$1:$AO$1, 0))</f>
        <v>388000000</v>
      </c>
      <c r="AE33">
        <f>INDEX(Raw!$B$4:$AO$39, MATCH(AE$1, Raw!$A$4:$A$39, 0), MATCH($C33, Raw!$B$1:$AO$1, 0))</f>
        <v>0</v>
      </c>
      <c r="AF33">
        <f>INDEX(Raw!$B$4:$AO$39, MATCH(AF$1, Raw!$A$4:$A$39, 0), MATCH($C33, Raw!$B$1:$AO$1, 0))</f>
        <v>0</v>
      </c>
    </row>
    <row r="34" spans="1:32" x14ac:dyDescent="0.25">
      <c r="A34" s="2" t="s">
        <v>61</v>
      </c>
      <c r="B34" s="8">
        <f t="shared" ca="1" si="0"/>
        <v>46089</v>
      </c>
      <c r="C34" s="2">
        <v>1993</v>
      </c>
      <c r="D34">
        <f>INDEX(Raw!$B$4:$AO$39, MATCH(D$1, Raw!$A$4:$A$39, 0), MATCH($C34, Raw!$B$1:$AO$1, 0))</f>
        <v>2176000000</v>
      </c>
      <c r="E34">
        <f>INDEX(Raw!$B$4:$AO$39, MATCH(E$1, Raw!$A$4:$A$39, 0), MATCH($C34, Raw!$B$1:$AO$1, 0))</f>
        <v>360000000</v>
      </c>
      <c r="F34">
        <f>INDEX(Raw!$B$4:$AO$39, MATCH(F$1, Raw!$A$4:$A$39, 0), MATCH($C34, Raw!$B$1:$AO$1, 0))</f>
        <v>12000000</v>
      </c>
      <c r="G34">
        <f>INDEX(Raw!$B$4:$AO$39, MATCH(G$1, Raw!$A$4:$A$39, 0), MATCH($C34, Raw!$B$1:$AO$1, 0))</f>
        <v>372000000</v>
      </c>
      <c r="H34">
        <f>INDEX(Raw!$B$4:$AO$39, MATCH(H$1, Raw!$A$4:$A$39, 0), MATCH($C34, Raw!$B$1:$AO$1, 0))</f>
        <v>0</v>
      </c>
      <c r="I34">
        <f>INDEX(Raw!$B$4:$AO$39, MATCH(I$1, Raw!$A$4:$A$39, 0), MATCH($C34, Raw!$B$1:$AO$1, 0))</f>
        <v>0</v>
      </c>
      <c r="J34">
        <f>INDEX(Raw!$B$4:$AO$39, MATCH(J$1, Raw!$A$4:$A$39, 0), MATCH($C34, Raw!$B$1:$AO$1, 0))</f>
        <v>0</v>
      </c>
      <c r="K34">
        <f>INDEX(Raw!$B$4:$AO$39, MATCH(K$1, Raw!$A$4:$A$39, 0), MATCH($C34, Raw!$B$1:$AO$1, 0))</f>
        <v>0</v>
      </c>
      <c r="L34">
        <f>INDEX(Raw!$B$4:$AO$39, MATCH(L$1, Raw!$A$4:$A$39, 0), MATCH($C34, Raw!$B$1:$AO$1, 0))</f>
        <v>54000000</v>
      </c>
      <c r="M34">
        <f>INDEX(Raw!$B$4:$AO$39, MATCH(M$1, Raw!$A$4:$A$39, 0), MATCH($C34, Raw!$B$1:$AO$1, 0))</f>
        <v>2508000000</v>
      </c>
      <c r="N34">
        <f>INDEX(Raw!$B$4:$AO$39, MATCH(N$1, Raw!$A$4:$A$39, 0), MATCH($C34, Raw!$B$1:$AO$1, 0))</f>
        <v>-488000000</v>
      </c>
      <c r="O34">
        <f>INDEX(Raw!$B$4:$AO$39, MATCH(O$1, Raw!$A$4:$A$39, 0), MATCH($C34, Raw!$B$1:$AO$1, 0))</f>
        <v>0</v>
      </c>
      <c r="P34">
        <f>INDEX(Raw!$B$4:$AO$39, MATCH(P$1, Raw!$A$4:$A$39, 0), MATCH($C34, Raw!$B$1:$AO$1, 0))</f>
        <v>-816000000</v>
      </c>
      <c r="Q34">
        <f>INDEX(Raw!$B$4:$AO$39, MATCH(Q$1, Raw!$A$4:$A$39, 0), MATCH($C34, Raw!$B$1:$AO$1, 0))</f>
        <v>0</v>
      </c>
      <c r="R34">
        <f>INDEX(Raw!$B$4:$AO$39, MATCH(R$1, Raw!$A$4:$A$39, 0), MATCH($C34, Raw!$B$1:$AO$1, 0))</f>
        <v>0</v>
      </c>
      <c r="S34">
        <f>INDEX(Raw!$B$4:$AO$39, MATCH(S$1, Raw!$A$4:$A$39, 0), MATCH($C34, Raw!$B$1:$AO$1, 0))</f>
        <v>650000000</v>
      </c>
      <c r="T34">
        <f>INDEX(Raw!$B$4:$AO$39, MATCH(T$1, Raw!$A$4:$A$39, 0), MATCH($C34, Raw!$B$1:$AO$1, 0))</f>
        <v>-231000000</v>
      </c>
      <c r="U34">
        <f>INDEX(Raw!$B$4:$AO$39, MATCH(U$1, Raw!$A$4:$A$39, 0), MATCH($C34, Raw!$B$1:$AO$1, 0))</f>
        <v>-885000000</v>
      </c>
      <c r="V34">
        <f>INDEX(Raw!$B$4:$AO$39, MATCH(V$1, Raw!$A$4:$A$39, 0), MATCH($C34, Raw!$B$1:$AO$1, 0))</f>
        <v>0</v>
      </c>
      <c r="W34">
        <f>INDEX(Raw!$B$4:$AO$39, MATCH(W$1, Raw!$A$4:$A$39, 0), MATCH($C34, Raw!$B$1:$AO$1, 0))</f>
        <v>0</v>
      </c>
      <c r="X34">
        <f>INDEX(Raw!$B$4:$AO$39, MATCH(X$1, Raw!$A$4:$A$39, 0), MATCH($C34, Raw!$B$1:$AO$1, 0))</f>
        <v>-122000000</v>
      </c>
      <c r="Y34">
        <f>INDEX(Raw!$B$4:$AO$39, MATCH(Y$1, Raw!$A$4:$A$39, 0), MATCH($C34, Raw!$B$1:$AO$1, 0))</f>
        <v>0</v>
      </c>
      <c r="Z34">
        <f>INDEX(Raw!$B$4:$AO$39, MATCH(Z$1, Raw!$A$4:$A$39, 0), MATCH($C34, Raw!$B$1:$AO$1, 0))</f>
        <v>-535000000</v>
      </c>
      <c r="AA34">
        <f>INDEX(Raw!$B$4:$AO$39, MATCH(AA$1, Raw!$A$4:$A$39, 0), MATCH($C34, Raw!$B$1:$AO$1, 0))</f>
        <v>-883000000</v>
      </c>
      <c r="AB34">
        <f>INDEX(Raw!$B$4:$AO$39, MATCH(AB$1, Raw!$A$4:$A$39, 0), MATCH($C34, Raw!$B$1:$AO$1, 0))</f>
        <v>0</v>
      </c>
      <c r="AC34">
        <f>INDEX(Raw!$B$4:$AO$39, MATCH(AC$1, Raw!$A$4:$A$39, 0), MATCH($C34, Raw!$B$1:$AO$1, 0))</f>
        <v>-1540000000</v>
      </c>
      <c r="AD34">
        <f>INDEX(Raw!$B$4:$AO$39, MATCH(AD$1, Raw!$A$4:$A$39, 0), MATCH($C34, Raw!$B$1:$AO$1, 0))</f>
        <v>42000000</v>
      </c>
      <c r="AE34">
        <f>INDEX(Raw!$B$4:$AO$39, MATCH(AE$1, Raw!$A$4:$A$39, 0), MATCH($C34, Raw!$B$1:$AO$1, 0))</f>
        <v>0</v>
      </c>
      <c r="AF34">
        <f>INDEX(Raw!$B$4:$AO$39, MATCH(AF$1, Raw!$A$4:$A$39, 0), MATCH($C34, Raw!$B$1:$AO$1, 0))</f>
        <v>0</v>
      </c>
    </row>
    <row r="35" spans="1:32" x14ac:dyDescent="0.25">
      <c r="A35" s="2" t="s">
        <v>61</v>
      </c>
      <c r="B35" s="8">
        <f t="shared" ca="1" si="0"/>
        <v>46089</v>
      </c>
      <c r="C35" s="2">
        <v>1992</v>
      </c>
      <c r="D35">
        <f>INDEX(Raw!$B$4:$AO$39, MATCH(D$1, Raw!$A$4:$A$39, 0), MATCH($C35, Raw!$B$1:$AO$1, 0))</f>
        <v>1664382000</v>
      </c>
      <c r="E35">
        <f>INDEX(Raw!$B$4:$AO$39, MATCH(E$1, Raw!$A$4:$A$39, 0), MATCH($C35, Raw!$B$1:$AO$1, 0))</f>
        <v>321922000</v>
      </c>
      <c r="F35">
        <f>INDEX(Raw!$B$4:$AO$39, MATCH(F$1, Raw!$A$4:$A$39, 0), MATCH($C35, Raw!$B$1:$AO$1, 0))</f>
        <v>219433000</v>
      </c>
      <c r="G35">
        <f>INDEX(Raw!$B$4:$AO$39, MATCH(G$1, Raw!$A$4:$A$39, 0), MATCH($C35, Raw!$B$1:$AO$1, 0))</f>
        <v>541355000</v>
      </c>
      <c r="H35">
        <f>INDEX(Raw!$B$4:$AO$39, MATCH(H$1, Raw!$A$4:$A$39, 0), MATCH($C35, Raw!$B$1:$AO$1, 0))</f>
        <v>0</v>
      </c>
      <c r="I35">
        <f>INDEX(Raw!$B$4:$AO$39, MATCH(I$1, Raw!$A$4:$A$39, 0), MATCH($C35, Raw!$B$1:$AO$1, 0))</f>
        <v>0</v>
      </c>
      <c r="J35">
        <f>INDEX(Raw!$B$4:$AO$39, MATCH(J$1, Raw!$A$4:$A$39, 0), MATCH($C35, Raw!$B$1:$AO$1, 0))</f>
        <v>0</v>
      </c>
      <c r="K35">
        <f>INDEX(Raw!$B$4:$AO$39, MATCH(K$1, Raw!$A$4:$A$39, 0), MATCH($C35, Raw!$B$1:$AO$1, 0))</f>
        <v>0</v>
      </c>
      <c r="L35">
        <f>INDEX(Raw!$B$4:$AO$39, MATCH(L$1, Raw!$A$4:$A$39, 0), MATCH($C35, Raw!$B$1:$AO$1, 0))</f>
        <v>-43130000</v>
      </c>
      <c r="M35">
        <f>INDEX(Raw!$B$4:$AO$39, MATCH(M$1, Raw!$A$4:$A$39, 0), MATCH($C35, Raw!$B$1:$AO$1, 0))</f>
        <v>2232370000</v>
      </c>
      <c r="N35">
        <f>INDEX(Raw!$B$4:$AO$39, MATCH(N$1, Raw!$A$4:$A$39, 0), MATCH($C35, Raw!$B$1:$AO$1, 0))</f>
        <v>-1036192000</v>
      </c>
      <c r="O35">
        <f>INDEX(Raw!$B$4:$AO$39, MATCH(O$1, Raw!$A$4:$A$39, 0), MATCH($C35, Raw!$B$1:$AO$1, 0))</f>
        <v>0</v>
      </c>
      <c r="P35">
        <f>INDEX(Raw!$B$4:$AO$39, MATCH(P$1, Raw!$A$4:$A$39, 0), MATCH($C35, Raw!$B$1:$AO$1, 0))</f>
        <v>-717487000</v>
      </c>
      <c r="Q35">
        <f>INDEX(Raw!$B$4:$AO$39, MATCH(Q$1, Raw!$A$4:$A$39, 0), MATCH($C35, Raw!$B$1:$AO$1, 0))</f>
        <v>0</v>
      </c>
      <c r="R35">
        <f>INDEX(Raw!$B$4:$AO$39, MATCH(R$1, Raw!$A$4:$A$39, 0), MATCH($C35, Raw!$B$1:$AO$1, 0))</f>
        <v>0</v>
      </c>
      <c r="S35">
        <f>INDEX(Raw!$B$4:$AO$39, MATCH(S$1, Raw!$A$4:$A$39, 0), MATCH($C35, Raw!$B$1:$AO$1, 0))</f>
        <v>395157000</v>
      </c>
      <c r="T35">
        <f>INDEX(Raw!$B$4:$AO$39, MATCH(T$1, Raw!$A$4:$A$39, 0), MATCH($C35, Raw!$B$1:$AO$1, 0))</f>
        <v>-1004000</v>
      </c>
      <c r="U35">
        <f>INDEX(Raw!$B$4:$AO$39, MATCH(U$1, Raw!$A$4:$A$39, 0), MATCH($C35, Raw!$B$1:$AO$1, 0))</f>
        <v>-1359526000</v>
      </c>
      <c r="V35">
        <f>INDEX(Raw!$B$4:$AO$39, MATCH(V$1, Raw!$A$4:$A$39, 0), MATCH($C35, Raw!$B$1:$AO$1, 0))</f>
        <v>0</v>
      </c>
      <c r="W35">
        <f>INDEX(Raw!$B$4:$AO$39, MATCH(W$1, Raw!$A$4:$A$39, 0), MATCH($C35, Raw!$B$1:$AO$1, 0))</f>
        <v>-432380000</v>
      </c>
      <c r="X35">
        <f>INDEX(Raw!$B$4:$AO$39, MATCH(X$1, Raw!$A$4:$A$39, 0), MATCH($C35, Raw!$B$1:$AO$1, 0))</f>
        <v>1381227000</v>
      </c>
      <c r="Y35">
        <f>INDEX(Raw!$B$4:$AO$39, MATCH(Y$1, Raw!$A$4:$A$39, 0), MATCH($C35, Raw!$B$1:$AO$1, 0))</f>
        <v>0</v>
      </c>
      <c r="Z35">
        <f>INDEX(Raw!$B$4:$AO$39, MATCH(Z$1, Raw!$A$4:$A$39, 0), MATCH($C35, Raw!$B$1:$AO$1, 0))</f>
        <v>-1128224000</v>
      </c>
      <c r="AA35">
        <f>INDEX(Raw!$B$4:$AO$39, MATCH(AA$1, Raw!$A$4:$A$39, 0), MATCH($C35, Raw!$B$1:$AO$1, 0))</f>
        <v>-738001000</v>
      </c>
      <c r="AB35">
        <f>INDEX(Raw!$B$4:$AO$39, MATCH(AB$1, Raw!$A$4:$A$39, 0), MATCH($C35, Raw!$B$1:$AO$1, 0))</f>
        <v>0</v>
      </c>
      <c r="AC35">
        <f>INDEX(Raw!$B$4:$AO$39, MATCH(AC$1, Raw!$A$4:$A$39, 0), MATCH($C35, Raw!$B$1:$AO$1, 0))</f>
        <v>-917378000</v>
      </c>
      <c r="AD35">
        <f>INDEX(Raw!$B$4:$AO$39, MATCH(AD$1, Raw!$A$4:$A$39, 0), MATCH($C35, Raw!$B$1:$AO$1, 0))</f>
        <v>-102642000</v>
      </c>
      <c r="AE35">
        <f>INDEX(Raw!$B$4:$AO$39, MATCH(AE$1, Raw!$A$4:$A$39, 0), MATCH($C35, Raw!$B$1:$AO$1, 0))</f>
        <v>0</v>
      </c>
      <c r="AF35">
        <f>INDEX(Raw!$B$4:$AO$39, MATCH(AF$1, Raw!$A$4:$A$39, 0), MATCH($C35, Raw!$B$1:$AO$1, 0))</f>
        <v>0</v>
      </c>
    </row>
    <row r="36" spans="1:32" x14ac:dyDescent="0.25">
      <c r="A36" s="2" t="s">
        <v>61</v>
      </c>
      <c r="B36" s="8">
        <f t="shared" ca="1" si="0"/>
        <v>46089</v>
      </c>
      <c r="C36" s="2">
        <v>1991</v>
      </c>
      <c r="D36">
        <f>INDEX(Raw!$B$4:$AO$39, MATCH(D$1, Raw!$A$4:$A$39, 0), MATCH($C36, Raw!$B$1:$AO$1, 0))</f>
        <v>1618002000</v>
      </c>
      <c r="E36">
        <f>INDEX(Raw!$B$4:$AO$39, MATCH(E$1, Raw!$A$4:$A$39, 0), MATCH($C36, Raw!$B$1:$AO$1, 0))</f>
        <v>261427000.00000003</v>
      </c>
      <c r="F36">
        <f>INDEX(Raw!$B$4:$AO$39, MATCH(F$1, Raw!$A$4:$A$39, 0), MATCH($C36, Raw!$B$1:$AO$1, 0))</f>
        <v>0</v>
      </c>
      <c r="G36">
        <f>INDEX(Raw!$B$4:$AO$39, MATCH(G$1, Raw!$A$4:$A$39, 0), MATCH($C36, Raw!$B$1:$AO$1, 0))</f>
        <v>261427000.00000003</v>
      </c>
      <c r="H36">
        <f>INDEX(Raw!$B$4:$AO$39, MATCH(H$1, Raw!$A$4:$A$39, 0), MATCH($C36, Raw!$B$1:$AO$1, 0))</f>
        <v>0</v>
      </c>
      <c r="I36">
        <f>INDEX(Raw!$B$4:$AO$39, MATCH(I$1, Raw!$A$4:$A$39, 0), MATCH($C36, Raw!$B$1:$AO$1, 0))</f>
        <v>0</v>
      </c>
      <c r="J36">
        <f>INDEX(Raw!$B$4:$AO$39, MATCH(J$1, Raw!$A$4:$A$39, 0), MATCH($C36, Raw!$B$1:$AO$1, 0))</f>
        <v>0</v>
      </c>
      <c r="K36">
        <f>INDEX(Raw!$B$4:$AO$39, MATCH(K$1, Raw!$A$4:$A$39, 0), MATCH($C36, Raw!$B$1:$AO$1, 0))</f>
        <v>0</v>
      </c>
      <c r="L36">
        <f>INDEX(Raw!$B$4:$AO$39, MATCH(L$1, Raw!$A$4:$A$39, 0), MATCH($C36, Raw!$B$1:$AO$1, 0))</f>
        <v>222837000</v>
      </c>
      <c r="M36">
        <f>INDEX(Raw!$B$4:$AO$39, MATCH(M$1, Raw!$A$4:$A$39, 0), MATCH($C36, Raw!$B$1:$AO$1, 0))</f>
        <v>2084400999.9999998</v>
      </c>
      <c r="N36">
        <f>INDEX(Raw!$B$4:$AO$39, MATCH(N$1, Raw!$A$4:$A$39, 0), MATCH($C36, Raw!$B$1:$AO$1, 0))</f>
        <v>-747719000</v>
      </c>
      <c r="O36">
        <f>INDEX(Raw!$B$4:$AO$39, MATCH(O$1, Raw!$A$4:$A$39, 0), MATCH($C36, Raw!$B$1:$AO$1, 0))</f>
        <v>0</v>
      </c>
      <c r="P36">
        <f>INDEX(Raw!$B$4:$AO$39, MATCH(P$1, Raw!$A$4:$A$39, 0), MATCH($C36, Raw!$B$1:$AO$1, 0))</f>
        <v>0</v>
      </c>
      <c r="Q36">
        <f>INDEX(Raw!$B$4:$AO$39, MATCH(Q$1, Raw!$A$4:$A$39, 0), MATCH($C36, Raw!$B$1:$AO$1, 0))</f>
        <v>0</v>
      </c>
      <c r="R36">
        <f>INDEX(Raw!$B$4:$AO$39, MATCH(R$1, Raw!$A$4:$A$39, 0), MATCH($C36, Raw!$B$1:$AO$1, 0))</f>
        <v>0</v>
      </c>
      <c r="S36">
        <f>INDEX(Raw!$B$4:$AO$39, MATCH(S$1, Raw!$A$4:$A$39, 0), MATCH($C36, Raw!$B$1:$AO$1, 0))</f>
        <v>-376961000</v>
      </c>
      <c r="T36">
        <f>INDEX(Raw!$B$4:$AO$39, MATCH(T$1, Raw!$A$4:$A$39, 0), MATCH($C36, Raw!$B$1:$AO$1, 0))</f>
        <v>0</v>
      </c>
      <c r="U36">
        <f>INDEX(Raw!$B$4:$AO$39, MATCH(U$1, Raw!$A$4:$A$39, 0), MATCH($C36, Raw!$B$1:$AO$1, 0))</f>
        <v>-1124680000</v>
      </c>
      <c r="V36">
        <f>INDEX(Raw!$B$4:$AO$39, MATCH(V$1, Raw!$A$4:$A$39, 0), MATCH($C36, Raw!$B$1:$AO$1, 0))</f>
        <v>0</v>
      </c>
      <c r="W36">
        <f>INDEX(Raw!$B$4:$AO$39, MATCH(W$1, Raw!$A$4:$A$39, 0), MATCH($C36, Raw!$B$1:$AO$1, 0))</f>
        <v>-256738000</v>
      </c>
      <c r="X36">
        <f>INDEX(Raw!$B$4:$AO$39, MATCH(X$1, Raw!$A$4:$A$39, 0), MATCH($C36, Raw!$B$1:$AO$1, 0))</f>
        <v>-256738000</v>
      </c>
      <c r="Y36">
        <f>INDEX(Raw!$B$4:$AO$39, MATCH(Y$1, Raw!$A$4:$A$39, 0), MATCH($C36, Raw!$B$1:$AO$1, 0))</f>
        <v>0</v>
      </c>
      <c r="Z36">
        <f>INDEX(Raw!$B$4:$AO$39, MATCH(Z$1, Raw!$A$4:$A$39, 0), MATCH($C36, Raw!$B$1:$AO$1, 0))</f>
        <v>-434682000</v>
      </c>
      <c r="AA36">
        <f>INDEX(Raw!$B$4:$AO$39, MATCH(AA$1, Raw!$A$4:$A$39, 0), MATCH($C36, Raw!$B$1:$AO$1, 0))</f>
        <v>-640064000</v>
      </c>
      <c r="AB36">
        <f>INDEX(Raw!$B$4:$AO$39, MATCH(AB$1, Raw!$A$4:$A$39, 0), MATCH($C36, Raw!$B$1:$AO$1, 0))</f>
        <v>0</v>
      </c>
      <c r="AC36">
        <f>INDEX(Raw!$B$4:$AO$39, MATCH(AC$1, Raw!$A$4:$A$39, 0), MATCH($C36, Raw!$B$1:$AO$1, 0))</f>
        <v>-1331484000</v>
      </c>
      <c r="AD36">
        <f>INDEX(Raw!$B$4:$AO$39, MATCH(AD$1, Raw!$A$4:$A$39, 0), MATCH($C36, Raw!$B$1:$AO$1, 0))</f>
        <v>-371305000</v>
      </c>
      <c r="AE36">
        <f>INDEX(Raw!$B$4:$AO$39, MATCH(AE$1, Raw!$A$4:$A$39, 0), MATCH($C36, Raw!$B$1:$AO$1, 0))</f>
        <v>0</v>
      </c>
      <c r="AF36">
        <f>INDEX(Raw!$B$4:$AO$39, MATCH(AF$1, Raw!$A$4:$A$39, 0), MATCH($C36, Raw!$B$1:$AO$1, 0))</f>
        <v>0</v>
      </c>
    </row>
    <row r="37" spans="1:32" x14ac:dyDescent="0.25">
      <c r="A37" s="2" t="s">
        <v>61</v>
      </c>
      <c r="B37" s="8">
        <f t="shared" ca="1" si="0"/>
        <v>46089</v>
      </c>
      <c r="C37" s="2">
        <v>1990</v>
      </c>
      <c r="D37">
        <f>INDEX(Raw!$B$4:$AO$39, MATCH(D$1, Raw!$A$4:$A$39, 0), MATCH($C37, Raw!$B$1:$AO$1, 0))</f>
        <v>1381904000</v>
      </c>
      <c r="E37">
        <f>INDEX(Raw!$B$4:$AO$39, MATCH(E$1, Raw!$A$4:$A$39, 0), MATCH($C37, Raw!$B$1:$AO$1, 0))</f>
        <v>243888000</v>
      </c>
      <c r="F37">
        <f>INDEX(Raw!$B$4:$AO$39, MATCH(F$1, Raw!$A$4:$A$39, 0), MATCH($C37, Raw!$B$1:$AO$1, 0))</f>
        <v>0</v>
      </c>
      <c r="G37">
        <f>INDEX(Raw!$B$4:$AO$39, MATCH(G$1, Raw!$A$4:$A$39, 0), MATCH($C37, Raw!$B$1:$AO$1, 0))</f>
        <v>243888000</v>
      </c>
      <c r="H37">
        <f>INDEX(Raw!$B$4:$AO$39, MATCH(H$1, Raw!$A$4:$A$39, 0), MATCH($C37, Raw!$B$1:$AO$1, 0))</f>
        <v>0</v>
      </c>
      <c r="I37">
        <f>INDEX(Raw!$B$4:$AO$39, MATCH(I$1, Raw!$A$4:$A$39, 0), MATCH($C37, Raw!$B$1:$AO$1, 0))</f>
        <v>0</v>
      </c>
      <c r="J37">
        <f>INDEX(Raw!$B$4:$AO$39, MATCH(J$1, Raw!$A$4:$A$39, 0), MATCH($C37, Raw!$B$1:$AO$1, 0))</f>
        <v>0</v>
      </c>
      <c r="K37">
        <f>INDEX(Raw!$B$4:$AO$39, MATCH(K$1, Raw!$A$4:$A$39, 0), MATCH($C37, Raw!$B$1:$AO$1, 0))</f>
        <v>0</v>
      </c>
      <c r="L37">
        <f>INDEX(Raw!$B$4:$AO$39, MATCH(L$1, Raw!$A$4:$A$39, 0), MATCH($C37, Raw!$B$1:$AO$1, 0))</f>
        <v>-178202000</v>
      </c>
      <c r="M37">
        <f>INDEX(Raw!$B$4:$AO$39, MATCH(M$1, Raw!$A$4:$A$39, 0), MATCH($C37, Raw!$B$1:$AO$1, 0))</f>
        <v>1283927000</v>
      </c>
      <c r="N37">
        <f>INDEX(Raw!$B$4:$AO$39, MATCH(N$1, Raw!$A$4:$A$39, 0), MATCH($C37, Raw!$B$1:$AO$1, 0))</f>
        <v>-573763000</v>
      </c>
      <c r="O37">
        <f>INDEX(Raw!$B$4:$AO$39, MATCH(O$1, Raw!$A$4:$A$39, 0), MATCH($C37, Raw!$B$1:$AO$1, 0))</f>
        <v>0</v>
      </c>
      <c r="P37">
        <f>INDEX(Raw!$B$4:$AO$39, MATCH(P$1, Raw!$A$4:$A$39, 0), MATCH($C37, Raw!$B$1:$AO$1, 0))</f>
        <v>0</v>
      </c>
      <c r="Q37">
        <f>INDEX(Raw!$B$4:$AO$39, MATCH(Q$1, Raw!$A$4:$A$39, 0), MATCH($C37, Raw!$B$1:$AO$1, 0))</f>
        <v>0</v>
      </c>
      <c r="R37">
        <f>INDEX(Raw!$B$4:$AO$39, MATCH(R$1, Raw!$A$4:$A$39, 0), MATCH($C37, Raw!$B$1:$AO$1, 0))</f>
        <v>0</v>
      </c>
      <c r="S37">
        <f>INDEX(Raw!$B$4:$AO$39, MATCH(S$1, Raw!$A$4:$A$39, 0), MATCH($C37, Raw!$B$1:$AO$1, 0))</f>
        <v>134098999.99999999</v>
      </c>
      <c r="T37">
        <f>INDEX(Raw!$B$4:$AO$39, MATCH(T$1, Raw!$A$4:$A$39, 0), MATCH($C37, Raw!$B$1:$AO$1, 0))</f>
        <v>0</v>
      </c>
      <c r="U37">
        <f>INDEX(Raw!$B$4:$AO$39, MATCH(U$1, Raw!$A$4:$A$39, 0), MATCH($C37, Raw!$B$1:$AO$1, 0))</f>
        <v>-439664000</v>
      </c>
      <c r="V37">
        <f>INDEX(Raw!$B$4:$AO$39, MATCH(V$1, Raw!$A$4:$A$39, 0), MATCH($C37, Raw!$B$1:$AO$1, 0))</f>
        <v>0</v>
      </c>
      <c r="W37">
        <f>INDEX(Raw!$B$4:$AO$39, MATCH(W$1, Raw!$A$4:$A$39, 0), MATCH($C37, Raw!$B$1:$AO$1, 0))</f>
        <v>510823000</v>
      </c>
      <c r="X37">
        <f>INDEX(Raw!$B$4:$AO$39, MATCH(X$1, Raw!$A$4:$A$39, 0), MATCH($C37, Raw!$B$1:$AO$1, 0))</f>
        <v>-999139000</v>
      </c>
      <c r="Y37">
        <f>INDEX(Raw!$B$4:$AO$39, MATCH(Y$1, Raw!$A$4:$A$39, 0), MATCH($C37, Raw!$B$1:$AO$1, 0))</f>
        <v>0</v>
      </c>
      <c r="Z37">
        <f>INDEX(Raw!$B$4:$AO$39, MATCH(Z$1, Raw!$A$4:$A$39, 0), MATCH($C37, Raw!$B$1:$AO$1, 0))</f>
        <v>0</v>
      </c>
      <c r="AA37">
        <f>INDEX(Raw!$B$4:$AO$39, MATCH(AA$1, Raw!$A$4:$A$39, 0), MATCH($C37, Raw!$B$1:$AO$1, 0))</f>
        <v>-55264000</v>
      </c>
      <c r="AB37">
        <f>INDEX(Raw!$B$4:$AO$39, MATCH(AB$1, Raw!$A$4:$A$39, 0), MATCH($C37, Raw!$B$1:$AO$1, 0))</f>
        <v>0</v>
      </c>
      <c r="AC37">
        <f>INDEX(Raw!$B$4:$AO$39, MATCH(AC$1, Raw!$A$4:$A$39, 0), MATCH($C37, Raw!$B$1:$AO$1, 0))</f>
        <v>-543580000</v>
      </c>
      <c r="AD37">
        <f>INDEX(Raw!$B$4:$AO$39, MATCH(AD$1, Raw!$A$4:$A$39, 0), MATCH($C37, Raw!$B$1:$AO$1, 0))</f>
        <v>333535000</v>
      </c>
      <c r="AE37">
        <f>INDEX(Raw!$B$4:$AO$39, MATCH(AE$1, Raw!$A$4:$A$39, 0), MATCH($C37, Raw!$B$1:$AO$1, 0))</f>
        <v>0</v>
      </c>
      <c r="AF37">
        <f>INDEX(Raw!$B$4:$AO$39, MATCH(AF$1, Raw!$A$4:$A$39, 0), MATCH($C37, Raw!$B$1:$AO$1, 0))</f>
        <v>0</v>
      </c>
    </row>
    <row r="38" spans="1:32" x14ac:dyDescent="0.25">
      <c r="A38" s="2" t="s">
        <v>61</v>
      </c>
      <c r="B38" s="8">
        <f t="shared" ca="1" si="0"/>
        <v>46089</v>
      </c>
      <c r="C38" s="2">
        <v>1989</v>
      </c>
      <c r="D38">
        <f>INDEX(Raw!$B$4:$AO$39, MATCH(D$1, Raw!$A$4:$A$39, 0), MATCH($C38, Raw!$B$1:$AO$1, 0))</f>
        <v>1723825000</v>
      </c>
      <c r="E38">
        <f>INDEX(Raw!$B$4:$AO$39, MATCH(E$1, Raw!$A$4:$A$39, 0), MATCH($C38, Raw!$B$1:$AO$1, 0))</f>
        <v>183765000</v>
      </c>
      <c r="F38">
        <f>INDEX(Raw!$B$4:$AO$39, MATCH(F$1, Raw!$A$4:$A$39, 0), MATCH($C38, Raw!$B$1:$AO$1, 0))</f>
        <v>0</v>
      </c>
      <c r="G38">
        <f>INDEX(Raw!$B$4:$AO$39, MATCH(G$1, Raw!$A$4:$A$39, 0), MATCH($C38, Raw!$B$1:$AO$1, 0))</f>
        <v>183765000</v>
      </c>
      <c r="H38">
        <f>INDEX(Raw!$B$4:$AO$39, MATCH(H$1, Raw!$A$4:$A$39, 0), MATCH($C38, Raw!$B$1:$AO$1, 0))</f>
        <v>0</v>
      </c>
      <c r="I38">
        <f>INDEX(Raw!$B$4:$AO$39, MATCH(I$1, Raw!$A$4:$A$39, 0), MATCH($C38, Raw!$B$1:$AO$1, 0))</f>
        <v>0</v>
      </c>
      <c r="J38">
        <f>INDEX(Raw!$B$4:$AO$39, MATCH(J$1, Raw!$A$4:$A$39, 0), MATCH($C38, Raw!$B$1:$AO$1, 0))</f>
        <v>0</v>
      </c>
      <c r="K38">
        <f>INDEX(Raw!$B$4:$AO$39, MATCH(K$1, Raw!$A$4:$A$39, 0), MATCH($C38, Raw!$B$1:$AO$1, 0))</f>
        <v>0</v>
      </c>
      <c r="L38">
        <f>INDEX(Raw!$B$4:$AO$39, MATCH(L$1, Raw!$A$4:$A$39, 0), MATCH($C38, Raw!$B$1:$AO$1, 0))</f>
        <v>279382000</v>
      </c>
      <c r="M38">
        <f>INDEX(Raw!$B$4:$AO$39, MATCH(M$1, Raw!$A$4:$A$39, 0), MATCH($C38, Raw!$B$1:$AO$1, 0))</f>
        <v>1110213000</v>
      </c>
      <c r="N38">
        <f>INDEX(Raw!$B$4:$AO$39, MATCH(N$1, Raw!$A$4:$A$39, 0), MATCH($C38, Raw!$B$1:$AO$1, 0))</f>
        <v>-401801000</v>
      </c>
      <c r="O38">
        <f>INDEX(Raw!$B$4:$AO$39, MATCH(O$1, Raw!$A$4:$A$39, 0), MATCH($C38, Raw!$B$1:$AO$1, 0))</f>
        <v>0</v>
      </c>
      <c r="P38">
        <f>INDEX(Raw!$B$4:$AO$39, MATCH(P$1, Raw!$A$4:$A$39, 0), MATCH($C38, Raw!$B$1:$AO$1, 0))</f>
        <v>1680073000</v>
      </c>
      <c r="Q38">
        <f>INDEX(Raw!$B$4:$AO$39, MATCH(Q$1, Raw!$A$4:$A$39, 0), MATCH($C38, Raw!$B$1:$AO$1, 0))</f>
        <v>0</v>
      </c>
      <c r="R38">
        <f>INDEX(Raw!$B$4:$AO$39, MATCH(R$1, Raw!$A$4:$A$39, 0), MATCH($C38, Raw!$B$1:$AO$1, 0))</f>
        <v>0</v>
      </c>
      <c r="S38">
        <f>INDEX(Raw!$B$4:$AO$39, MATCH(S$1, Raw!$A$4:$A$39, 0), MATCH($C38, Raw!$B$1:$AO$1, 0))</f>
        <v>-724394000</v>
      </c>
      <c r="T38">
        <f>INDEX(Raw!$B$4:$AO$39, MATCH(T$1, Raw!$A$4:$A$39, 0), MATCH($C38, Raw!$B$1:$AO$1, 0))</f>
        <v>0</v>
      </c>
      <c r="U38">
        <f>INDEX(Raw!$B$4:$AO$39, MATCH(U$1, Raw!$A$4:$A$39, 0), MATCH($C38, Raw!$B$1:$AO$1, 0))</f>
        <v>553878000</v>
      </c>
      <c r="V38">
        <f>INDEX(Raw!$B$4:$AO$39, MATCH(V$1, Raw!$A$4:$A$39, 0), MATCH($C38, Raw!$B$1:$AO$1, 0))</f>
        <v>0</v>
      </c>
      <c r="W38">
        <f>INDEX(Raw!$B$4:$AO$39, MATCH(W$1, Raw!$A$4:$A$39, 0), MATCH($C38, Raw!$B$1:$AO$1, 0))</f>
        <v>-74320000</v>
      </c>
      <c r="X38">
        <f>INDEX(Raw!$B$4:$AO$39, MATCH(X$1, Raw!$A$4:$A$39, 0), MATCH($C38, Raw!$B$1:$AO$1, 0))</f>
        <v>-74320000</v>
      </c>
      <c r="Y38">
        <f>INDEX(Raw!$B$4:$AO$39, MATCH(Y$1, Raw!$A$4:$A$39, 0), MATCH($C38, Raw!$B$1:$AO$1, 0))</f>
        <v>0</v>
      </c>
      <c r="Z38">
        <f>INDEX(Raw!$B$4:$AO$39, MATCH(Z$1, Raw!$A$4:$A$39, 0), MATCH($C38, Raw!$B$1:$AO$1, 0))</f>
        <v>-1125546000</v>
      </c>
      <c r="AA38">
        <f>INDEX(Raw!$B$4:$AO$39, MATCH(AA$1, Raw!$A$4:$A$39, 0), MATCH($C38, Raw!$B$1:$AO$1, 0))</f>
        <v>-490655000</v>
      </c>
      <c r="AB38">
        <f>INDEX(Raw!$B$4:$AO$39, MATCH(AB$1, Raw!$A$4:$A$39, 0), MATCH($C38, Raw!$B$1:$AO$1, 0))</f>
        <v>0</v>
      </c>
      <c r="AC38">
        <f>INDEX(Raw!$B$4:$AO$39, MATCH(AC$1, Raw!$A$4:$A$39, 0), MATCH($C38, Raw!$B$1:$AO$1, 0))</f>
        <v>-1690521000</v>
      </c>
      <c r="AD38">
        <f>INDEX(Raw!$B$4:$AO$39, MATCH(AD$1, Raw!$A$4:$A$39, 0), MATCH($C38, Raw!$B$1:$AO$1, 0))</f>
        <v>-49326000</v>
      </c>
      <c r="AE38">
        <f>INDEX(Raw!$B$4:$AO$39, MATCH(AE$1, Raw!$A$4:$A$39, 0), MATCH($C38, Raw!$B$1:$AO$1, 0))</f>
        <v>0</v>
      </c>
      <c r="AF38">
        <f>INDEX(Raw!$B$4:$AO$39, MATCH(AF$1, Raw!$A$4:$A$39, 0), MATCH($C38, Raw!$B$1:$AO$1, 0))</f>
        <v>0</v>
      </c>
    </row>
    <row r="39" spans="1:32" x14ac:dyDescent="0.25">
      <c r="A39" s="2" t="s">
        <v>61</v>
      </c>
      <c r="B39" s="8">
        <f t="shared" ca="1" si="0"/>
        <v>46089</v>
      </c>
      <c r="C39" s="2">
        <v>1988</v>
      </c>
      <c r="D39">
        <f>INDEX(Raw!$B$4:$AO$39, MATCH(D$1, Raw!$A$4:$A$39, 0), MATCH($C39, Raw!$B$1:$AO$1, 0))</f>
        <v>1044703000</v>
      </c>
      <c r="E39">
        <f>INDEX(Raw!$B$4:$AO$39, MATCH(E$1, Raw!$A$4:$A$39, 0), MATCH($C39, Raw!$B$1:$AO$1, 0))</f>
        <v>169768000</v>
      </c>
      <c r="F39">
        <f>INDEX(Raw!$B$4:$AO$39, MATCH(F$1, Raw!$A$4:$A$39, 0), MATCH($C39, Raw!$B$1:$AO$1, 0))</f>
        <v>0</v>
      </c>
      <c r="G39">
        <f>INDEX(Raw!$B$4:$AO$39, MATCH(G$1, Raw!$A$4:$A$39, 0), MATCH($C39, Raw!$B$1:$AO$1, 0))</f>
        <v>169768000</v>
      </c>
      <c r="H39">
        <f>INDEX(Raw!$B$4:$AO$39, MATCH(H$1, Raw!$A$4:$A$39, 0), MATCH($C39, Raw!$B$1:$AO$1, 0))</f>
        <v>0</v>
      </c>
      <c r="I39">
        <f>INDEX(Raw!$B$4:$AO$39, MATCH(I$1, Raw!$A$4:$A$39, 0), MATCH($C39, Raw!$B$1:$AO$1, 0))</f>
        <v>0</v>
      </c>
      <c r="J39">
        <f>INDEX(Raw!$B$4:$AO$39, MATCH(J$1, Raw!$A$4:$A$39, 0), MATCH($C39, Raw!$B$1:$AO$1, 0))</f>
        <v>0</v>
      </c>
      <c r="K39">
        <f>INDEX(Raw!$B$4:$AO$39, MATCH(K$1, Raw!$A$4:$A$39, 0), MATCH($C39, Raw!$B$1:$AO$1, 0))</f>
        <v>0</v>
      </c>
      <c r="L39">
        <f>INDEX(Raw!$B$4:$AO$39, MATCH(L$1, Raw!$A$4:$A$39, 0), MATCH($C39, Raw!$B$1:$AO$1, 0))</f>
        <v>-83736000</v>
      </c>
      <c r="M39">
        <f>INDEX(Raw!$B$4:$AO$39, MATCH(M$1, Raw!$A$4:$A$39, 0), MATCH($C39, Raw!$B$1:$AO$1, 0))</f>
        <v>1166837000</v>
      </c>
      <c r="N39">
        <f>INDEX(Raw!$B$4:$AO$39, MATCH(N$1, Raw!$A$4:$A$39, 0), MATCH($C39, Raw!$B$1:$AO$1, 0))</f>
        <v>-343425000</v>
      </c>
      <c r="O39">
        <f>INDEX(Raw!$B$4:$AO$39, MATCH(O$1, Raw!$A$4:$A$39, 0), MATCH($C39, Raw!$B$1:$AO$1, 0))</f>
        <v>0</v>
      </c>
      <c r="P39">
        <f>INDEX(Raw!$B$4:$AO$39, MATCH(P$1, Raw!$A$4:$A$39, 0), MATCH($C39, Raw!$B$1:$AO$1, 0))</f>
        <v>0</v>
      </c>
      <c r="Q39">
        <f>INDEX(Raw!$B$4:$AO$39, MATCH(Q$1, Raw!$A$4:$A$39, 0), MATCH($C39, Raw!$B$1:$AO$1, 0))</f>
        <v>0</v>
      </c>
      <c r="R39">
        <f>INDEX(Raw!$B$4:$AO$39, MATCH(R$1, Raw!$A$4:$A$39, 0), MATCH($C39, Raw!$B$1:$AO$1, 0))</f>
        <v>0</v>
      </c>
      <c r="S39">
        <f>INDEX(Raw!$B$4:$AO$39, MATCH(S$1, Raw!$A$4:$A$39, 0), MATCH($C39, Raw!$B$1:$AO$1, 0))</f>
        <v>148438000</v>
      </c>
      <c r="T39">
        <f>INDEX(Raw!$B$4:$AO$39, MATCH(T$1, Raw!$A$4:$A$39, 0), MATCH($C39, Raw!$B$1:$AO$1, 0))</f>
        <v>544889000</v>
      </c>
      <c r="U39">
        <f>INDEX(Raw!$B$4:$AO$39, MATCH(U$1, Raw!$A$4:$A$39, 0), MATCH($C39, Raw!$B$1:$AO$1, 0))</f>
        <v>349902000</v>
      </c>
      <c r="V39">
        <f>INDEX(Raw!$B$4:$AO$39, MATCH(V$1, Raw!$A$4:$A$39, 0), MATCH($C39, Raw!$B$1:$AO$1, 0))</f>
        <v>0</v>
      </c>
      <c r="W39">
        <f>INDEX(Raw!$B$4:$AO$39, MATCH(W$1, Raw!$A$4:$A$39, 0), MATCH($C39, Raw!$B$1:$AO$1, 0))</f>
        <v>-851598000</v>
      </c>
      <c r="X39">
        <f>INDEX(Raw!$B$4:$AO$39, MATCH(X$1, Raw!$A$4:$A$39, 0), MATCH($C39, Raw!$B$1:$AO$1, 0))</f>
        <v>-851598000</v>
      </c>
      <c r="Y39">
        <f>INDEX(Raw!$B$4:$AO$39, MATCH(Y$1, Raw!$A$4:$A$39, 0), MATCH($C39, Raw!$B$1:$AO$1, 0))</f>
        <v>0</v>
      </c>
      <c r="Z39">
        <f>INDEX(Raw!$B$4:$AO$39, MATCH(Z$1, Raw!$A$4:$A$39, 0), MATCH($C39, Raw!$B$1:$AO$1, 0))</f>
        <v>-430626000</v>
      </c>
      <c r="AA39">
        <f>INDEX(Raw!$B$4:$AO$39, MATCH(AA$1, Raw!$A$4:$A$39, 0), MATCH($C39, Raw!$B$1:$AO$1, 0))</f>
        <v>-443186000</v>
      </c>
      <c r="AB39">
        <f>INDEX(Raw!$B$4:$AO$39, MATCH(AB$1, Raw!$A$4:$A$39, 0), MATCH($C39, Raw!$B$1:$AO$1, 0))</f>
        <v>0</v>
      </c>
      <c r="AC39">
        <f>INDEX(Raw!$B$4:$AO$39, MATCH(AC$1, Raw!$A$4:$A$39, 0), MATCH($C39, Raw!$B$1:$AO$1, 0))</f>
        <v>-1725410000</v>
      </c>
      <c r="AD39">
        <f>INDEX(Raw!$B$4:$AO$39, MATCH(AD$1, Raw!$A$4:$A$39, 0), MATCH($C39, Raw!$B$1:$AO$1, 0))</f>
        <v>-238214000</v>
      </c>
      <c r="AE39">
        <f>INDEX(Raw!$B$4:$AO$39, MATCH(AE$1, Raw!$A$4:$A$39, 0), MATCH($C39, Raw!$B$1:$AO$1, 0))</f>
        <v>0</v>
      </c>
      <c r="AF39">
        <f>INDEX(Raw!$B$4:$AO$39, MATCH(AF$1, Raw!$A$4:$A$39, 0), MATCH($C39, Raw!$B$1:$AO$1, 0))</f>
        <v>0</v>
      </c>
    </row>
    <row r="40" spans="1:32" x14ac:dyDescent="0.25">
      <c r="A40" s="2" t="s">
        <v>61</v>
      </c>
      <c r="B40" s="8">
        <f t="shared" ca="1" si="0"/>
        <v>46089</v>
      </c>
      <c r="C40" s="2">
        <v>1987</v>
      </c>
      <c r="D40">
        <f>INDEX(Raw!$B$4:$AO$39, MATCH(D$1, Raw!$A$4:$A$39, 0), MATCH($C40, Raw!$B$1:$AO$1, 0))</f>
        <v>916136000</v>
      </c>
      <c r="E40">
        <f>INDEX(Raw!$B$4:$AO$39, MATCH(E$1, Raw!$A$4:$A$39, 0), MATCH($C40, Raw!$B$1:$AO$1, 0))</f>
        <v>151904000</v>
      </c>
      <c r="F40">
        <f>INDEX(Raw!$B$4:$AO$39, MATCH(F$1, Raw!$A$4:$A$39, 0), MATCH($C40, Raw!$B$1:$AO$1, 0))</f>
        <v>-79701000</v>
      </c>
      <c r="G40">
        <f>INDEX(Raw!$B$4:$AO$39, MATCH(G$1, Raw!$A$4:$A$39, 0), MATCH($C40, Raw!$B$1:$AO$1, 0))</f>
        <v>72203000</v>
      </c>
      <c r="H40">
        <f>INDEX(Raw!$B$4:$AO$39, MATCH(H$1, Raw!$A$4:$A$39, 0), MATCH($C40, Raw!$B$1:$AO$1, 0))</f>
        <v>0</v>
      </c>
      <c r="I40">
        <f>INDEX(Raw!$B$4:$AO$39, MATCH(I$1, Raw!$A$4:$A$39, 0), MATCH($C40, Raw!$B$1:$AO$1, 0))</f>
        <v>0</v>
      </c>
      <c r="J40">
        <f>INDEX(Raw!$B$4:$AO$39, MATCH(J$1, Raw!$A$4:$A$39, 0), MATCH($C40, Raw!$B$1:$AO$1, 0))</f>
        <v>0</v>
      </c>
      <c r="K40">
        <f>INDEX(Raw!$B$4:$AO$39, MATCH(K$1, Raw!$A$4:$A$39, 0), MATCH($C40, Raw!$B$1:$AO$1, 0))</f>
        <v>0</v>
      </c>
      <c r="L40">
        <f>INDEX(Raw!$B$4:$AO$39, MATCH(L$1, Raw!$A$4:$A$39, 0), MATCH($C40, Raw!$B$1:$AO$1, 0))</f>
        <v>-28706000</v>
      </c>
      <c r="M40">
        <f>INDEX(Raw!$B$4:$AO$39, MATCH(M$1, Raw!$A$4:$A$39, 0), MATCH($C40, Raw!$B$1:$AO$1, 0))</f>
        <v>958768000</v>
      </c>
      <c r="N40">
        <f>INDEX(Raw!$B$4:$AO$39, MATCH(N$1, Raw!$A$4:$A$39, 0), MATCH($C40, Raw!$B$1:$AO$1, 0))</f>
        <v>0</v>
      </c>
      <c r="O40">
        <f>INDEX(Raw!$B$4:$AO$39, MATCH(O$1, Raw!$A$4:$A$39, 0), MATCH($C40, Raw!$B$1:$AO$1, 0))</f>
        <v>0</v>
      </c>
      <c r="P40">
        <f>INDEX(Raw!$B$4:$AO$39, MATCH(P$1, Raw!$A$4:$A$39, 0), MATCH($C40, Raw!$B$1:$AO$1, 0))</f>
        <v>124505000</v>
      </c>
      <c r="Q40">
        <f>INDEX(Raw!$B$4:$AO$39, MATCH(Q$1, Raw!$A$4:$A$39, 0), MATCH($C40, Raw!$B$1:$AO$1, 0))</f>
        <v>0</v>
      </c>
      <c r="R40">
        <f>INDEX(Raw!$B$4:$AO$39, MATCH(R$1, Raw!$A$4:$A$39, 0), MATCH($C40, Raw!$B$1:$AO$1, 0))</f>
        <v>0</v>
      </c>
      <c r="S40">
        <f>INDEX(Raw!$B$4:$AO$39, MATCH(S$1, Raw!$A$4:$A$39, 0), MATCH($C40, Raw!$B$1:$AO$1, 0))</f>
        <v>1305931000</v>
      </c>
      <c r="T40">
        <f>INDEX(Raw!$B$4:$AO$39, MATCH(T$1, Raw!$A$4:$A$39, 0), MATCH($C40, Raw!$B$1:$AO$1, 0))</f>
        <v>41300000</v>
      </c>
      <c r="U40">
        <f>INDEX(Raw!$B$4:$AO$39, MATCH(U$1, Raw!$A$4:$A$39, 0), MATCH($C40, Raw!$B$1:$AO$1, 0))</f>
        <v>1165649000</v>
      </c>
      <c r="V40">
        <f>INDEX(Raw!$B$4:$AO$39, MATCH(V$1, Raw!$A$4:$A$39, 0), MATCH($C40, Raw!$B$1:$AO$1, 0))</f>
        <v>0</v>
      </c>
      <c r="W40">
        <f>INDEX(Raw!$B$4:$AO$39, MATCH(W$1, Raw!$A$4:$A$39, 0), MATCH($C40, Raw!$B$1:$AO$1, 0))</f>
        <v>299616000</v>
      </c>
      <c r="X40">
        <f>INDEX(Raw!$B$4:$AO$39, MATCH(X$1, Raw!$A$4:$A$39, 0), MATCH($C40, Raw!$B$1:$AO$1, 0))</f>
        <v>756557000</v>
      </c>
      <c r="Y40">
        <f>INDEX(Raw!$B$4:$AO$39, MATCH(Y$1, Raw!$A$4:$A$39, 0), MATCH($C40, Raw!$B$1:$AO$1, 0))</f>
        <v>0</v>
      </c>
      <c r="Z40">
        <f>INDEX(Raw!$B$4:$AO$39, MATCH(Z$1, Raw!$A$4:$A$39, 0), MATCH($C40, Raw!$B$1:$AO$1, 0))</f>
        <v>3596153000</v>
      </c>
      <c r="AA40">
        <f>INDEX(Raw!$B$4:$AO$39, MATCH(AA$1, Raw!$A$4:$A$39, 0), MATCH($C40, Raw!$B$1:$AO$1, 0))</f>
        <v>0</v>
      </c>
      <c r="AB40">
        <f>INDEX(Raw!$B$4:$AO$39, MATCH(AB$1, Raw!$A$4:$A$39, 0), MATCH($C40, Raw!$B$1:$AO$1, 0))</f>
        <v>213609000</v>
      </c>
      <c r="AC40">
        <f>INDEX(Raw!$B$4:$AO$39, MATCH(AC$1, Raw!$A$4:$A$39, 0), MATCH($C40, Raw!$B$1:$AO$1, 0))</f>
        <v>605110000</v>
      </c>
      <c r="AD40">
        <f>INDEX(Raw!$B$4:$AO$39, MATCH(AD$1, Raw!$A$4:$A$39, 0), MATCH($C40, Raw!$B$1:$AO$1, 0))</f>
        <v>1121630000</v>
      </c>
      <c r="AE40">
        <f>INDEX(Raw!$B$4:$AO$39, MATCH(AE$1, Raw!$A$4:$A$39, 0), MATCH($C40, Raw!$B$1:$AO$1, 0))</f>
        <v>0</v>
      </c>
      <c r="AF40">
        <f>INDEX(Raw!$B$4:$AO$39, MATCH(AF$1, Raw!$A$4:$A$39, 0), MATCH($C40, Raw!$B$1:$AO$1, 0))</f>
        <v>0</v>
      </c>
    </row>
    <row r="41" spans="1:32" x14ac:dyDescent="0.25">
      <c r="A41" s="2" t="s">
        <v>61</v>
      </c>
      <c r="B41" s="8">
        <f t="shared" ca="1" si="0"/>
        <v>46089</v>
      </c>
      <c r="C41" s="2">
        <v>1986</v>
      </c>
      <c r="D41">
        <f>INDEX(Raw!$B$4:$AO$39, MATCH(D$1, Raw!$A$4:$A$39, 0), MATCH($C41, Raw!$B$1:$AO$1, 0))</f>
        <v>934347000</v>
      </c>
      <c r="E41">
        <f>INDEX(Raw!$B$4:$AO$39, MATCH(E$1, Raw!$A$4:$A$39, 0), MATCH($C41, Raw!$B$1:$AO$1, 0))</f>
        <v>166829000</v>
      </c>
      <c r="F41">
        <f>INDEX(Raw!$B$4:$AO$39, MATCH(F$1, Raw!$A$4:$A$39, 0), MATCH($C41, Raw!$B$1:$AO$1, 0))</f>
        <v>0</v>
      </c>
      <c r="G41">
        <f>INDEX(Raw!$B$4:$AO$39, MATCH(G$1, Raw!$A$4:$A$39, 0), MATCH($C41, Raw!$B$1:$AO$1, 0))</f>
        <v>166829000</v>
      </c>
      <c r="H41">
        <f>INDEX(Raw!$B$4:$AO$39, MATCH(H$1, Raw!$A$4:$A$39, 0), MATCH($C41, Raw!$B$1:$AO$1, 0))</f>
        <v>0</v>
      </c>
      <c r="I41">
        <f>INDEX(Raw!$B$4:$AO$39, MATCH(I$1, Raw!$A$4:$A$39, 0), MATCH($C41, Raw!$B$1:$AO$1, 0))</f>
        <v>0</v>
      </c>
      <c r="J41">
        <f>INDEX(Raw!$B$4:$AO$39, MATCH(J$1, Raw!$A$4:$A$39, 0), MATCH($C41, Raw!$B$1:$AO$1, 0))</f>
        <v>0</v>
      </c>
      <c r="K41">
        <f>INDEX(Raw!$B$4:$AO$39, MATCH(K$1, Raw!$A$4:$A$39, 0), MATCH($C41, Raw!$B$1:$AO$1, 0))</f>
        <v>0</v>
      </c>
      <c r="L41">
        <f>INDEX(Raw!$B$4:$AO$39, MATCH(L$1, Raw!$A$4:$A$39, 0), MATCH($C41, Raw!$B$1:$AO$1, 0))</f>
        <v>94524000</v>
      </c>
      <c r="M41">
        <f>INDEX(Raw!$B$4:$AO$39, MATCH(M$1, Raw!$A$4:$A$39, 0), MATCH($C41, Raw!$B$1:$AO$1, 0))</f>
        <v>1016287000</v>
      </c>
      <c r="N41">
        <f>INDEX(Raw!$B$4:$AO$39, MATCH(N$1, Raw!$A$4:$A$39, 0), MATCH($C41, Raw!$B$1:$AO$1, 0))</f>
        <v>0</v>
      </c>
      <c r="O41">
        <f>INDEX(Raw!$B$4:$AO$39, MATCH(O$1, Raw!$A$4:$A$39, 0), MATCH($C41, Raw!$B$1:$AO$1, 0))</f>
        <v>0</v>
      </c>
      <c r="P41">
        <f>INDEX(Raw!$B$4:$AO$39, MATCH(P$1, Raw!$A$4:$A$39, 0), MATCH($C41, Raw!$B$1:$AO$1, 0))</f>
        <v>167417000</v>
      </c>
      <c r="Q41">
        <f>INDEX(Raw!$B$4:$AO$39, MATCH(Q$1, Raw!$A$4:$A$39, 0), MATCH($C41, Raw!$B$1:$AO$1, 0))</f>
        <v>0</v>
      </c>
      <c r="R41">
        <f>INDEX(Raw!$B$4:$AO$39, MATCH(R$1, Raw!$A$4:$A$39, 0), MATCH($C41, Raw!$B$1:$AO$1, 0))</f>
        <v>0</v>
      </c>
      <c r="S41">
        <f>INDEX(Raw!$B$4:$AO$39, MATCH(S$1, Raw!$A$4:$A$39, 0), MATCH($C41, Raw!$B$1:$AO$1, 0))</f>
        <v>557572000</v>
      </c>
      <c r="T41">
        <f>INDEX(Raw!$B$4:$AO$39, MATCH(T$1, Raw!$A$4:$A$39, 0), MATCH($C41, Raw!$B$1:$AO$1, 0))</f>
        <v>51249000</v>
      </c>
      <c r="U41">
        <f>INDEX(Raw!$B$4:$AO$39, MATCH(U$1, Raw!$A$4:$A$39, 0), MATCH($C41, Raw!$B$1:$AO$1, 0))</f>
        <v>256906999.99999997</v>
      </c>
      <c r="V41">
        <f>INDEX(Raw!$B$4:$AO$39, MATCH(V$1, Raw!$A$4:$A$39, 0), MATCH($C41, Raw!$B$1:$AO$1, 0))</f>
        <v>0</v>
      </c>
      <c r="W41">
        <f>INDEX(Raw!$B$4:$AO$39, MATCH(W$1, Raw!$A$4:$A$39, 0), MATCH($C41, Raw!$B$1:$AO$1, 0))</f>
        <v>372623000</v>
      </c>
      <c r="X41">
        <f>INDEX(Raw!$B$4:$AO$39, MATCH(X$1, Raw!$A$4:$A$39, 0), MATCH($C41, Raw!$B$1:$AO$1, 0))</f>
        <v>402556000</v>
      </c>
      <c r="Y41">
        <f>INDEX(Raw!$B$4:$AO$39, MATCH(Y$1, Raw!$A$4:$A$39, 0), MATCH($C41, Raw!$B$1:$AO$1, 0))</f>
        <v>0</v>
      </c>
      <c r="Z41">
        <f>INDEX(Raw!$B$4:$AO$39, MATCH(Z$1, Raw!$A$4:$A$39, 0), MATCH($C41, Raw!$B$1:$AO$1, 0))</f>
        <v>2049431999.9999998</v>
      </c>
      <c r="AA41">
        <f>INDEX(Raw!$B$4:$AO$39, MATCH(AA$1, Raw!$A$4:$A$39, 0), MATCH($C41, Raw!$B$1:$AO$1, 0))</f>
        <v>494805000</v>
      </c>
      <c r="AB41">
        <f>INDEX(Raw!$B$4:$AO$39, MATCH(AB$1, Raw!$A$4:$A$39, 0), MATCH($C41, Raw!$B$1:$AO$1, 0))</f>
        <v>122125000</v>
      </c>
      <c r="AC41">
        <f>INDEX(Raw!$B$4:$AO$39, MATCH(AC$1, Raw!$A$4:$A$39, 0), MATCH($C41, Raw!$B$1:$AO$1, 0))</f>
        <v>110471000</v>
      </c>
      <c r="AD41">
        <f>INDEX(Raw!$B$4:$AO$39, MATCH(AD$1, Raw!$A$4:$A$39, 0), MATCH($C41, Raw!$B$1:$AO$1, 0))</f>
        <v>77249000</v>
      </c>
      <c r="AE41">
        <f>INDEX(Raw!$B$4:$AO$39, MATCH(AE$1, Raw!$A$4:$A$39, 0), MATCH($C41, Raw!$B$1:$AO$1, 0))</f>
        <v>0</v>
      </c>
      <c r="AF41">
        <f>INDEX(Raw!$B$4:$AO$39, MATCH(AF$1, Raw!$A$4:$A$39, 0), MATCH($C41, Raw!$B$1:$AO$1, 0))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CED5C-1D64-4E24-A19B-77F4D2B34095}">
  <dimension ref="A1:AI41"/>
  <sheetViews>
    <sheetView showGridLines="0" tabSelected="1" workbookViewId="0">
      <selection activeCell="L2" sqref="L2"/>
    </sheetView>
  </sheetViews>
  <sheetFormatPr defaultColWidth="20.7109375" defaultRowHeight="15" x14ac:dyDescent="0.25"/>
  <cols>
    <col min="32" max="32" width="32.28515625" bestFit="1" customWidth="1"/>
  </cols>
  <sheetData>
    <row r="1" spans="1:35" s="2" customFormat="1" x14ac:dyDescent="0.25">
      <c r="A1" s="9" t="s">
        <v>58</v>
      </c>
      <c r="B1" s="9" t="s">
        <v>59</v>
      </c>
      <c r="C1" s="9" t="s">
        <v>60</v>
      </c>
      <c r="D1" s="9" t="s">
        <v>30</v>
      </c>
      <c r="E1" s="9" t="s">
        <v>57</v>
      </c>
      <c r="F1" s="9" t="s">
        <v>31</v>
      </c>
      <c r="G1" s="9" t="s">
        <v>32</v>
      </c>
      <c r="H1" s="9" t="s">
        <v>34</v>
      </c>
      <c r="I1" s="9" t="s">
        <v>35</v>
      </c>
      <c r="J1" s="9" t="s">
        <v>36</v>
      </c>
      <c r="K1" s="9" t="s">
        <v>37</v>
      </c>
      <c r="L1" s="9" t="s">
        <v>65</v>
      </c>
      <c r="M1" s="9" t="s">
        <v>33</v>
      </c>
      <c r="N1" s="9" t="s">
        <v>38</v>
      </c>
      <c r="O1" s="9" t="s">
        <v>39</v>
      </c>
      <c r="P1" s="9" t="s">
        <v>40</v>
      </c>
      <c r="Q1" s="9" t="s">
        <v>41</v>
      </c>
      <c r="R1" s="9" t="s">
        <v>42</v>
      </c>
      <c r="S1" s="9" t="s">
        <v>43</v>
      </c>
      <c r="T1" s="9" t="s">
        <v>44</v>
      </c>
      <c r="U1" s="9" t="s">
        <v>45</v>
      </c>
      <c r="V1" s="9" t="s">
        <v>46</v>
      </c>
      <c r="W1" s="9" t="s">
        <v>47</v>
      </c>
      <c r="X1" s="9" t="s">
        <v>48</v>
      </c>
      <c r="Y1" s="9" t="s">
        <v>49</v>
      </c>
      <c r="Z1" s="9" t="s">
        <v>50</v>
      </c>
      <c r="AA1" s="9" t="s">
        <v>51</v>
      </c>
      <c r="AB1" s="9" t="s">
        <v>52</v>
      </c>
      <c r="AC1" s="9" t="s">
        <v>53</v>
      </c>
      <c r="AD1" s="9" t="s">
        <v>54</v>
      </c>
      <c r="AE1" s="9" t="s">
        <v>55</v>
      </c>
      <c r="AF1" s="9" t="s">
        <v>56</v>
      </c>
      <c r="AG1" s="9" t="s">
        <v>62</v>
      </c>
      <c r="AH1" s="9" t="s">
        <v>63</v>
      </c>
      <c r="AI1" s="9" t="s">
        <v>64</v>
      </c>
    </row>
    <row r="2" spans="1:35" x14ac:dyDescent="0.25">
      <c r="A2" s="2" t="str">
        <f>Lookup!A2</f>
        <v>KO</v>
      </c>
      <c r="B2" s="8">
        <f ca="1">Lookup!B2</f>
        <v>46089</v>
      </c>
      <c r="C2" s="2">
        <f>Lookup!C2</f>
        <v>2025</v>
      </c>
      <c r="D2" s="2">
        <f>Lookup!D2</f>
        <v>13137000000</v>
      </c>
      <c r="E2" s="2">
        <f>Lookup!E2</f>
        <v>1050000000</v>
      </c>
      <c r="F2" s="2">
        <f>Lookup!F2</f>
        <v>429000000</v>
      </c>
      <c r="G2" s="2">
        <f>Lookup!G2</f>
        <v>1479000000</v>
      </c>
      <c r="H2" s="2">
        <f>Lookup!H2</f>
        <v>0</v>
      </c>
      <c r="I2" s="2">
        <f>Lookup!I2</f>
        <v>0</v>
      </c>
      <c r="J2" s="2">
        <f>Lookup!J2</f>
        <v>0</v>
      </c>
      <c r="K2" s="2">
        <f>Lookup!K2</f>
        <v>-7208000000</v>
      </c>
      <c r="L2" s="2">
        <f>Lookup!L2</f>
        <v>-7208000000</v>
      </c>
      <c r="M2" s="2">
        <f>Lookup!M2</f>
        <v>7408000000</v>
      </c>
      <c r="N2" s="2">
        <f>Lookup!N2</f>
        <v>-2099000000</v>
      </c>
      <c r="O2" s="2">
        <f>Lookup!O2</f>
        <v>0</v>
      </c>
      <c r="P2" s="2">
        <f>Lookup!P2</f>
        <v>3106000000</v>
      </c>
      <c r="Q2" s="2">
        <f>Lookup!Q2</f>
        <v>0</v>
      </c>
      <c r="R2" s="2">
        <f>Lookup!R2</f>
        <v>-1495000000</v>
      </c>
      <c r="S2" s="2">
        <f>Lookup!S2</f>
        <v>-1495000000</v>
      </c>
      <c r="T2" s="2">
        <f>Lookup!T2</f>
        <v>421000000</v>
      </c>
      <c r="U2" s="2">
        <f>Lookup!U2</f>
        <v>-67000000</v>
      </c>
      <c r="V2" s="2">
        <f>Lookup!V2</f>
        <v>13000000</v>
      </c>
      <c r="W2" s="2">
        <f>Lookup!W2</f>
        <v>0</v>
      </c>
      <c r="X2" s="2">
        <f>Lookup!X2</f>
        <v>13000000</v>
      </c>
      <c r="Y2" s="2">
        <f>Lookup!Y2</f>
        <v>-433000000</v>
      </c>
      <c r="Z2" s="2">
        <f>Lookup!Z2</f>
        <v>-433000000</v>
      </c>
      <c r="AA2" s="2">
        <f>Lookup!AA2</f>
        <v>-8779000000</v>
      </c>
      <c r="AB2" s="2">
        <f>Lookup!AB2</f>
        <v>1059000000</v>
      </c>
      <c r="AC2" s="2">
        <f>Lookup!AC2</f>
        <v>-8140000000</v>
      </c>
      <c r="AD2" s="2">
        <f>Lookup!AD2</f>
        <v>-1218000000</v>
      </c>
      <c r="AE2" s="2">
        <f>Lookup!AE2</f>
        <v>279000000</v>
      </c>
      <c r="AF2" s="2">
        <f>Lookup!AF2</f>
        <v>-8779000000</v>
      </c>
      <c r="AG2" t="str" cm="1">
        <f t="array" aca="1" ref="AG2" ca="1">MID(CELL("filename",J1),FIND("[",CELL("filename",J1))+1,FIND("]",CELL("filename",J1))-FIND("[",CELL("filename",J1))-1)</f>
        <v>KO_CASH_YR.xlsx</v>
      </c>
      <c r="AH2" t="str">
        <f ca="1">_xlfn.CONCAT(LEFT(AG2,10),"-001")</f>
        <v>KO_CASH_YR-001</v>
      </c>
      <c r="AI2" s="10">
        <f t="shared" ref="AI2:AI41" ca="1" si="0">NOW()</f>
        <v>46089.95526145833</v>
      </c>
    </row>
    <row r="3" spans="1:35" x14ac:dyDescent="0.25">
      <c r="A3" s="2" t="str">
        <f>Lookup!A3</f>
        <v>KO</v>
      </c>
      <c r="B3" s="8">
        <f ca="1">Lookup!B3</f>
        <v>46089</v>
      </c>
      <c r="C3" s="2">
        <f>Lookup!C3</f>
        <v>2024</v>
      </c>
      <c r="D3" s="2">
        <f>Lookup!D3</f>
        <v>10649000000</v>
      </c>
      <c r="E3" s="2">
        <f>Lookup!E3</f>
        <v>1075000000</v>
      </c>
      <c r="F3" s="2">
        <f>Lookup!F3</f>
        <v>1315000000</v>
      </c>
      <c r="G3" s="2">
        <f>Lookup!G3</f>
        <v>2390000000</v>
      </c>
      <c r="H3" s="2">
        <f>Lookup!H3</f>
        <v>0</v>
      </c>
      <c r="I3" s="2">
        <f>Lookup!I3</f>
        <v>0</v>
      </c>
      <c r="J3" s="2">
        <f>Lookup!J3</f>
        <v>0</v>
      </c>
      <c r="K3" s="2">
        <f>Lookup!K3</f>
        <v>-6234000000</v>
      </c>
      <c r="L3" s="2">
        <f>Lookup!L3</f>
        <v>-6234000000</v>
      </c>
      <c r="M3" s="2">
        <f>Lookup!M3</f>
        <v>6805000000</v>
      </c>
      <c r="N3" s="2">
        <f>Lookup!N3</f>
        <v>-2024000000</v>
      </c>
      <c r="O3" s="2">
        <f>Lookup!O3</f>
        <v>0</v>
      </c>
      <c r="P3" s="2">
        <f>Lookup!P3</f>
        <v>3170000000</v>
      </c>
      <c r="Q3" s="2">
        <f>Lookup!Q3</f>
        <v>949000000</v>
      </c>
      <c r="R3" s="2">
        <f>Lookup!R3</f>
        <v>0</v>
      </c>
      <c r="S3" s="2">
        <f>Lookup!S3</f>
        <v>949000000</v>
      </c>
      <c r="T3" s="2">
        <f>Lookup!T3</f>
        <v>429000000</v>
      </c>
      <c r="U3" s="2">
        <f>Lookup!U3</f>
        <v>2524000000</v>
      </c>
      <c r="V3" s="2">
        <f>Lookup!V3</f>
        <v>2528000000</v>
      </c>
      <c r="W3" s="2">
        <f>Lookup!W3</f>
        <v>0</v>
      </c>
      <c r="X3" s="2">
        <f>Lookup!X3</f>
        <v>2528000000</v>
      </c>
      <c r="Y3" s="2">
        <f>Lookup!Y3</f>
        <v>-1048000000</v>
      </c>
      <c r="Z3" s="2">
        <f>Lookup!Z3</f>
        <v>-1048000000</v>
      </c>
      <c r="AA3" s="2">
        <f>Lookup!AA3</f>
        <v>-8359000000</v>
      </c>
      <c r="AB3" s="2">
        <f>Lookup!AB3</f>
        <v>-31000000</v>
      </c>
      <c r="AC3" s="2">
        <f>Lookup!AC3</f>
        <v>-6910000000</v>
      </c>
      <c r="AD3" s="2">
        <f>Lookup!AD3</f>
        <v>1136000000</v>
      </c>
      <c r="AE3" s="2">
        <f>Lookup!AE3</f>
        <v>286000000</v>
      </c>
      <c r="AF3" s="2">
        <f>Lookup!AF3</f>
        <v>-8359000000</v>
      </c>
      <c r="AG3" t="str" cm="1">
        <f t="array" aca="1" ref="AG3" ca="1">MID(CELL("filename",J2),FIND("[",CELL("filename",J2))+1,FIND("]",CELL("filename",J2))-FIND("[",CELL("filename",J2))-1)</f>
        <v>KO_CASH_YR.xlsx</v>
      </c>
      <c r="AH3" t="str">
        <f t="shared" ref="AH3:AH41" ca="1" si="1">_xlfn.CONCAT(LEFT(AG3,10),"-001")</f>
        <v>KO_CASH_YR-001</v>
      </c>
      <c r="AI3" s="10">
        <f t="shared" ca="1" si="0"/>
        <v>46089.95526145833</v>
      </c>
    </row>
    <row r="4" spans="1:35" x14ac:dyDescent="0.25">
      <c r="A4" s="2" t="str">
        <f>Lookup!A4</f>
        <v>KO</v>
      </c>
      <c r="B4" s="8">
        <f ca="1">Lookup!B4</f>
        <v>46089</v>
      </c>
      <c r="C4" s="2">
        <f>Lookup!C4</f>
        <v>2023</v>
      </c>
      <c r="D4" s="2">
        <f>Lookup!D4</f>
        <v>10703000000</v>
      </c>
      <c r="E4" s="2">
        <f>Lookup!E4</f>
        <v>1128000000</v>
      </c>
      <c r="F4" s="2">
        <f>Lookup!F4</f>
        <v>614000000</v>
      </c>
      <c r="G4" s="2">
        <f>Lookup!G4</f>
        <v>1742000000</v>
      </c>
      <c r="H4" s="2">
        <f>Lookup!H4</f>
        <v>0</v>
      </c>
      <c r="I4" s="2">
        <f>Lookup!I4</f>
        <v>0</v>
      </c>
      <c r="J4" s="2">
        <f>Lookup!J4</f>
        <v>0</v>
      </c>
      <c r="K4" s="2">
        <f>Lookup!K4</f>
        <v>-846000000</v>
      </c>
      <c r="L4" s="2">
        <f>Lookup!L4</f>
        <v>-846000000</v>
      </c>
      <c r="M4" s="2">
        <f>Lookup!M4</f>
        <v>11599000000</v>
      </c>
      <c r="N4" s="2">
        <f>Lookup!N4</f>
        <v>-1778000000</v>
      </c>
      <c r="O4" s="2">
        <f>Lookup!O4</f>
        <v>0</v>
      </c>
      <c r="P4" s="2">
        <f>Lookup!P4</f>
        <v>368000000</v>
      </c>
      <c r="Q4" s="2">
        <f>Lookup!Q4</f>
        <v>-2344000000</v>
      </c>
      <c r="R4" s="2">
        <f>Lookup!R4</f>
        <v>0</v>
      </c>
      <c r="S4" s="2">
        <f>Lookup!S4</f>
        <v>-2344000000</v>
      </c>
      <c r="T4" s="2">
        <f>Lookup!T4</f>
        <v>405000000</v>
      </c>
      <c r="U4" s="2">
        <f>Lookup!U4</f>
        <v>-3349000000</v>
      </c>
      <c r="V4" s="2">
        <f>Lookup!V4</f>
        <v>1857000000</v>
      </c>
      <c r="W4" s="2">
        <f>Lookup!W4</f>
        <v>0</v>
      </c>
      <c r="X4" s="2">
        <f>Lookup!X4</f>
        <v>1857000000</v>
      </c>
      <c r="Y4" s="2">
        <f>Lookup!Y4</f>
        <v>-1750000000</v>
      </c>
      <c r="Z4" s="2">
        <f>Lookup!Z4</f>
        <v>-1750000000</v>
      </c>
      <c r="AA4" s="2">
        <f>Lookup!AA4</f>
        <v>-7952000000</v>
      </c>
      <c r="AB4" s="2">
        <f>Lookup!AB4</f>
        <v>-465000000</v>
      </c>
      <c r="AC4" s="2">
        <f>Lookup!AC4</f>
        <v>-8310000000</v>
      </c>
      <c r="AD4" s="2">
        <f>Lookup!AD4</f>
        <v>-459000000</v>
      </c>
      <c r="AE4" s="2">
        <f>Lookup!AE4</f>
        <v>254000000</v>
      </c>
      <c r="AF4" s="2">
        <f>Lookup!AF4</f>
        <v>-7952000000</v>
      </c>
      <c r="AG4" t="str" cm="1">
        <f t="array" aca="1" ref="AG4" ca="1">MID(CELL("filename",J3),FIND("[",CELL("filename",J3))+1,FIND("]",CELL("filename",J3))-FIND("[",CELL("filename",J3))-1)</f>
        <v>KO_CASH_YR.xlsx</v>
      </c>
      <c r="AH4" t="str">
        <f t="shared" ca="1" si="1"/>
        <v>KO_CASH_YR-001</v>
      </c>
      <c r="AI4" s="10">
        <f t="shared" ca="1" si="0"/>
        <v>46089.95526145833</v>
      </c>
    </row>
    <row r="5" spans="1:35" x14ac:dyDescent="0.25">
      <c r="A5" s="2" t="str">
        <f>Lookup!A5</f>
        <v>KO</v>
      </c>
      <c r="B5" s="8">
        <f ca="1">Lookup!B5</f>
        <v>46089</v>
      </c>
      <c r="C5" s="2">
        <f>Lookup!C5</f>
        <v>2022</v>
      </c>
      <c r="D5" s="2">
        <f>Lookup!D5</f>
        <v>9571000000</v>
      </c>
      <c r="E5" s="2">
        <f>Lookup!E5</f>
        <v>1260000000</v>
      </c>
      <c r="F5" s="2">
        <f>Lookup!F5</f>
        <v>792000000</v>
      </c>
      <c r="G5" s="2">
        <f>Lookup!G5</f>
        <v>2052000000</v>
      </c>
      <c r="H5" s="2">
        <f>Lookup!H5</f>
        <v>0</v>
      </c>
      <c r="I5" s="2">
        <f>Lookup!I5</f>
        <v>0</v>
      </c>
      <c r="J5" s="2">
        <f>Lookup!J5</f>
        <v>0</v>
      </c>
      <c r="K5" s="2">
        <f>Lookup!K5</f>
        <v>-605000000</v>
      </c>
      <c r="L5" s="2">
        <f>Lookup!L5</f>
        <v>-605000000</v>
      </c>
      <c r="M5" s="2">
        <f>Lookup!M5</f>
        <v>11018000000</v>
      </c>
      <c r="N5" s="2">
        <f>Lookup!N5</f>
        <v>-1409000000</v>
      </c>
      <c r="O5" s="2">
        <f>Lookup!O5</f>
        <v>0</v>
      </c>
      <c r="P5" s="2">
        <f>Lookup!P5</f>
        <v>385000000</v>
      </c>
      <c r="Q5" s="2">
        <f>Lookup!Q5</f>
        <v>1020000000</v>
      </c>
      <c r="R5" s="2">
        <f>Lookup!R5</f>
        <v>0</v>
      </c>
      <c r="S5" s="2">
        <f>Lookup!S5</f>
        <v>1020000000</v>
      </c>
      <c r="T5" s="2">
        <f>Lookup!T5</f>
        <v>-759000000</v>
      </c>
      <c r="U5" s="2">
        <f>Lookup!U5</f>
        <v>-763000000</v>
      </c>
      <c r="V5" s="2">
        <f>Lookup!V5</f>
        <v>-958000000</v>
      </c>
      <c r="W5" s="2">
        <f>Lookup!W5</f>
        <v>0</v>
      </c>
      <c r="X5" s="2">
        <f>Lookup!X5</f>
        <v>-958000000</v>
      </c>
      <c r="Y5" s="2">
        <f>Lookup!Y5</f>
        <v>-581000000</v>
      </c>
      <c r="Z5" s="2">
        <f>Lookup!Z5</f>
        <v>-581000000</v>
      </c>
      <c r="AA5" s="2">
        <f>Lookup!AA5</f>
        <v>-7616000000</v>
      </c>
      <c r="AB5" s="2">
        <f>Lookup!AB5</f>
        <v>-1095000000</v>
      </c>
      <c r="AC5" s="2">
        <f>Lookup!AC5</f>
        <v>-10250000000</v>
      </c>
      <c r="AD5" s="2">
        <f>Lookup!AD5</f>
        <v>-506000000</v>
      </c>
      <c r="AE5" s="2">
        <f>Lookup!AE5</f>
        <v>356000000</v>
      </c>
      <c r="AF5" s="2">
        <f>Lookup!AF5</f>
        <v>-7616000000</v>
      </c>
      <c r="AG5" t="str" cm="1">
        <f t="array" aca="1" ref="AG5" ca="1">MID(CELL("filename",J4),FIND("[",CELL("filename",J4))+1,FIND("]",CELL("filename",J4))-FIND("[",CELL("filename",J4))-1)</f>
        <v>KO_CASH_YR.xlsx</v>
      </c>
      <c r="AH5" t="str">
        <f t="shared" ca="1" si="1"/>
        <v>KO_CASH_YR-001</v>
      </c>
      <c r="AI5" s="10">
        <f t="shared" ca="1" si="0"/>
        <v>46089.95526145833</v>
      </c>
    </row>
    <row r="6" spans="1:35" x14ac:dyDescent="0.25">
      <c r="A6" s="2" t="str">
        <f>Lookup!A6</f>
        <v>KO</v>
      </c>
      <c r="B6" s="8">
        <f ca="1">Lookup!B6</f>
        <v>46089</v>
      </c>
      <c r="C6" s="2">
        <f>Lookup!C6</f>
        <v>2021</v>
      </c>
      <c r="D6" s="2">
        <f>Lookup!D6</f>
        <v>9804000000</v>
      </c>
      <c r="E6" s="2">
        <f>Lookup!E6</f>
        <v>1452000000</v>
      </c>
      <c r="F6" s="2">
        <f>Lookup!F6</f>
        <v>44000000</v>
      </c>
      <c r="G6" s="2">
        <f>Lookup!G6</f>
        <v>1496000000</v>
      </c>
      <c r="H6" s="2">
        <f>Lookup!H6</f>
        <v>0</v>
      </c>
      <c r="I6" s="2">
        <f>Lookup!I6</f>
        <v>0</v>
      </c>
      <c r="J6" s="2">
        <f>Lookup!J6</f>
        <v>0</v>
      </c>
      <c r="K6" s="2">
        <f>Lookup!K6</f>
        <v>1325000000</v>
      </c>
      <c r="L6" s="2">
        <f>Lookup!L6</f>
        <v>1325000000</v>
      </c>
      <c r="M6" s="2">
        <f>Lookup!M6</f>
        <v>12625000000</v>
      </c>
      <c r="N6" s="2">
        <f>Lookup!N6</f>
        <v>-1259000000</v>
      </c>
      <c r="O6" s="2">
        <f>Lookup!O6</f>
        <v>0</v>
      </c>
      <c r="P6" s="2">
        <f>Lookup!P6</f>
        <v>-2586000000</v>
      </c>
      <c r="Q6" s="2">
        <f>Lookup!Q6</f>
        <v>1029000000</v>
      </c>
      <c r="R6" s="2">
        <f>Lookup!R6</f>
        <v>0</v>
      </c>
      <c r="S6" s="2">
        <f>Lookup!S6</f>
        <v>1029000000</v>
      </c>
      <c r="T6" s="2">
        <f>Lookup!T6</f>
        <v>51000000</v>
      </c>
      <c r="U6" s="2">
        <f>Lookup!U6</f>
        <v>-2765000000</v>
      </c>
      <c r="V6" s="2">
        <f>Lookup!V6</f>
        <v>228000000</v>
      </c>
      <c r="W6" s="2">
        <f>Lookup!W6</f>
        <v>0</v>
      </c>
      <c r="X6" s="2">
        <f>Lookup!X6</f>
        <v>228000000</v>
      </c>
      <c r="Y6" s="2">
        <f>Lookup!Y6</f>
        <v>591000000</v>
      </c>
      <c r="Z6" s="2">
        <f>Lookup!Z6</f>
        <v>591000000</v>
      </c>
      <c r="AA6" s="2">
        <f>Lookup!AA6</f>
        <v>-7252000000</v>
      </c>
      <c r="AB6" s="2">
        <f>Lookup!AB6</f>
        <v>-353000000</v>
      </c>
      <c r="AC6" s="2">
        <f>Lookup!AC6</f>
        <v>-6786000000</v>
      </c>
      <c r="AD6" s="2">
        <f>Lookup!AD6</f>
        <v>2574000000</v>
      </c>
      <c r="AE6" s="2">
        <f>Lookup!AE6</f>
        <v>337000000</v>
      </c>
      <c r="AF6" s="2">
        <f>Lookup!AF6</f>
        <v>-7252000000</v>
      </c>
      <c r="AG6" t="str" cm="1">
        <f t="array" aca="1" ref="AG6" ca="1">MID(CELL("filename",J5),FIND("[",CELL("filename",J5))+1,FIND("]",CELL("filename",J5))-FIND("[",CELL("filename",J5))-1)</f>
        <v>KO_CASH_YR.xlsx</v>
      </c>
      <c r="AH6" t="str">
        <f t="shared" ca="1" si="1"/>
        <v>KO_CASH_YR-001</v>
      </c>
      <c r="AI6" s="10">
        <f t="shared" ca="1" si="0"/>
        <v>46089.95526145833</v>
      </c>
    </row>
    <row r="7" spans="1:35" x14ac:dyDescent="0.25">
      <c r="A7" s="2" t="str">
        <f>Lookup!A7</f>
        <v>KO</v>
      </c>
      <c r="B7" s="8">
        <f ca="1">Lookup!B7</f>
        <v>46089</v>
      </c>
      <c r="C7" s="2">
        <f>Lookup!C7</f>
        <v>2020</v>
      </c>
      <c r="D7" s="2">
        <f>Lookup!D7</f>
        <v>7768000000</v>
      </c>
      <c r="E7" s="2">
        <f>Lookup!E7</f>
        <v>1536000000</v>
      </c>
      <c r="F7" s="2">
        <f>Lookup!F7</f>
        <v>-150000000</v>
      </c>
      <c r="G7" s="2">
        <f>Lookup!G7</f>
        <v>1386000000</v>
      </c>
      <c r="H7" s="2">
        <f>Lookup!H7</f>
        <v>0</v>
      </c>
      <c r="I7" s="2">
        <f>Lookup!I7</f>
        <v>0</v>
      </c>
      <c r="J7" s="2">
        <f>Lookup!J7</f>
        <v>0</v>
      </c>
      <c r="K7" s="2">
        <f>Lookup!K7</f>
        <v>690000000</v>
      </c>
      <c r="L7" s="2">
        <f>Lookup!L7</f>
        <v>690000000</v>
      </c>
      <c r="M7" s="2">
        <f>Lookup!M7</f>
        <v>9844000000</v>
      </c>
      <c r="N7" s="2">
        <f>Lookup!N7</f>
        <v>-988000000</v>
      </c>
      <c r="O7" s="2">
        <f>Lookup!O7</f>
        <v>0</v>
      </c>
      <c r="P7" s="2">
        <f>Lookup!P7</f>
        <v>-863000000</v>
      </c>
      <c r="Q7" s="2">
        <f>Lookup!Q7</f>
        <v>252000000</v>
      </c>
      <c r="R7" s="2">
        <f>Lookup!R7</f>
        <v>0</v>
      </c>
      <c r="S7" s="2">
        <f>Lookup!S7</f>
        <v>252000000</v>
      </c>
      <c r="T7" s="2">
        <f>Lookup!T7</f>
        <v>122000000</v>
      </c>
      <c r="U7" s="2">
        <f>Lookup!U7</f>
        <v>-1477000000</v>
      </c>
      <c r="V7" s="2">
        <f>Lookup!V7</f>
        <v>-1862000000</v>
      </c>
      <c r="W7" s="2">
        <f>Lookup!W7</f>
        <v>0</v>
      </c>
      <c r="X7" s="2">
        <f>Lookup!X7</f>
        <v>-1862000000</v>
      </c>
      <c r="Y7" s="2">
        <f>Lookup!Y7</f>
        <v>529000000</v>
      </c>
      <c r="Z7" s="2">
        <f>Lookup!Z7</f>
        <v>529000000</v>
      </c>
      <c r="AA7" s="2">
        <f>Lookup!AA7</f>
        <v>-7047000000</v>
      </c>
      <c r="AB7" s="2">
        <f>Lookup!AB7</f>
        <v>310000000</v>
      </c>
      <c r="AC7" s="2">
        <f>Lookup!AC7</f>
        <v>-8070000000</v>
      </c>
      <c r="AD7" s="2">
        <f>Lookup!AD7</f>
        <v>58000000</v>
      </c>
      <c r="AE7" s="2">
        <f>Lookup!AE7</f>
        <v>126000000</v>
      </c>
      <c r="AF7" s="2">
        <f>Lookup!AF7</f>
        <v>-7047000000</v>
      </c>
      <c r="AG7" t="str" cm="1">
        <f t="array" aca="1" ref="AG7" ca="1">MID(CELL("filename",J6),FIND("[",CELL("filename",J6))+1,FIND("]",CELL("filename",J6))-FIND("[",CELL("filename",J6))-1)</f>
        <v>KO_CASH_YR.xlsx</v>
      </c>
      <c r="AH7" t="str">
        <f t="shared" ca="1" si="1"/>
        <v>KO_CASH_YR-001</v>
      </c>
      <c r="AI7" s="10">
        <f t="shared" ca="1" si="0"/>
        <v>46089.95526145833</v>
      </c>
    </row>
    <row r="8" spans="1:35" x14ac:dyDescent="0.25">
      <c r="A8" s="2" t="str">
        <f>Lookup!A8</f>
        <v>KO</v>
      </c>
      <c r="B8" s="8">
        <f ca="1">Lookup!B8</f>
        <v>46089</v>
      </c>
      <c r="C8" s="2">
        <f>Lookup!C8</f>
        <v>2019</v>
      </c>
      <c r="D8" s="2">
        <f>Lookup!D8</f>
        <v>8985000000</v>
      </c>
      <c r="E8" s="2">
        <f>Lookup!E8</f>
        <v>1365000000</v>
      </c>
      <c r="F8" s="2">
        <f>Lookup!F8</f>
        <v>-245000000</v>
      </c>
      <c r="G8" s="2">
        <f>Lookup!G8</f>
        <v>1120000000</v>
      </c>
      <c r="H8" s="2">
        <f>Lookup!H8</f>
        <v>0</v>
      </c>
      <c r="I8" s="2">
        <f>Lookup!I8</f>
        <v>0</v>
      </c>
      <c r="J8" s="2">
        <f>Lookup!J8</f>
        <v>0</v>
      </c>
      <c r="K8" s="2">
        <f>Lookup!K8</f>
        <v>366000000</v>
      </c>
      <c r="L8" s="2">
        <f>Lookup!L8</f>
        <v>366000000</v>
      </c>
      <c r="M8" s="2">
        <f>Lookup!M8</f>
        <v>10471000000</v>
      </c>
      <c r="N8" s="2">
        <f>Lookup!N8</f>
        <v>-1076000000</v>
      </c>
      <c r="O8" s="2">
        <f>Lookup!O8</f>
        <v>0</v>
      </c>
      <c r="P8" s="2">
        <f>Lookup!P8</f>
        <v>-5113000000</v>
      </c>
      <c r="Q8" s="2">
        <f>Lookup!Q8</f>
        <v>-4704000000</v>
      </c>
      <c r="R8" s="2">
        <f>Lookup!R8</f>
        <v>6973000000</v>
      </c>
      <c r="S8" s="2">
        <f>Lookup!S8</f>
        <v>2269000000</v>
      </c>
      <c r="T8" s="2">
        <f>Lookup!T8</f>
        <v>-56000000</v>
      </c>
      <c r="U8" s="2">
        <f>Lookup!U8</f>
        <v>-3976000000</v>
      </c>
      <c r="V8" s="2">
        <f>Lookup!V8</f>
        <v>-1841000000</v>
      </c>
      <c r="W8" s="2">
        <f>Lookup!W8</f>
        <v>0</v>
      </c>
      <c r="X8" s="2">
        <f>Lookup!X8</f>
        <v>-1841000000</v>
      </c>
      <c r="Y8" s="2">
        <f>Lookup!Y8</f>
        <v>-91000000</v>
      </c>
      <c r="Z8" s="2">
        <f>Lookup!Z8</f>
        <v>-91000000</v>
      </c>
      <c r="AA8" s="2">
        <f>Lookup!AA8</f>
        <v>-6845000000</v>
      </c>
      <c r="AB8" s="2">
        <f>Lookup!AB8</f>
        <v>-227000000</v>
      </c>
      <c r="AC8" s="2">
        <f>Lookup!AC8</f>
        <v>-9004000000</v>
      </c>
      <c r="AD8" s="2">
        <f>Lookup!AD8</f>
        <v>-2838000000</v>
      </c>
      <c r="AE8" s="2">
        <f>Lookup!AE8</f>
        <v>201000000</v>
      </c>
      <c r="AF8" s="2">
        <f>Lookup!AF8</f>
        <v>-6845000000</v>
      </c>
      <c r="AG8" t="str" cm="1">
        <f t="array" aca="1" ref="AG8" ca="1">MID(CELL("filename",J7),FIND("[",CELL("filename",J7))+1,FIND("]",CELL("filename",J7))-FIND("[",CELL("filename",J7))-1)</f>
        <v>KO_CASH_YR.xlsx</v>
      </c>
      <c r="AH8" t="str">
        <f t="shared" ca="1" si="1"/>
        <v>KO_CASH_YR-001</v>
      </c>
      <c r="AI8" s="10">
        <f t="shared" ca="1" si="0"/>
        <v>46089.95526145833</v>
      </c>
    </row>
    <row r="9" spans="1:35" x14ac:dyDescent="0.25">
      <c r="A9" s="2" t="str">
        <f>Lookup!A9</f>
        <v>KO</v>
      </c>
      <c r="B9" s="8">
        <f ca="1">Lookup!B9</f>
        <v>46089</v>
      </c>
      <c r="C9" s="2">
        <f>Lookup!C9</f>
        <v>2018</v>
      </c>
      <c r="D9" s="2">
        <f>Lookup!D9</f>
        <v>6476000000</v>
      </c>
      <c r="E9" s="2">
        <f>Lookup!E9</f>
        <v>1086000000</v>
      </c>
      <c r="F9" s="2">
        <f>Lookup!F9</f>
        <v>1305000000</v>
      </c>
      <c r="G9" s="2">
        <f>Lookup!G9</f>
        <v>2391000000</v>
      </c>
      <c r="H9" s="2">
        <f>Lookup!H9</f>
        <v>0</v>
      </c>
      <c r="I9" s="2">
        <f>Lookup!I9</f>
        <v>0</v>
      </c>
      <c r="J9" s="2">
        <f>Lookup!J9</f>
        <v>0</v>
      </c>
      <c r="K9" s="2">
        <f>Lookup!K9</f>
        <v>-1240000000</v>
      </c>
      <c r="L9" s="2">
        <f>Lookup!L9</f>
        <v>-1240000000</v>
      </c>
      <c r="M9" s="2">
        <f>Lookup!M9</f>
        <v>7627000000</v>
      </c>
      <c r="N9" s="2">
        <f>Lookup!N9</f>
        <v>-1300000000</v>
      </c>
      <c r="O9" s="2">
        <f>Lookup!O9</f>
        <v>0</v>
      </c>
      <c r="P9" s="2">
        <f>Lookup!P9</f>
        <v>99000000</v>
      </c>
      <c r="Q9" s="2">
        <f>Lookup!Q9</f>
        <v>7188000000</v>
      </c>
      <c r="R9" s="2">
        <f>Lookup!R9</f>
        <v>0</v>
      </c>
      <c r="S9" s="2">
        <f>Lookup!S9</f>
        <v>7188000000</v>
      </c>
      <c r="T9" s="2">
        <f>Lookup!T9</f>
        <v>-60000000</v>
      </c>
      <c r="U9" s="2">
        <f>Lookup!U9</f>
        <v>5927000000</v>
      </c>
      <c r="V9" s="2">
        <f>Lookup!V9</f>
        <v>-2995000000</v>
      </c>
      <c r="W9" s="2">
        <f>Lookup!W9</f>
        <v>0</v>
      </c>
      <c r="X9" s="2">
        <f>Lookup!X9</f>
        <v>-2995000000</v>
      </c>
      <c r="Y9" s="2">
        <f>Lookup!Y9</f>
        <v>-436000000</v>
      </c>
      <c r="Z9" s="2">
        <f>Lookup!Z9</f>
        <v>-436000000</v>
      </c>
      <c r="AA9" s="2">
        <f>Lookup!AA9</f>
        <v>-6644000000</v>
      </c>
      <c r="AB9" s="2">
        <f>Lookup!AB9</f>
        <v>-272000000</v>
      </c>
      <c r="AC9" s="2">
        <f>Lookup!AC9</f>
        <v>-10347000000</v>
      </c>
      <c r="AD9" s="2">
        <f>Lookup!AD9</f>
        <v>2704000000</v>
      </c>
      <c r="AE9" s="2">
        <f>Lookup!AE9</f>
        <v>225000000</v>
      </c>
      <c r="AF9" s="2">
        <f>Lookup!AF9</f>
        <v>-6644000000</v>
      </c>
      <c r="AG9" t="str" cm="1">
        <f t="array" aca="1" ref="AG9" ca="1">MID(CELL("filename",J8),FIND("[",CELL("filename",J8))+1,FIND("]",CELL("filename",J8))-FIND("[",CELL("filename",J8))-1)</f>
        <v>KO_CASH_YR.xlsx</v>
      </c>
      <c r="AH9" t="str">
        <f t="shared" ca="1" si="1"/>
        <v>KO_CASH_YR-001</v>
      </c>
      <c r="AI9" s="10">
        <f t="shared" ca="1" si="0"/>
        <v>46089.95526145833</v>
      </c>
    </row>
    <row r="10" spans="1:35" x14ac:dyDescent="0.25">
      <c r="A10" s="2" t="str">
        <f>Lookup!A10</f>
        <v>KO</v>
      </c>
      <c r="B10" s="8">
        <f ca="1">Lookup!B10</f>
        <v>46089</v>
      </c>
      <c r="C10" s="2">
        <f>Lookup!C10</f>
        <v>2017</v>
      </c>
      <c r="D10" s="2">
        <f>Lookup!D10</f>
        <v>1283000000</v>
      </c>
      <c r="E10" s="2">
        <f>Lookup!E10</f>
        <v>1260000000</v>
      </c>
      <c r="F10" s="2">
        <f>Lookup!F10</f>
        <v>1056000000</v>
      </c>
      <c r="G10" s="2">
        <f>Lookup!G10</f>
        <v>2316000000</v>
      </c>
      <c r="H10" s="2">
        <f>Lookup!H10</f>
        <v>0</v>
      </c>
      <c r="I10" s="2">
        <f>Lookup!I10</f>
        <v>0</v>
      </c>
      <c r="J10" s="2">
        <f>Lookup!J10</f>
        <v>0</v>
      </c>
      <c r="K10" s="2">
        <f>Lookup!K10</f>
        <v>3442000000</v>
      </c>
      <c r="L10" s="2">
        <f>Lookup!L10</f>
        <v>3442000000</v>
      </c>
      <c r="M10" s="2">
        <f>Lookup!M10</f>
        <v>7041000000</v>
      </c>
      <c r="N10" s="2">
        <f>Lookup!N10</f>
        <v>-1642000000</v>
      </c>
      <c r="O10" s="2">
        <f>Lookup!O10</f>
        <v>0</v>
      </c>
      <c r="P10" s="2">
        <f>Lookup!P10</f>
        <v>12000000</v>
      </c>
      <c r="Q10" s="2">
        <f>Lookup!Q10</f>
        <v>-602000000</v>
      </c>
      <c r="R10" s="2">
        <f>Lookup!R10</f>
        <v>0</v>
      </c>
      <c r="S10" s="2">
        <f>Lookup!S10</f>
        <v>-602000000</v>
      </c>
      <c r="T10" s="2">
        <f>Lookup!T10</f>
        <v>-80000000</v>
      </c>
      <c r="U10" s="2">
        <f>Lookup!U10</f>
        <v>-2312000000</v>
      </c>
      <c r="V10" s="2">
        <f>Lookup!V10</f>
        <v>1055000000</v>
      </c>
      <c r="W10" s="2">
        <f>Lookup!W10</f>
        <v>0</v>
      </c>
      <c r="X10" s="2">
        <f>Lookup!X10</f>
        <v>1055000000</v>
      </c>
      <c r="Y10" s="2">
        <f>Lookup!Y10</f>
        <v>-2087000000</v>
      </c>
      <c r="Z10" s="2">
        <f>Lookup!Z10</f>
        <v>-2087000000</v>
      </c>
      <c r="AA10" s="2">
        <f>Lookup!AA10</f>
        <v>-6320000000</v>
      </c>
      <c r="AB10" s="2">
        <f>Lookup!AB10</f>
        <v>-95000000</v>
      </c>
      <c r="AC10" s="2">
        <f>Lookup!AC10</f>
        <v>-7447000000</v>
      </c>
      <c r="AD10" s="2">
        <f>Lookup!AD10</f>
        <v>-2748000000</v>
      </c>
      <c r="AE10" s="2">
        <f>Lookup!AE10</f>
        <v>219000000</v>
      </c>
      <c r="AF10" s="2">
        <f>Lookup!AF10</f>
        <v>-6320000000</v>
      </c>
      <c r="AG10" t="str" cm="1">
        <f t="array" aca="1" ref="AG10" ca="1">MID(CELL("filename",J9),FIND("[",CELL("filename",J9))+1,FIND("]",CELL("filename",J9))-FIND("[",CELL("filename",J9))-1)</f>
        <v>KO_CASH_YR.xlsx</v>
      </c>
      <c r="AH10" t="str">
        <f t="shared" ca="1" si="1"/>
        <v>KO_CASH_YR-001</v>
      </c>
      <c r="AI10" s="10">
        <f t="shared" ca="1" si="0"/>
        <v>46089.95526145833</v>
      </c>
    </row>
    <row r="11" spans="1:35" x14ac:dyDescent="0.25">
      <c r="A11" s="2" t="str">
        <f>Lookup!A11</f>
        <v>KO</v>
      </c>
      <c r="B11" s="8">
        <f ca="1">Lookup!B11</f>
        <v>46089</v>
      </c>
      <c r="C11" s="2">
        <f>Lookup!C11</f>
        <v>2016</v>
      </c>
      <c r="D11" s="2">
        <f>Lookup!D11</f>
        <v>6550000000</v>
      </c>
      <c r="E11" s="2">
        <f>Lookup!E11</f>
        <v>1787000000</v>
      </c>
      <c r="F11" s="2">
        <f>Lookup!F11</f>
        <v>680000000</v>
      </c>
      <c r="G11" s="2">
        <f>Lookup!G11</f>
        <v>2467000000</v>
      </c>
      <c r="H11" s="2">
        <f>Lookup!H11</f>
        <v>0</v>
      </c>
      <c r="I11" s="2">
        <f>Lookup!I11</f>
        <v>0</v>
      </c>
      <c r="J11" s="2">
        <f>Lookup!J11</f>
        <v>0</v>
      </c>
      <c r="K11" s="2">
        <f>Lookup!K11</f>
        <v>-225000000</v>
      </c>
      <c r="L11" s="2">
        <f>Lookup!L11</f>
        <v>-225000000</v>
      </c>
      <c r="M11" s="2">
        <f>Lookup!M11</f>
        <v>8792000000</v>
      </c>
      <c r="N11" s="2">
        <f>Lookup!N11</f>
        <v>-2112000000</v>
      </c>
      <c r="O11" s="2">
        <f>Lookup!O11</f>
        <v>0</v>
      </c>
      <c r="P11" s="2">
        <f>Lookup!P11</f>
        <v>197000000</v>
      </c>
      <c r="Q11" s="2">
        <f>Lookup!Q11</f>
        <v>1216000000</v>
      </c>
      <c r="R11" s="2">
        <f>Lookup!R11</f>
        <v>0</v>
      </c>
      <c r="S11" s="2">
        <f>Lookup!S11</f>
        <v>1216000000</v>
      </c>
      <c r="T11" s="2">
        <f>Lookup!T11</f>
        <v>-305000000</v>
      </c>
      <c r="U11" s="2">
        <f>Lookup!U11</f>
        <v>-1004000000</v>
      </c>
      <c r="V11" s="2">
        <f>Lookup!V11</f>
        <v>1666000000</v>
      </c>
      <c r="W11" s="2">
        <f>Lookup!W11</f>
        <v>0</v>
      </c>
      <c r="X11" s="2">
        <f>Lookup!X11</f>
        <v>1666000000</v>
      </c>
      <c r="Y11" s="2">
        <f>Lookup!Y11</f>
        <v>-2247000000</v>
      </c>
      <c r="Z11" s="2">
        <f>Lookup!Z11</f>
        <v>-2247000000</v>
      </c>
      <c r="AA11" s="2">
        <f>Lookup!AA11</f>
        <v>-6043000000</v>
      </c>
      <c r="AB11" s="2">
        <f>Lookup!AB11</f>
        <v>79000000</v>
      </c>
      <c r="AC11" s="2">
        <f>Lookup!AC11</f>
        <v>-6545000000</v>
      </c>
      <c r="AD11" s="2">
        <f>Lookup!AD11</f>
        <v>943000000</v>
      </c>
      <c r="AE11" s="2">
        <f>Lookup!AE11</f>
        <v>258000000</v>
      </c>
      <c r="AF11" s="2">
        <f>Lookup!AF11</f>
        <v>-6043000000</v>
      </c>
      <c r="AG11" t="str" cm="1">
        <f t="array" aca="1" ref="AG11" ca="1">MID(CELL("filename",J10),FIND("[",CELL("filename",J10))+1,FIND("]",CELL("filename",J10))-FIND("[",CELL("filename",J10))-1)</f>
        <v>KO_CASH_YR.xlsx</v>
      </c>
      <c r="AH11" t="str">
        <f t="shared" ca="1" si="1"/>
        <v>KO_CASH_YR-001</v>
      </c>
      <c r="AI11" s="10">
        <f t="shared" ca="1" si="0"/>
        <v>46089.95526145833</v>
      </c>
    </row>
    <row r="12" spans="1:35" x14ac:dyDescent="0.25">
      <c r="A12" s="2" t="str">
        <f>Lookup!A12</f>
        <v>KO</v>
      </c>
      <c r="B12" s="8">
        <f ca="1">Lookup!B12</f>
        <v>46089</v>
      </c>
      <c r="C12" s="2">
        <f>Lookup!C12</f>
        <v>2015</v>
      </c>
      <c r="D12" s="2">
        <f>Lookup!D12</f>
        <v>7366000000</v>
      </c>
      <c r="E12" s="2">
        <f>Lookup!E12</f>
        <v>1970000000</v>
      </c>
      <c r="F12" s="2">
        <f>Lookup!F12</f>
        <v>1349000000</v>
      </c>
      <c r="G12" s="2">
        <f>Lookup!G12</f>
        <v>3319000000</v>
      </c>
      <c r="H12" s="2">
        <f>Lookup!H12</f>
        <v>0</v>
      </c>
      <c r="I12" s="2">
        <f>Lookup!I12</f>
        <v>0</v>
      </c>
      <c r="J12" s="2">
        <f>Lookup!J12</f>
        <v>0</v>
      </c>
      <c r="K12" s="2">
        <f>Lookup!K12</f>
        <v>-157000000</v>
      </c>
      <c r="L12" s="2">
        <f>Lookup!L12</f>
        <v>-157000000</v>
      </c>
      <c r="M12" s="2">
        <f>Lookup!M12</f>
        <v>10528000000</v>
      </c>
      <c r="N12" s="2">
        <f>Lookup!N12</f>
        <v>-2468000000</v>
      </c>
      <c r="O12" s="2">
        <f>Lookup!O12</f>
        <v>0</v>
      </c>
      <c r="P12" s="2">
        <f>Lookup!P12</f>
        <v>-1926000000</v>
      </c>
      <c r="Q12" s="2">
        <f>Lookup!Q12</f>
        <v>-1752000000</v>
      </c>
      <c r="R12" s="2">
        <f>Lookup!R12</f>
        <v>0</v>
      </c>
      <c r="S12" s="2">
        <f>Lookup!S12</f>
        <v>-1752000000</v>
      </c>
      <c r="T12" s="2">
        <f>Lookup!T12</f>
        <v>-40000000</v>
      </c>
      <c r="U12" s="2">
        <f>Lookup!U12</f>
        <v>-6186000000</v>
      </c>
      <c r="V12" s="2">
        <f>Lookup!V12</f>
        <v>2696000000</v>
      </c>
      <c r="W12" s="2">
        <f>Lookup!W12</f>
        <v>0</v>
      </c>
      <c r="X12" s="2">
        <f>Lookup!X12</f>
        <v>2696000000</v>
      </c>
      <c r="Y12" s="2">
        <f>Lookup!Y12</f>
        <v>-2319000000</v>
      </c>
      <c r="Z12" s="2">
        <f>Lookup!Z12</f>
        <v>-2319000000</v>
      </c>
      <c r="AA12" s="2">
        <f>Lookup!AA12</f>
        <v>-5741000000</v>
      </c>
      <c r="AB12" s="2">
        <f>Lookup!AB12</f>
        <v>251000000</v>
      </c>
      <c r="AC12" s="2">
        <f>Lookup!AC12</f>
        <v>-5113000000</v>
      </c>
      <c r="AD12" s="2">
        <f>Lookup!AD12</f>
        <v>-1649000000</v>
      </c>
      <c r="AE12" s="2">
        <f>Lookup!AE12</f>
        <v>236000000</v>
      </c>
      <c r="AF12" s="2">
        <f>Lookup!AF12</f>
        <v>-5741000000</v>
      </c>
      <c r="AG12" t="str" cm="1">
        <f t="array" aca="1" ref="AG12" ca="1">MID(CELL("filename",J11),FIND("[",CELL("filename",J11))+1,FIND("]",CELL("filename",J11))-FIND("[",CELL("filename",J11))-1)</f>
        <v>KO_CASH_YR.xlsx</v>
      </c>
      <c r="AH12" t="str">
        <f t="shared" ca="1" si="1"/>
        <v>KO_CASH_YR-001</v>
      </c>
      <c r="AI12" s="10">
        <f t="shared" ca="1" si="0"/>
        <v>46089.95526145833</v>
      </c>
    </row>
    <row r="13" spans="1:35" x14ac:dyDescent="0.25">
      <c r="A13" s="2" t="str">
        <f>Lookup!A13</f>
        <v>KO</v>
      </c>
      <c r="B13" s="8">
        <f ca="1">Lookup!B13</f>
        <v>46089</v>
      </c>
      <c r="C13" s="2">
        <f>Lookup!C13</f>
        <v>2014</v>
      </c>
      <c r="D13" s="2">
        <f>Lookup!D13</f>
        <v>7124000000</v>
      </c>
      <c r="E13" s="2">
        <f>Lookup!E13</f>
        <v>1976000000</v>
      </c>
      <c r="F13" s="2">
        <f>Lookup!F13</f>
        <v>1954000000</v>
      </c>
      <c r="G13" s="2">
        <f>Lookup!G13</f>
        <v>3930000000</v>
      </c>
      <c r="H13" s="2">
        <f>Lookup!H13</f>
        <v>0</v>
      </c>
      <c r="I13" s="2">
        <f>Lookup!I13</f>
        <v>0</v>
      </c>
      <c r="J13" s="2">
        <f>Lookup!J13</f>
        <v>0</v>
      </c>
      <c r="K13" s="2">
        <f>Lookup!K13</f>
        <v>-439000000</v>
      </c>
      <c r="L13" s="2">
        <f>Lookup!L13</f>
        <v>-439000000</v>
      </c>
      <c r="M13" s="2">
        <f>Lookup!M13</f>
        <v>10615000000</v>
      </c>
      <c r="N13" s="2">
        <f>Lookup!N13</f>
        <v>-2183000000</v>
      </c>
      <c r="O13" s="2">
        <f>Lookup!O13</f>
        <v>0</v>
      </c>
      <c r="P13" s="2">
        <f>Lookup!P13</f>
        <v>-241000000</v>
      </c>
      <c r="Q13" s="2">
        <f>Lookup!Q13</f>
        <v>-4814000000</v>
      </c>
      <c r="R13" s="2">
        <f>Lookup!R13</f>
        <v>0</v>
      </c>
      <c r="S13" s="2">
        <f>Lookup!S13</f>
        <v>-4814000000</v>
      </c>
      <c r="T13" s="2">
        <f>Lookup!T13</f>
        <v>-268000000</v>
      </c>
      <c r="U13" s="2">
        <f>Lookup!U13</f>
        <v>-7506000000</v>
      </c>
      <c r="V13" s="2">
        <f>Lookup!V13</f>
        <v>4712000000</v>
      </c>
      <c r="W13" s="2">
        <f>Lookup!W13</f>
        <v>0</v>
      </c>
      <c r="X13" s="2">
        <f>Lookup!X13</f>
        <v>4712000000</v>
      </c>
      <c r="Y13" s="2">
        <f>Lookup!Y13</f>
        <v>-2630000000</v>
      </c>
      <c r="Z13" s="2">
        <f>Lookup!Z13</f>
        <v>-2630000000</v>
      </c>
      <c r="AA13" s="2">
        <f>Lookup!AA13</f>
        <v>-5350000000</v>
      </c>
      <c r="AB13" s="2">
        <f>Lookup!AB13</f>
        <v>-363000000</v>
      </c>
      <c r="AC13" s="2">
        <f>Lookup!AC13</f>
        <v>-3631000000</v>
      </c>
      <c r="AD13" s="2">
        <f>Lookup!AD13</f>
        <v>-1456000000</v>
      </c>
      <c r="AE13" s="2">
        <f>Lookup!AE13</f>
        <v>209000000</v>
      </c>
      <c r="AF13" s="2">
        <f>Lookup!AF13</f>
        <v>-5350000000</v>
      </c>
      <c r="AG13" t="str" cm="1">
        <f t="array" aca="1" ref="AG13" ca="1">MID(CELL("filename",J12),FIND("[",CELL("filename",J12))+1,FIND("]",CELL("filename",J12))-FIND("[",CELL("filename",J12))-1)</f>
        <v>KO_CASH_YR.xlsx</v>
      </c>
      <c r="AH13" t="str">
        <f t="shared" ca="1" si="1"/>
        <v>KO_CASH_YR-001</v>
      </c>
      <c r="AI13" s="10">
        <f t="shared" ca="1" si="0"/>
        <v>46089.95526145833</v>
      </c>
    </row>
    <row r="14" spans="1:35" x14ac:dyDescent="0.25">
      <c r="A14" s="2" t="str">
        <f>Lookup!A14</f>
        <v>KO</v>
      </c>
      <c r="B14" s="8">
        <f ca="1">Lookup!B14</f>
        <v>46089</v>
      </c>
      <c r="C14" s="2">
        <f>Lookup!C14</f>
        <v>2013</v>
      </c>
      <c r="D14" s="2">
        <f>Lookup!D14</f>
        <v>8626000000</v>
      </c>
      <c r="E14" s="2">
        <f>Lookup!E14</f>
        <v>1977000000</v>
      </c>
      <c r="F14" s="2">
        <f>Lookup!F14</f>
        <v>871000000</v>
      </c>
      <c r="G14" s="2">
        <f>Lookup!G14</f>
        <v>2848000000</v>
      </c>
      <c r="H14" s="2">
        <f>Lookup!H14</f>
        <v>0</v>
      </c>
      <c r="I14" s="2">
        <f>Lookup!I14</f>
        <v>0</v>
      </c>
      <c r="J14" s="2">
        <f>Lookup!J14</f>
        <v>0</v>
      </c>
      <c r="K14" s="2">
        <f>Lookup!K14</f>
        <v>-932000000</v>
      </c>
      <c r="L14" s="2">
        <f>Lookup!L14</f>
        <v>-932000000</v>
      </c>
      <c r="M14" s="2">
        <f>Lookup!M14</f>
        <v>10542000000</v>
      </c>
      <c r="N14" s="2">
        <f>Lookup!N14</f>
        <v>-2439000000</v>
      </c>
      <c r="O14" s="2">
        <f>Lookup!O14</f>
        <v>0</v>
      </c>
      <c r="P14" s="2">
        <f>Lookup!P14</f>
        <v>519000000</v>
      </c>
      <c r="Q14" s="2">
        <f>Lookup!Q14</f>
        <v>-1991000000</v>
      </c>
      <c r="R14" s="2">
        <f>Lookup!R14</f>
        <v>0</v>
      </c>
      <c r="S14" s="2">
        <f>Lookup!S14</f>
        <v>-1991000000</v>
      </c>
      <c r="T14" s="2">
        <f>Lookup!T14</f>
        <v>-303000000</v>
      </c>
      <c r="U14" s="2">
        <f>Lookup!U14</f>
        <v>-4214000000</v>
      </c>
      <c r="V14" s="2">
        <f>Lookup!V14</f>
        <v>4711000000</v>
      </c>
      <c r="W14" s="2">
        <f>Lookup!W14</f>
        <v>0</v>
      </c>
      <c r="X14" s="2">
        <f>Lookup!X14</f>
        <v>4711000000</v>
      </c>
      <c r="Y14" s="2">
        <f>Lookup!Y14</f>
        <v>-3504000000</v>
      </c>
      <c r="Z14" s="2">
        <f>Lookup!Z14</f>
        <v>-3504000000</v>
      </c>
      <c r="AA14" s="2">
        <f>Lookup!AA14</f>
        <v>-4969000000</v>
      </c>
      <c r="AB14" s="2">
        <f>Lookup!AB14</f>
        <v>17000000</v>
      </c>
      <c r="AC14" s="2">
        <f>Lookup!AC14</f>
        <v>-3745000000</v>
      </c>
      <c r="AD14" s="2">
        <f>Lookup!AD14</f>
        <v>1972000000</v>
      </c>
      <c r="AE14" s="2">
        <f>Lookup!AE14</f>
        <v>227000000</v>
      </c>
      <c r="AF14" s="2">
        <f>Lookup!AF14</f>
        <v>-4969000000</v>
      </c>
      <c r="AG14" t="str" cm="1">
        <f t="array" aca="1" ref="AG14" ca="1">MID(CELL("filename",J13),FIND("[",CELL("filename",J13))+1,FIND("]",CELL("filename",J13))-FIND("[",CELL("filename",J13))-1)</f>
        <v>KO_CASH_YR.xlsx</v>
      </c>
      <c r="AH14" t="str">
        <f t="shared" ca="1" si="1"/>
        <v>KO_CASH_YR-001</v>
      </c>
      <c r="AI14" s="10">
        <f t="shared" ca="1" si="0"/>
        <v>46089.95526145833</v>
      </c>
    </row>
    <row r="15" spans="1:35" x14ac:dyDescent="0.25">
      <c r="A15" s="2" t="str">
        <f>Lookup!A15</f>
        <v>KO</v>
      </c>
      <c r="B15" s="8">
        <f ca="1">Lookup!B15</f>
        <v>46089</v>
      </c>
      <c r="C15" s="2">
        <f>Lookup!C15</f>
        <v>2012</v>
      </c>
      <c r="D15" s="2">
        <f>Lookup!D15</f>
        <v>9086000000</v>
      </c>
      <c r="E15" s="2">
        <f>Lookup!E15</f>
        <v>1982000000</v>
      </c>
      <c r="F15" s="2">
        <f>Lookup!F15</f>
        <v>657000000</v>
      </c>
      <c r="G15" s="2">
        <f>Lookup!G15</f>
        <v>2639000000</v>
      </c>
      <c r="H15" s="2">
        <f>Lookup!H15</f>
        <v>0</v>
      </c>
      <c r="I15" s="2">
        <f>Lookup!I15</f>
        <v>0</v>
      </c>
      <c r="J15" s="2">
        <f>Lookup!J15</f>
        <v>0</v>
      </c>
      <c r="K15" s="2">
        <f>Lookup!K15</f>
        <v>-1080000000</v>
      </c>
      <c r="L15" s="2">
        <f>Lookup!L15</f>
        <v>-1080000000</v>
      </c>
      <c r="M15" s="2">
        <f>Lookup!M15</f>
        <v>10645000000</v>
      </c>
      <c r="N15" s="2">
        <f>Lookup!N15</f>
        <v>-2637000000</v>
      </c>
      <c r="O15" s="2">
        <f>Lookup!O15</f>
        <v>0</v>
      </c>
      <c r="P15" s="2">
        <f>Lookup!P15</f>
        <v>-1466000000</v>
      </c>
      <c r="Q15" s="2">
        <f>Lookup!Q15</f>
        <v>-7033000000</v>
      </c>
      <c r="R15" s="2">
        <f>Lookup!R15</f>
        <v>0</v>
      </c>
      <c r="S15" s="2">
        <f>Lookup!S15</f>
        <v>-7033000000</v>
      </c>
      <c r="T15" s="2">
        <f>Lookup!T15</f>
        <v>-268000000</v>
      </c>
      <c r="U15" s="2">
        <f>Lookup!U15</f>
        <v>-11404000000</v>
      </c>
      <c r="V15" s="2">
        <f>Lookup!V15</f>
        <v>4218000000</v>
      </c>
      <c r="W15" s="2">
        <f>Lookup!W15</f>
        <v>0</v>
      </c>
      <c r="X15" s="2">
        <f>Lookup!X15</f>
        <v>4218000000</v>
      </c>
      <c r="Y15" s="2">
        <f>Lookup!Y15</f>
        <v>-3070000000</v>
      </c>
      <c r="Z15" s="2">
        <f>Lookup!Z15</f>
        <v>-3070000000</v>
      </c>
      <c r="AA15" s="2">
        <f>Lookup!AA15</f>
        <v>-4595000000</v>
      </c>
      <c r="AB15" s="2">
        <f>Lookup!AB15</f>
        <v>100000000</v>
      </c>
      <c r="AC15" s="2">
        <f>Lookup!AC15</f>
        <v>-3347000000</v>
      </c>
      <c r="AD15" s="2">
        <f>Lookup!AD15</f>
        <v>-4361000000</v>
      </c>
      <c r="AE15" s="2">
        <f>Lookup!AE15</f>
        <v>259000000</v>
      </c>
      <c r="AF15" s="2">
        <f>Lookup!AF15</f>
        <v>-4595000000</v>
      </c>
      <c r="AG15" t="str" cm="1">
        <f t="array" aca="1" ref="AG15" ca="1">MID(CELL("filename",J14),FIND("[",CELL("filename",J14))+1,FIND("]",CELL("filename",J14))-FIND("[",CELL("filename",J14))-1)</f>
        <v>KO_CASH_YR.xlsx</v>
      </c>
      <c r="AH15" t="str">
        <f t="shared" ca="1" si="1"/>
        <v>KO_CASH_YR-001</v>
      </c>
      <c r="AI15" s="10">
        <f t="shared" ca="1" si="0"/>
        <v>46089.95526145833</v>
      </c>
    </row>
    <row r="16" spans="1:35" x14ac:dyDescent="0.25">
      <c r="A16" s="2" t="str">
        <f>Lookup!A16</f>
        <v>KO</v>
      </c>
      <c r="B16" s="8">
        <f ca="1">Lookup!B16</f>
        <v>46089</v>
      </c>
      <c r="C16" s="2">
        <f>Lookup!C16</f>
        <v>2011</v>
      </c>
      <c r="D16" s="2">
        <f>Lookup!D16</f>
        <v>8646000000</v>
      </c>
      <c r="E16" s="2">
        <f>Lookup!E16</f>
        <v>1954000000</v>
      </c>
      <c r="F16" s="2">
        <f>Lookup!F16</f>
        <v>767000000</v>
      </c>
      <c r="G16" s="2">
        <f>Lookup!G16</f>
        <v>2721000000</v>
      </c>
      <c r="H16" s="2">
        <f>Lookup!H16</f>
        <v>0</v>
      </c>
      <c r="I16" s="2">
        <f>Lookup!I16</f>
        <v>0</v>
      </c>
      <c r="J16" s="2">
        <f>Lookup!J16</f>
        <v>0</v>
      </c>
      <c r="K16" s="2">
        <f>Lookup!K16</f>
        <v>-1893000000</v>
      </c>
      <c r="L16" s="2">
        <f>Lookup!L16</f>
        <v>-1893000000</v>
      </c>
      <c r="M16" s="2">
        <f>Lookup!M16</f>
        <v>9474000000</v>
      </c>
      <c r="N16" s="2">
        <f>Lookup!N16</f>
        <v>-2819000000</v>
      </c>
      <c r="O16" s="2">
        <f>Lookup!O16</f>
        <v>0</v>
      </c>
      <c r="P16" s="2">
        <f>Lookup!P16</f>
        <v>-573000000</v>
      </c>
      <c r="Q16" s="2">
        <f>Lookup!Q16</f>
        <v>1013000000</v>
      </c>
      <c r="R16" s="2">
        <f>Lookup!R16</f>
        <v>0</v>
      </c>
      <c r="S16" s="2">
        <f>Lookup!S16</f>
        <v>1013000000</v>
      </c>
      <c r="T16" s="2">
        <f>Lookup!T16</f>
        <v>-145000000</v>
      </c>
      <c r="U16" s="2">
        <f>Lookup!U16</f>
        <v>-2524000000</v>
      </c>
      <c r="V16" s="2">
        <f>Lookup!V16</f>
        <v>4965000000</v>
      </c>
      <c r="W16" s="2">
        <f>Lookup!W16</f>
        <v>0</v>
      </c>
      <c r="X16" s="2">
        <f>Lookup!X16</f>
        <v>4965000000</v>
      </c>
      <c r="Y16" s="2">
        <f>Lookup!Y16</f>
        <v>-2944000000</v>
      </c>
      <c r="Z16" s="2">
        <f>Lookup!Z16</f>
        <v>-2944000000</v>
      </c>
      <c r="AA16" s="2">
        <f>Lookup!AA16</f>
        <v>-4300000000</v>
      </c>
      <c r="AB16" s="2">
        <f>Lookup!AB16</f>
        <v>45000000</v>
      </c>
      <c r="AC16" s="2">
        <f>Lookup!AC16</f>
        <v>-2234000000</v>
      </c>
      <c r="AD16" s="2">
        <f>Lookup!AD16</f>
        <v>4286000000</v>
      </c>
      <c r="AE16" s="2">
        <f>Lookup!AE16</f>
        <v>354000000</v>
      </c>
      <c r="AF16" s="2">
        <f>Lookup!AF16</f>
        <v>-4300000000</v>
      </c>
      <c r="AG16" t="str" cm="1">
        <f t="array" aca="1" ref="AG16" ca="1">MID(CELL("filename",J15),FIND("[",CELL("filename",J15))+1,FIND("]",CELL("filename",J15))-FIND("[",CELL("filename",J15))-1)</f>
        <v>KO_CASH_YR.xlsx</v>
      </c>
      <c r="AH16" t="str">
        <f t="shared" ca="1" si="1"/>
        <v>KO_CASH_YR-001</v>
      </c>
      <c r="AI16" s="10">
        <f t="shared" ca="1" si="0"/>
        <v>46089.95526145833</v>
      </c>
    </row>
    <row r="17" spans="1:35" x14ac:dyDescent="0.25">
      <c r="A17" s="2" t="str">
        <f>Lookup!A17</f>
        <v>KO</v>
      </c>
      <c r="B17" s="8">
        <f ca="1">Lookup!B17</f>
        <v>46089</v>
      </c>
      <c r="C17" s="2">
        <f>Lookup!C17</f>
        <v>2010</v>
      </c>
      <c r="D17" s="2">
        <f>Lookup!D17</f>
        <v>11837000000</v>
      </c>
      <c r="E17" s="2">
        <f>Lookup!E17</f>
        <v>1443000000</v>
      </c>
      <c r="F17" s="2">
        <f>Lookup!F17</f>
        <v>-4118000000</v>
      </c>
      <c r="G17" s="2">
        <f>Lookup!G17</f>
        <v>-2675000000</v>
      </c>
      <c r="H17" s="2">
        <f>Lookup!H17</f>
        <v>0</v>
      </c>
      <c r="I17" s="2">
        <f>Lookup!I17</f>
        <v>0</v>
      </c>
      <c r="J17" s="2">
        <f>Lookup!J17</f>
        <v>0</v>
      </c>
      <c r="K17" s="2">
        <f>Lookup!K17</f>
        <v>370000000</v>
      </c>
      <c r="L17" s="2">
        <f>Lookup!L17</f>
        <v>370000000</v>
      </c>
      <c r="M17" s="2">
        <f>Lookup!M17</f>
        <v>9532000000</v>
      </c>
      <c r="N17" s="2">
        <f>Lookup!N17</f>
        <v>-2081000000</v>
      </c>
      <c r="O17" s="2">
        <f>Lookup!O17</f>
        <v>0</v>
      </c>
      <c r="P17" s="2">
        <f>Lookup!P17</f>
        <v>-1539000000</v>
      </c>
      <c r="Q17" s="2">
        <f>Lookup!Q17</f>
        <v>-547000000</v>
      </c>
      <c r="R17" s="2">
        <f>Lookup!R17</f>
        <v>-132000000</v>
      </c>
      <c r="S17" s="2">
        <f>Lookup!S17</f>
        <v>-679000000</v>
      </c>
      <c r="T17" s="2">
        <f>Lookup!T17</f>
        <v>-106000000</v>
      </c>
      <c r="U17" s="2">
        <f>Lookup!U17</f>
        <v>-4405000000</v>
      </c>
      <c r="V17" s="2">
        <f>Lookup!V17</f>
        <v>1848000000</v>
      </c>
      <c r="W17" s="2">
        <f>Lookup!W17</f>
        <v>0</v>
      </c>
      <c r="X17" s="2">
        <f>Lookup!X17</f>
        <v>1848000000</v>
      </c>
      <c r="Y17" s="2">
        <f>Lookup!Y17</f>
        <v>-1295000000</v>
      </c>
      <c r="Z17" s="2">
        <f>Lookup!Z17</f>
        <v>-1295000000</v>
      </c>
      <c r="AA17" s="2">
        <f>Lookup!AA17</f>
        <v>-4068000000</v>
      </c>
      <c r="AB17" s="2">
        <f>Lookup!AB17</f>
        <v>50000000</v>
      </c>
      <c r="AC17" s="2">
        <f>Lookup!AC17</f>
        <v>-3465000000</v>
      </c>
      <c r="AD17" s="2">
        <f>Lookup!AD17</f>
        <v>1496000000</v>
      </c>
      <c r="AE17" s="2">
        <f>Lookup!AE17</f>
        <v>380000000</v>
      </c>
      <c r="AF17" s="2">
        <f>Lookup!AF17</f>
        <v>-4068000000</v>
      </c>
      <c r="AG17" t="str" cm="1">
        <f t="array" aca="1" ref="AG17" ca="1">MID(CELL("filename",J16),FIND("[",CELL("filename",J16))+1,FIND("]",CELL("filename",J16))-FIND("[",CELL("filename",J16))-1)</f>
        <v>KO_CASH_YR.xlsx</v>
      </c>
      <c r="AH17" t="str">
        <f t="shared" ca="1" si="1"/>
        <v>KO_CASH_YR-001</v>
      </c>
      <c r="AI17" s="10">
        <f t="shared" ca="1" si="0"/>
        <v>46089.95526145833</v>
      </c>
    </row>
    <row r="18" spans="1:35" x14ac:dyDescent="0.25">
      <c r="A18" s="2" t="str">
        <f>Lookup!A18</f>
        <v>KO</v>
      </c>
      <c r="B18" s="8">
        <f ca="1">Lookup!B18</f>
        <v>46089</v>
      </c>
      <c r="C18" s="2">
        <f>Lookup!C18</f>
        <v>2009</v>
      </c>
      <c r="D18" s="2">
        <f>Lookup!D18</f>
        <v>6906000000</v>
      </c>
      <c r="E18" s="2">
        <f>Lookup!E18</f>
        <v>1236000000</v>
      </c>
      <c r="F18" s="2">
        <f>Lookup!F18</f>
        <v>608000000</v>
      </c>
      <c r="G18" s="2">
        <f>Lookup!G18</f>
        <v>1844000000</v>
      </c>
      <c r="H18" s="2">
        <f>Lookup!H18</f>
        <v>0</v>
      </c>
      <c r="I18" s="2">
        <f>Lookup!I18</f>
        <v>0</v>
      </c>
      <c r="J18" s="2">
        <f>Lookup!J18</f>
        <v>0</v>
      </c>
      <c r="K18" s="2">
        <f>Lookup!K18</f>
        <v>-564000000</v>
      </c>
      <c r="L18" s="2">
        <f>Lookup!L18</f>
        <v>-564000000</v>
      </c>
      <c r="M18" s="2">
        <f>Lookup!M18</f>
        <v>8186000000</v>
      </c>
      <c r="N18" s="2">
        <f>Lookup!N18</f>
        <v>-1889000000</v>
      </c>
      <c r="O18" s="2">
        <f>Lookup!O18</f>
        <v>0</v>
      </c>
      <c r="P18" s="2">
        <f>Lookup!P18</f>
        <v>-60000000</v>
      </c>
      <c r="Q18" s="2">
        <f>Lookup!Q18</f>
        <v>-2130000000</v>
      </c>
      <c r="R18" s="2">
        <f>Lookup!R18</f>
        <v>-22000000</v>
      </c>
      <c r="S18" s="2">
        <f>Lookup!S18</f>
        <v>-2152000000</v>
      </c>
      <c r="T18" s="2">
        <f>Lookup!T18</f>
        <v>-48000000</v>
      </c>
      <c r="U18" s="2">
        <f>Lookup!U18</f>
        <v>-4149000000</v>
      </c>
      <c r="V18" s="2">
        <f>Lookup!V18</f>
        <v>2363000000</v>
      </c>
      <c r="W18" s="2">
        <f>Lookup!W18</f>
        <v>0</v>
      </c>
      <c r="X18" s="2">
        <f>Lookup!X18</f>
        <v>2363000000</v>
      </c>
      <c r="Y18" s="2">
        <f>Lookup!Y18</f>
        <v>-854000000</v>
      </c>
      <c r="Z18" s="2">
        <f>Lookup!Z18</f>
        <v>-854000000</v>
      </c>
      <c r="AA18" s="2">
        <f>Lookup!AA18</f>
        <v>-3800000000</v>
      </c>
      <c r="AB18" s="2">
        <f>Lookup!AB18</f>
        <v>-2000000</v>
      </c>
      <c r="AC18" s="2">
        <f>Lookup!AC18</f>
        <v>-2293000000</v>
      </c>
      <c r="AD18" s="2">
        <f>Lookup!AD18</f>
        <v>2320000000</v>
      </c>
      <c r="AE18" s="2">
        <f>Lookup!AE18</f>
        <v>241000000</v>
      </c>
      <c r="AF18" s="2">
        <f>Lookup!AF18</f>
        <v>-3800000000</v>
      </c>
      <c r="AG18" t="str" cm="1">
        <f t="array" aca="1" ref="AG18" ca="1">MID(CELL("filename",J17),FIND("[",CELL("filename",J17))+1,FIND("]",CELL("filename",J17))-FIND("[",CELL("filename",J17))-1)</f>
        <v>KO_CASH_YR.xlsx</v>
      </c>
      <c r="AH18" t="str">
        <f t="shared" ca="1" si="1"/>
        <v>KO_CASH_YR-001</v>
      </c>
      <c r="AI18" s="10">
        <f t="shared" ca="1" si="0"/>
        <v>46089.95526145833</v>
      </c>
    </row>
    <row r="19" spans="1:35" x14ac:dyDescent="0.25">
      <c r="A19" s="2" t="str">
        <f>Lookup!A19</f>
        <v>KO</v>
      </c>
      <c r="B19" s="8">
        <f ca="1">Lookup!B19</f>
        <v>46089</v>
      </c>
      <c r="C19" s="2">
        <f>Lookup!C19</f>
        <v>2008</v>
      </c>
      <c r="D19" s="2">
        <f>Lookup!D19</f>
        <v>5874000000</v>
      </c>
      <c r="E19" s="2">
        <f>Lookup!E19</f>
        <v>1228000000</v>
      </c>
      <c r="F19" s="2">
        <f>Lookup!F19</f>
        <v>1224000000</v>
      </c>
      <c r="G19" s="2">
        <f>Lookup!G19</f>
        <v>2452000000</v>
      </c>
      <c r="H19" s="2">
        <f>Lookup!H19</f>
        <v>0</v>
      </c>
      <c r="I19" s="2">
        <f>Lookup!I19</f>
        <v>0</v>
      </c>
      <c r="J19" s="2">
        <f>Lookup!J19</f>
        <v>0</v>
      </c>
      <c r="K19" s="2">
        <f>Lookup!K19</f>
        <v>-755000000</v>
      </c>
      <c r="L19" s="2">
        <f>Lookup!L19</f>
        <v>-755000000</v>
      </c>
      <c r="M19" s="2">
        <f>Lookup!M19</f>
        <v>7571000000</v>
      </c>
      <c r="N19" s="2">
        <f>Lookup!N19</f>
        <v>-1839000000</v>
      </c>
      <c r="O19" s="2">
        <f>Lookup!O19</f>
        <v>0</v>
      </c>
      <c r="P19" s="2">
        <f>Lookup!P19</f>
        <v>-280000000</v>
      </c>
      <c r="Q19" s="2">
        <f>Lookup!Q19</f>
        <v>0</v>
      </c>
      <c r="R19" s="2">
        <f>Lookup!R19</f>
        <v>-240000000</v>
      </c>
      <c r="S19" s="2">
        <f>Lookup!S19</f>
        <v>-240000000</v>
      </c>
      <c r="T19" s="2">
        <f>Lookup!T19</f>
        <v>-4000000</v>
      </c>
      <c r="U19" s="2">
        <f>Lookup!U19</f>
        <v>-2363000000</v>
      </c>
      <c r="V19" s="2">
        <f>Lookup!V19</f>
        <v>29000000</v>
      </c>
      <c r="W19" s="2">
        <f>Lookup!W19</f>
        <v>0</v>
      </c>
      <c r="X19" s="2">
        <f>Lookup!X19</f>
        <v>29000000</v>
      </c>
      <c r="Y19" s="2">
        <f>Lookup!Y19</f>
        <v>-484000000</v>
      </c>
      <c r="Z19" s="2">
        <f>Lookup!Z19</f>
        <v>-484000000</v>
      </c>
      <c r="AA19" s="2">
        <f>Lookup!AA19</f>
        <v>-3521000000</v>
      </c>
      <c r="AB19" s="2">
        <f>Lookup!AB19</f>
        <v>-9000000</v>
      </c>
      <c r="AC19" s="2">
        <f>Lookup!AC19</f>
        <v>-3985000000</v>
      </c>
      <c r="AD19" s="2">
        <f>Lookup!AD19</f>
        <v>608000000</v>
      </c>
      <c r="AE19" s="2">
        <f>Lookup!AE19</f>
        <v>266000000</v>
      </c>
      <c r="AF19" s="2">
        <f>Lookup!AF19</f>
        <v>-3521000000</v>
      </c>
      <c r="AG19" t="str" cm="1">
        <f t="array" aca="1" ref="AG19" ca="1">MID(CELL("filename",J18),FIND("[",CELL("filename",J18))+1,FIND("]",CELL("filename",J18))-FIND("[",CELL("filename",J18))-1)</f>
        <v>KO_CASH_YR.xlsx</v>
      </c>
      <c r="AH19" t="str">
        <f t="shared" ca="1" si="1"/>
        <v>KO_CASH_YR-001</v>
      </c>
      <c r="AI19" s="10">
        <f t="shared" ca="1" si="0"/>
        <v>46089.95526145833</v>
      </c>
    </row>
    <row r="20" spans="1:35" x14ac:dyDescent="0.25">
      <c r="A20" s="2" t="str">
        <f>Lookup!A20</f>
        <v>KO</v>
      </c>
      <c r="B20" s="8">
        <f ca="1">Lookup!B20</f>
        <v>46089</v>
      </c>
      <c r="C20" s="2">
        <f>Lookup!C20</f>
        <v>2007</v>
      </c>
      <c r="D20" s="2">
        <f>Lookup!D20</f>
        <v>6027000000</v>
      </c>
      <c r="E20" s="2">
        <f>Lookup!E20</f>
        <v>1163000000</v>
      </c>
      <c r="F20" s="2">
        <f>Lookup!F20</f>
        <v>0</v>
      </c>
      <c r="G20" s="2">
        <f>Lookup!G20</f>
        <v>1163000000</v>
      </c>
      <c r="H20" s="2">
        <f>Lookup!H20</f>
        <v>0</v>
      </c>
      <c r="I20" s="2">
        <f>Lookup!I20</f>
        <v>0</v>
      </c>
      <c r="J20" s="2">
        <f>Lookup!J20</f>
        <v>0</v>
      </c>
      <c r="K20" s="2">
        <f>Lookup!K20</f>
        <v>-40000000</v>
      </c>
      <c r="L20" s="2">
        <f>Lookup!L20</f>
        <v>-40000000</v>
      </c>
      <c r="M20" s="2">
        <f>Lookup!M20</f>
        <v>7150000000</v>
      </c>
      <c r="N20" s="2">
        <f>Lookup!N20</f>
        <v>-1409000000</v>
      </c>
      <c r="O20" s="2">
        <f>Lookup!O20</f>
        <v>0</v>
      </c>
      <c r="P20" s="2">
        <f>Lookup!P20</f>
        <v>-5653000000</v>
      </c>
      <c r="Q20" s="2">
        <f>Lookup!Q20</f>
        <v>0</v>
      </c>
      <c r="R20" s="2">
        <f>Lookup!R20</f>
        <v>349000000</v>
      </c>
      <c r="S20" s="2">
        <f>Lookup!S20</f>
        <v>349000000</v>
      </c>
      <c r="T20" s="2">
        <f>Lookup!T20</f>
        <v>-6000000</v>
      </c>
      <c r="U20" s="2">
        <f>Lookup!U20</f>
        <v>-6719000000</v>
      </c>
      <c r="V20" s="2">
        <f>Lookup!V20</f>
        <v>4341000000</v>
      </c>
      <c r="W20" s="2">
        <f>Lookup!W20</f>
        <v>0</v>
      </c>
      <c r="X20" s="2">
        <f>Lookup!X20</f>
        <v>4341000000</v>
      </c>
      <c r="Y20" s="2">
        <f>Lookup!Y20</f>
        <v>-219000000</v>
      </c>
      <c r="Z20" s="2">
        <f>Lookup!Z20</f>
        <v>-219000000</v>
      </c>
      <c r="AA20" s="2">
        <f>Lookup!AA20</f>
        <v>-3149000000</v>
      </c>
      <c r="AB20" s="2">
        <f>Lookup!AB20</f>
        <v>0</v>
      </c>
      <c r="AC20" s="2">
        <f>Lookup!AC20</f>
        <v>973000000</v>
      </c>
      <c r="AD20" s="2">
        <f>Lookup!AD20</f>
        <v>1653000000</v>
      </c>
      <c r="AE20" s="2">
        <f>Lookup!AE20</f>
        <v>313000000</v>
      </c>
      <c r="AF20" s="2">
        <f>Lookup!AF20</f>
        <v>-3149000000</v>
      </c>
      <c r="AG20" t="str" cm="1">
        <f t="array" aca="1" ref="AG20" ca="1">MID(CELL("filename",J19),FIND("[",CELL("filename",J19))+1,FIND("]",CELL("filename",J19))-FIND("[",CELL("filename",J19))-1)</f>
        <v>KO_CASH_YR.xlsx</v>
      </c>
      <c r="AH20" t="str">
        <f t="shared" ca="1" si="1"/>
        <v>KO_CASH_YR-001</v>
      </c>
      <c r="AI20" s="10">
        <f t="shared" ca="1" si="0"/>
        <v>46089.95526145833</v>
      </c>
    </row>
    <row r="21" spans="1:35" x14ac:dyDescent="0.25">
      <c r="A21" s="2" t="str">
        <f>Lookup!A21</f>
        <v>KO</v>
      </c>
      <c r="B21" s="8">
        <f ca="1">Lookup!B21</f>
        <v>46089</v>
      </c>
      <c r="C21" s="2">
        <f>Lookup!C21</f>
        <v>2006</v>
      </c>
      <c r="D21" s="2">
        <f>Lookup!D21</f>
        <v>5080000000</v>
      </c>
      <c r="E21" s="2">
        <f>Lookup!E21</f>
        <v>938000000</v>
      </c>
      <c r="F21" s="2">
        <f>Lookup!F21</f>
        <v>554000000</v>
      </c>
      <c r="G21" s="2">
        <f>Lookup!G21</f>
        <v>1492000000</v>
      </c>
      <c r="H21" s="2">
        <f>Lookup!H21</f>
        <v>0</v>
      </c>
      <c r="I21" s="2">
        <f>Lookup!I21</f>
        <v>0</v>
      </c>
      <c r="J21" s="2">
        <f>Lookup!J21</f>
        <v>0</v>
      </c>
      <c r="K21" s="2">
        <f>Lookup!K21</f>
        <v>-615000000</v>
      </c>
      <c r="L21" s="2">
        <f>Lookup!L21</f>
        <v>-615000000</v>
      </c>
      <c r="M21" s="2">
        <f>Lookup!M21</f>
        <v>5957000000</v>
      </c>
      <c r="N21" s="2">
        <f>Lookup!N21</f>
        <v>-767000000</v>
      </c>
      <c r="O21" s="2">
        <f>Lookup!O21</f>
        <v>0</v>
      </c>
      <c r="P21" s="2">
        <f>Lookup!P21</f>
        <v>-901000000</v>
      </c>
      <c r="Q21" s="2">
        <f>Lookup!Q21</f>
        <v>0</v>
      </c>
      <c r="R21" s="2">
        <f>Lookup!R21</f>
        <v>30000000</v>
      </c>
      <c r="S21" s="2">
        <f>Lookup!S21</f>
        <v>30000000</v>
      </c>
      <c r="T21" s="2">
        <f>Lookup!T21</f>
        <v>-62000000</v>
      </c>
      <c r="U21" s="2">
        <f>Lookup!U21</f>
        <v>-1700000000</v>
      </c>
      <c r="V21" s="2">
        <f>Lookup!V21</f>
        <v>-1404000000</v>
      </c>
      <c r="W21" s="2">
        <f>Lookup!W21</f>
        <v>0</v>
      </c>
      <c r="X21" s="2">
        <f>Lookup!X21</f>
        <v>-1404000000</v>
      </c>
      <c r="Y21" s="2">
        <f>Lookup!Y21</f>
        <v>-2268000000</v>
      </c>
      <c r="Z21" s="2">
        <f>Lookup!Z21</f>
        <v>-2268000000</v>
      </c>
      <c r="AA21" s="2">
        <f>Lookup!AA21</f>
        <v>-2911000000</v>
      </c>
      <c r="AB21" s="2">
        <f>Lookup!AB21</f>
        <v>0</v>
      </c>
      <c r="AC21" s="2">
        <f>Lookup!AC21</f>
        <v>-6583000000</v>
      </c>
      <c r="AD21" s="2">
        <f>Lookup!AD21</f>
        <v>-2261000000</v>
      </c>
      <c r="AE21" s="2">
        <f>Lookup!AE21</f>
        <v>324000000</v>
      </c>
      <c r="AF21" s="2">
        <f>Lookup!AF21</f>
        <v>-2911000000</v>
      </c>
      <c r="AG21" t="str" cm="1">
        <f t="array" aca="1" ref="AG21" ca="1">MID(CELL("filename",J20),FIND("[",CELL("filename",J20))+1,FIND("]",CELL("filename",J20))-FIND("[",CELL("filename",J20))-1)</f>
        <v>KO_CASH_YR.xlsx</v>
      </c>
      <c r="AH21" t="str">
        <f t="shared" ca="1" si="1"/>
        <v>KO_CASH_YR-001</v>
      </c>
      <c r="AI21" s="10">
        <f t="shared" ca="1" si="0"/>
        <v>46089.95526145833</v>
      </c>
    </row>
    <row r="22" spans="1:35" x14ac:dyDescent="0.25">
      <c r="A22" s="2" t="str">
        <f>Lookup!A22</f>
        <v>KO</v>
      </c>
      <c r="B22" s="8">
        <f ca="1">Lookup!B22</f>
        <v>46089</v>
      </c>
      <c r="C22" s="2">
        <f>Lookup!C22</f>
        <v>2005</v>
      </c>
      <c r="D22" s="2">
        <f>Lookup!D22</f>
        <v>4872000000</v>
      </c>
      <c r="E22" s="2">
        <f>Lookup!E22</f>
        <v>932000000</v>
      </c>
      <c r="F22" s="2">
        <f>Lookup!F22</f>
        <v>189000000</v>
      </c>
      <c r="G22" s="2">
        <f>Lookup!G22</f>
        <v>1121000000</v>
      </c>
      <c r="H22" s="2">
        <f>Lookup!H22</f>
        <v>0</v>
      </c>
      <c r="I22" s="2">
        <f>Lookup!I22</f>
        <v>0</v>
      </c>
      <c r="J22" s="2">
        <f>Lookup!J22</f>
        <v>0</v>
      </c>
      <c r="K22" s="2">
        <f>Lookup!K22</f>
        <v>430000000</v>
      </c>
      <c r="L22" s="2">
        <f>Lookup!L22</f>
        <v>430000000</v>
      </c>
      <c r="M22" s="2">
        <f>Lookup!M22</f>
        <v>6423000000</v>
      </c>
      <c r="N22" s="2">
        <f>Lookup!N22</f>
        <v>-811000000</v>
      </c>
      <c r="O22" s="2">
        <f>Lookup!O22</f>
        <v>0</v>
      </c>
      <c r="P22" s="2">
        <f>Lookup!P22</f>
        <v>-637000000</v>
      </c>
      <c r="Q22" s="2">
        <f>Lookup!Q22</f>
        <v>0</v>
      </c>
      <c r="R22" s="2">
        <f>Lookup!R22</f>
        <v>-20000000</v>
      </c>
      <c r="S22" s="2">
        <f>Lookup!S22</f>
        <v>-20000000</v>
      </c>
      <c r="T22" s="2">
        <f>Lookup!T22</f>
        <v>-28000000</v>
      </c>
      <c r="U22" s="2">
        <f>Lookup!U22</f>
        <v>-1496000000</v>
      </c>
      <c r="V22" s="2">
        <f>Lookup!V22</f>
        <v>-2282000000</v>
      </c>
      <c r="W22" s="2">
        <f>Lookup!W22</f>
        <v>0</v>
      </c>
      <c r="X22" s="2">
        <f>Lookup!X22</f>
        <v>-2282000000</v>
      </c>
      <c r="Y22" s="2">
        <f>Lookup!Y22</f>
        <v>-1825000000</v>
      </c>
      <c r="Z22" s="2">
        <f>Lookup!Z22</f>
        <v>-1825000000</v>
      </c>
      <c r="AA22" s="2">
        <f>Lookup!AA22</f>
        <v>-2678000000</v>
      </c>
      <c r="AB22" s="2">
        <f>Lookup!AB22</f>
        <v>0</v>
      </c>
      <c r="AC22" s="2">
        <f>Lookup!AC22</f>
        <v>-6785000000</v>
      </c>
      <c r="AD22" s="2">
        <f>Lookup!AD22</f>
        <v>-2006000000</v>
      </c>
      <c r="AE22" s="2">
        <f>Lookup!AE22</f>
        <v>324000000</v>
      </c>
      <c r="AF22" s="2">
        <f>Lookup!AF22</f>
        <v>-2678000000</v>
      </c>
      <c r="AG22" t="str" cm="1">
        <f t="array" aca="1" ref="AG22" ca="1">MID(CELL("filename",J21),FIND("[",CELL("filename",J21))+1,FIND("]",CELL("filename",J21))-FIND("[",CELL("filename",J21))-1)</f>
        <v>KO_CASH_YR.xlsx</v>
      </c>
      <c r="AH22" t="str">
        <f t="shared" ca="1" si="1"/>
        <v>KO_CASH_YR-001</v>
      </c>
      <c r="AI22" s="10">
        <f t="shared" ca="1" si="0"/>
        <v>46089.95526145833</v>
      </c>
    </row>
    <row r="23" spans="1:35" x14ac:dyDescent="0.25">
      <c r="A23" s="2" t="str">
        <f>Lookup!A23</f>
        <v>KO</v>
      </c>
      <c r="B23" s="8">
        <f ca="1">Lookup!B23</f>
        <v>46089</v>
      </c>
      <c r="C23" s="2">
        <f>Lookup!C23</f>
        <v>2004</v>
      </c>
      <c r="D23" s="2">
        <f>Lookup!D23</f>
        <v>4847000000</v>
      </c>
      <c r="E23" s="2">
        <f>Lookup!E23</f>
        <v>893000000</v>
      </c>
      <c r="F23" s="2">
        <f>Lookup!F23</f>
        <v>845000000</v>
      </c>
      <c r="G23" s="2">
        <f>Lookup!G23</f>
        <v>1738000000</v>
      </c>
      <c r="H23" s="2">
        <f>Lookup!H23</f>
        <v>0</v>
      </c>
      <c r="I23" s="2">
        <f>Lookup!I23</f>
        <v>0</v>
      </c>
      <c r="J23" s="2">
        <f>Lookup!J23</f>
        <v>0</v>
      </c>
      <c r="K23" s="2">
        <f>Lookup!K23</f>
        <v>-617000000</v>
      </c>
      <c r="L23" s="2">
        <f>Lookup!L23</f>
        <v>-617000000</v>
      </c>
      <c r="M23" s="2">
        <f>Lookup!M23</f>
        <v>5968000000</v>
      </c>
      <c r="N23" s="2">
        <f>Lookup!N23</f>
        <v>-414000000</v>
      </c>
      <c r="O23" s="2">
        <f>Lookup!O23</f>
        <v>0</v>
      </c>
      <c r="P23" s="2">
        <f>Lookup!P23</f>
        <v>-267000000</v>
      </c>
      <c r="Q23" s="2">
        <f>Lookup!Q23</f>
        <v>0</v>
      </c>
      <c r="R23" s="2">
        <f>Lookup!R23</f>
        <v>115000000</v>
      </c>
      <c r="S23" s="2">
        <f>Lookup!S23</f>
        <v>115000000</v>
      </c>
      <c r="T23" s="2">
        <f>Lookup!T23</f>
        <v>63000000</v>
      </c>
      <c r="U23" s="2">
        <f>Lookup!U23</f>
        <v>-503000000</v>
      </c>
      <c r="V23" s="2">
        <f>Lookup!V23</f>
        <v>1714000000</v>
      </c>
      <c r="W23" s="2">
        <f>Lookup!W23</f>
        <v>0</v>
      </c>
      <c r="X23" s="2">
        <f>Lookup!X23</f>
        <v>1714000000</v>
      </c>
      <c r="Y23" s="2">
        <f>Lookup!Y23</f>
        <v>-1546000000</v>
      </c>
      <c r="Z23" s="2">
        <f>Lookup!Z23</f>
        <v>-1546000000</v>
      </c>
      <c r="AA23" s="2">
        <f>Lookup!AA23</f>
        <v>-2429000000</v>
      </c>
      <c r="AB23" s="2">
        <f>Lookup!AB23</f>
        <v>0</v>
      </c>
      <c r="AC23" s="2">
        <f>Lookup!AC23</f>
        <v>-2261000000</v>
      </c>
      <c r="AD23" s="2">
        <f>Lookup!AD23</f>
        <v>3345000000</v>
      </c>
      <c r="AE23" s="2">
        <f>Lookup!AE23</f>
        <v>345000000</v>
      </c>
      <c r="AF23" s="2">
        <f>Lookup!AF23</f>
        <v>-2429000000</v>
      </c>
      <c r="AG23" t="str" cm="1">
        <f t="array" aca="1" ref="AG23" ca="1">MID(CELL("filename",J22),FIND("[",CELL("filename",J22))+1,FIND("]",CELL("filename",J22))-FIND("[",CELL("filename",J22))-1)</f>
        <v>KO_CASH_YR.xlsx</v>
      </c>
      <c r="AH23" t="str">
        <f t="shared" ca="1" si="1"/>
        <v>KO_CASH_YR-001</v>
      </c>
      <c r="AI23" s="10">
        <f t="shared" ca="1" si="0"/>
        <v>46089.95526145833</v>
      </c>
    </row>
    <row r="24" spans="1:35" x14ac:dyDescent="0.25">
      <c r="A24" s="2" t="str">
        <f>Lookup!A24</f>
        <v>KO</v>
      </c>
      <c r="B24" s="8">
        <f ca="1">Lookup!B24</f>
        <v>46089</v>
      </c>
      <c r="C24" s="2">
        <f>Lookup!C24</f>
        <v>2003</v>
      </c>
      <c r="D24" s="2">
        <f>Lookup!D24</f>
        <v>4347000000</v>
      </c>
      <c r="E24" s="2">
        <f>Lookup!E24</f>
        <v>850000000</v>
      </c>
      <c r="F24" s="2">
        <f>Lookup!F24</f>
        <v>427000000</v>
      </c>
      <c r="G24" s="2">
        <f>Lookup!G24</f>
        <v>1277000000</v>
      </c>
      <c r="H24" s="2">
        <f>Lookup!H24</f>
        <v>0</v>
      </c>
      <c r="I24" s="2">
        <f>Lookup!I24</f>
        <v>0</v>
      </c>
      <c r="J24" s="2">
        <f>Lookup!J24</f>
        <v>0</v>
      </c>
      <c r="K24" s="2">
        <f>Lookup!K24</f>
        <v>-168000000</v>
      </c>
      <c r="L24" s="2">
        <f>Lookup!L24</f>
        <v>-168000000</v>
      </c>
      <c r="M24" s="2">
        <f>Lookup!M24</f>
        <v>5456000000</v>
      </c>
      <c r="N24" s="2">
        <f>Lookup!N24</f>
        <v>-725000000</v>
      </c>
      <c r="O24" s="2">
        <f>Lookup!O24</f>
        <v>0</v>
      </c>
      <c r="P24" s="2">
        <f>Lookup!P24</f>
        <v>-359000000</v>
      </c>
      <c r="Q24" s="2">
        <f>Lookup!Q24</f>
        <v>0</v>
      </c>
      <c r="R24" s="2">
        <f>Lookup!R24</f>
        <v>-30000000</v>
      </c>
      <c r="S24" s="2">
        <f>Lookup!S24</f>
        <v>-30000000</v>
      </c>
      <c r="T24" s="2">
        <f>Lookup!T24</f>
        <v>178000000</v>
      </c>
      <c r="U24" s="2">
        <f>Lookup!U24</f>
        <v>-936000000</v>
      </c>
      <c r="V24" s="2">
        <f>Lookup!V24</f>
        <v>-93000000</v>
      </c>
      <c r="W24" s="2">
        <f>Lookup!W24</f>
        <v>0</v>
      </c>
      <c r="X24" s="2">
        <f>Lookup!X24</f>
        <v>-93000000</v>
      </c>
      <c r="Y24" s="2">
        <f>Lookup!Y24</f>
        <v>-1342000000</v>
      </c>
      <c r="Z24" s="2">
        <f>Lookup!Z24</f>
        <v>-1342000000</v>
      </c>
      <c r="AA24" s="2">
        <f>Lookup!AA24</f>
        <v>-2166000000</v>
      </c>
      <c r="AB24" s="2">
        <f>Lookup!AB24</f>
        <v>0</v>
      </c>
      <c r="AC24" s="2">
        <f>Lookup!AC24</f>
        <v>-3601000000</v>
      </c>
      <c r="AD24" s="2">
        <f>Lookup!AD24</f>
        <v>1102000000</v>
      </c>
      <c r="AE24" s="2">
        <f>Lookup!AE24</f>
        <v>422000000</v>
      </c>
      <c r="AF24" s="2">
        <f>Lookup!AF24</f>
        <v>-2166000000</v>
      </c>
      <c r="AG24" t="str" cm="1">
        <f t="array" aca="1" ref="AG24" ca="1">MID(CELL("filename",J23),FIND("[",CELL("filename",J23))+1,FIND("]",CELL("filename",J23))-FIND("[",CELL("filename",J23))-1)</f>
        <v>KO_CASH_YR.xlsx</v>
      </c>
      <c r="AH24" t="str">
        <f t="shared" ca="1" si="1"/>
        <v>KO_CASH_YR-001</v>
      </c>
      <c r="AI24" s="10">
        <f t="shared" ca="1" si="0"/>
        <v>46089.95526145833</v>
      </c>
    </row>
    <row r="25" spans="1:35" x14ac:dyDescent="0.25">
      <c r="A25" s="2" t="str">
        <f>Lookup!A25</f>
        <v>KO</v>
      </c>
      <c r="B25" s="8">
        <f ca="1">Lookup!B25</f>
        <v>46089</v>
      </c>
      <c r="C25" s="2">
        <f>Lookup!C25</f>
        <v>2002</v>
      </c>
      <c r="D25" s="2">
        <f>Lookup!D25</f>
        <v>3050000000</v>
      </c>
      <c r="E25" s="2">
        <f>Lookup!E25</f>
        <v>806000000</v>
      </c>
      <c r="F25" s="2">
        <f>Lookup!F25</f>
        <v>1293000000</v>
      </c>
      <c r="G25" s="2">
        <f>Lookup!G25</f>
        <v>2099000000</v>
      </c>
      <c r="H25" s="2">
        <f>Lookup!H25</f>
        <v>0</v>
      </c>
      <c r="I25" s="2">
        <f>Lookup!I25</f>
        <v>0</v>
      </c>
      <c r="J25" s="2">
        <f>Lookup!J25</f>
        <v>0</v>
      </c>
      <c r="K25" s="2">
        <f>Lookup!K25</f>
        <v>-407000000</v>
      </c>
      <c r="L25" s="2">
        <f>Lookup!L25</f>
        <v>-407000000</v>
      </c>
      <c r="M25" s="2">
        <f>Lookup!M25</f>
        <v>4742000000</v>
      </c>
      <c r="N25" s="2">
        <f>Lookup!N25</f>
        <v>-782000000</v>
      </c>
      <c r="O25" s="2">
        <f>Lookup!O25</f>
        <v>0</v>
      </c>
      <c r="P25" s="2">
        <f>Lookup!P25</f>
        <v>-544000000</v>
      </c>
      <c r="Q25" s="2">
        <f>Lookup!Q25</f>
        <v>0</v>
      </c>
      <c r="R25" s="2">
        <f>Lookup!R25</f>
        <v>102000000</v>
      </c>
      <c r="S25" s="2">
        <f>Lookup!S25</f>
        <v>102000000</v>
      </c>
      <c r="T25" s="2">
        <f>Lookup!T25</f>
        <v>159000000</v>
      </c>
      <c r="U25" s="2">
        <f>Lookup!U25</f>
        <v>-1065000000</v>
      </c>
      <c r="V25" s="2">
        <f>Lookup!V25</f>
        <v>-756000000</v>
      </c>
      <c r="W25" s="2">
        <f>Lookup!W25</f>
        <v>0</v>
      </c>
      <c r="X25" s="2">
        <f>Lookup!X25</f>
        <v>-756000000</v>
      </c>
      <c r="Y25" s="2">
        <f>Lookup!Y25</f>
        <v>-584000000</v>
      </c>
      <c r="Z25" s="2">
        <f>Lookup!Z25</f>
        <v>-584000000</v>
      </c>
      <c r="AA25" s="2">
        <f>Lookup!AA25</f>
        <v>-1987000000</v>
      </c>
      <c r="AB25" s="2">
        <f>Lookup!AB25</f>
        <v>0</v>
      </c>
      <c r="AC25" s="2">
        <f>Lookup!AC25</f>
        <v>-3327000000</v>
      </c>
      <c r="AD25" s="2">
        <f>Lookup!AD25</f>
        <v>394000000</v>
      </c>
      <c r="AE25" s="2">
        <f>Lookup!AE25</f>
        <v>365000000</v>
      </c>
      <c r="AF25" s="2">
        <f>Lookup!AF25</f>
        <v>-1987000000</v>
      </c>
      <c r="AG25" t="str" cm="1">
        <f t="array" aca="1" ref="AG25" ca="1">MID(CELL("filename",J24),FIND("[",CELL("filename",J24))+1,FIND("]",CELL("filename",J24))-FIND("[",CELL("filename",J24))-1)</f>
        <v>KO_CASH_YR.xlsx</v>
      </c>
      <c r="AH25" t="str">
        <f t="shared" ca="1" si="1"/>
        <v>KO_CASH_YR-001</v>
      </c>
      <c r="AI25" s="10">
        <f t="shared" ca="1" si="0"/>
        <v>46089.95526145833</v>
      </c>
    </row>
    <row r="26" spans="1:35" x14ac:dyDescent="0.25">
      <c r="A26" s="2" t="str">
        <f>Lookup!A26</f>
        <v>KO</v>
      </c>
      <c r="B26" s="8">
        <f ca="1">Lookup!B26</f>
        <v>46089</v>
      </c>
      <c r="C26" s="2">
        <f>Lookup!C26</f>
        <v>2001</v>
      </c>
      <c r="D26" s="2">
        <f>Lookup!D26</f>
        <v>3969000000</v>
      </c>
      <c r="E26" s="2">
        <f>Lookup!E26</f>
        <v>803000000</v>
      </c>
      <c r="F26" s="2">
        <f>Lookup!F26</f>
        <v>-200000000</v>
      </c>
      <c r="G26" s="2">
        <f>Lookup!G26</f>
        <v>603000000</v>
      </c>
      <c r="H26" s="2">
        <f>Lookup!H26</f>
        <v>0</v>
      </c>
      <c r="I26" s="2">
        <f>Lookup!I26</f>
        <v>0</v>
      </c>
      <c r="J26" s="2">
        <f>Lookup!J26</f>
        <v>0</v>
      </c>
      <c r="K26" s="2">
        <f>Lookup!K26</f>
        <v>-462000000</v>
      </c>
      <c r="L26" s="2">
        <f>Lookup!L26</f>
        <v>-462000000</v>
      </c>
      <c r="M26" s="2">
        <f>Lookup!M26</f>
        <v>4110000000</v>
      </c>
      <c r="N26" s="2">
        <f>Lookup!N26</f>
        <v>-678000000</v>
      </c>
      <c r="O26" s="2">
        <f>Lookup!O26</f>
        <v>0</v>
      </c>
      <c r="P26" s="2">
        <f>Lookup!P26</f>
        <v>-651000000</v>
      </c>
      <c r="Q26" s="2">
        <f>Lookup!Q26</f>
        <v>0</v>
      </c>
      <c r="R26" s="2">
        <f>Lookup!R26</f>
        <v>-1000000</v>
      </c>
      <c r="S26" s="2">
        <f>Lookup!S26</f>
        <v>-1000000</v>
      </c>
      <c r="T26" s="2">
        <f>Lookup!T26</f>
        <v>142000000</v>
      </c>
      <c r="U26" s="2">
        <f>Lookup!U26</f>
        <v>-1188000000</v>
      </c>
      <c r="V26" s="2">
        <f>Lookup!V26</f>
        <v>-926000000</v>
      </c>
      <c r="W26" s="2">
        <f>Lookup!W26</f>
        <v>0</v>
      </c>
      <c r="X26" s="2">
        <f>Lookup!X26</f>
        <v>-926000000</v>
      </c>
      <c r="Y26" s="2">
        <f>Lookup!Y26</f>
        <v>-113000000</v>
      </c>
      <c r="Z26" s="2">
        <f>Lookup!Z26</f>
        <v>-113000000</v>
      </c>
      <c r="AA26" s="2">
        <f>Lookup!AA26</f>
        <v>-1791000000</v>
      </c>
      <c r="AB26" s="2">
        <f>Lookup!AB26</f>
        <v>0</v>
      </c>
      <c r="AC26" s="2">
        <f>Lookup!AC26</f>
        <v>-2830000000</v>
      </c>
      <c r="AD26" s="2">
        <f>Lookup!AD26</f>
        <v>47000000</v>
      </c>
      <c r="AE26" s="2">
        <f>Lookup!AE26</f>
        <v>41000000</v>
      </c>
      <c r="AF26" s="2">
        <f>Lookup!AF26</f>
        <v>-1791000000</v>
      </c>
      <c r="AG26" t="str" cm="1">
        <f t="array" aca="1" ref="AG26" ca="1">MID(CELL("filename",J25),FIND("[",CELL("filename",J25))+1,FIND("]",CELL("filename",J25))-FIND("[",CELL("filename",J25))-1)</f>
        <v>KO_CASH_YR.xlsx</v>
      </c>
      <c r="AH26" t="str">
        <f t="shared" ca="1" si="1"/>
        <v>KO_CASH_YR-001</v>
      </c>
      <c r="AI26" s="10">
        <f t="shared" ca="1" si="0"/>
        <v>46089.95526145833</v>
      </c>
    </row>
    <row r="27" spans="1:35" x14ac:dyDescent="0.25">
      <c r="A27" s="2" t="str">
        <f>Lookup!A27</f>
        <v>KO</v>
      </c>
      <c r="B27" s="8">
        <f ca="1">Lookup!B27</f>
        <v>46089</v>
      </c>
      <c r="C27" s="2">
        <f>Lookup!C27</f>
        <v>2000</v>
      </c>
      <c r="D27" s="2">
        <f>Lookup!D27</f>
        <v>2177000000</v>
      </c>
      <c r="E27" s="2">
        <f>Lookup!E27</f>
        <v>773000000</v>
      </c>
      <c r="F27" s="2">
        <f>Lookup!F27</f>
        <v>1487000000</v>
      </c>
      <c r="G27" s="2">
        <f>Lookup!G27</f>
        <v>2260000000</v>
      </c>
      <c r="H27" s="2">
        <f>Lookup!H27</f>
        <v>0</v>
      </c>
      <c r="I27" s="2">
        <f>Lookup!I27</f>
        <v>0</v>
      </c>
      <c r="J27" s="2">
        <f>Lookup!J27</f>
        <v>0</v>
      </c>
      <c r="K27" s="2">
        <f>Lookup!K27</f>
        <v>-852000000</v>
      </c>
      <c r="L27" s="2">
        <f>Lookup!L27</f>
        <v>-852000000</v>
      </c>
      <c r="M27" s="2">
        <f>Lookup!M27</f>
        <v>3585000000</v>
      </c>
      <c r="N27" s="2">
        <f>Lookup!N27</f>
        <v>-688000000</v>
      </c>
      <c r="O27" s="2">
        <f>Lookup!O27</f>
        <v>0</v>
      </c>
      <c r="P27" s="2">
        <f>Lookup!P27</f>
        <v>-397000000</v>
      </c>
      <c r="Q27" s="2">
        <f>Lookup!Q27</f>
        <v>0</v>
      </c>
      <c r="R27" s="2">
        <f>Lookup!R27</f>
        <v>-218000000</v>
      </c>
      <c r="S27" s="2">
        <f>Lookup!S27</f>
        <v>-218000000</v>
      </c>
      <c r="T27" s="2">
        <f>Lookup!T27</f>
        <v>138000000</v>
      </c>
      <c r="U27" s="2">
        <f>Lookup!U27</f>
        <v>-1165000000</v>
      </c>
      <c r="V27" s="2">
        <f>Lookup!V27</f>
        <v>-585000000</v>
      </c>
      <c r="W27" s="2">
        <f>Lookup!W27</f>
        <v>0</v>
      </c>
      <c r="X27" s="2">
        <f>Lookup!X27</f>
        <v>-585000000</v>
      </c>
      <c r="Y27" s="2">
        <f>Lookup!Y27</f>
        <v>198000000</v>
      </c>
      <c r="Z27" s="2">
        <f>Lookup!Z27</f>
        <v>198000000</v>
      </c>
      <c r="AA27" s="2">
        <f>Lookup!AA27</f>
        <v>-1685000000</v>
      </c>
      <c r="AB27" s="2">
        <f>Lookup!AB27</f>
        <v>0</v>
      </c>
      <c r="AC27" s="2">
        <f>Lookup!AC27</f>
        <v>-2072000000</v>
      </c>
      <c r="AD27" s="2">
        <f>Lookup!AD27</f>
        <v>208000000</v>
      </c>
      <c r="AE27" s="2">
        <f>Lookup!AE27</f>
        <v>43000000</v>
      </c>
      <c r="AF27" s="2">
        <f>Lookup!AF27</f>
        <v>-1685000000</v>
      </c>
      <c r="AG27" t="str" cm="1">
        <f t="array" aca="1" ref="AG27" ca="1">MID(CELL("filename",J26),FIND("[",CELL("filename",J26))+1,FIND("]",CELL("filename",J26))-FIND("[",CELL("filename",J26))-1)</f>
        <v>KO_CASH_YR.xlsx</v>
      </c>
      <c r="AH27" t="str">
        <f t="shared" ca="1" si="1"/>
        <v>KO_CASH_YR-001</v>
      </c>
      <c r="AI27" s="10">
        <f t="shared" ca="1" si="0"/>
        <v>46089.95526145833</v>
      </c>
    </row>
    <row r="28" spans="1:35" x14ac:dyDescent="0.25">
      <c r="A28" s="2" t="str">
        <f>Lookup!A28</f>
        <v>KO</v>
      </c>
      <c r="B28" s="8">
        <f ca="1">Lookup!B28</f>
        <v>46089</v>
      </c>
      <c r="C28" s="2">
        <f>Lookup!C28</f>
        <v>1999</v>
      </c>
      <c r="D28" s="2">
        <f>Lookup!D28</f>
        <v>2431000000</v>
      </c>
      <c r="E28" s="2">
        <f>Lookup!E28</f>
        <v>792000000</v>
      </c>
      <c r="F28" s="2">
        <f>Lookup!F28</f>
        <v>0</v>
      </c>
      <c r="G28" s="2">
        <f>Lookup!G28</f>
        <v>792000000</v>
      </c>
      <c r="H28" s="2">
        <f>Lookup!H28</f>
        <v>0</v>
      </c>
      <c r="I28" s="2">
        <f>Lookup!I28</f>
        <v>0</v>
      </c>
      <c r="J28" s="2">
        <f>Lookup!J28</f>
        <v>0</v>
      </c>
      <c r="K28" s="2">
        <f>Lookup!K28</f>
        <v>0</v>
      </c>
      <c r="L28" s="2">
        <f>Lookup!L28</f>
        <v>-557000000</v>
      </c>
      <c r="M28" s="2">
        <f>Lookup!M28</f>
        <v>3883000000</v>
      </c>
      <c r="N28" s="2">
        <f>Lookup!N28</f>
        <v>-1024000000</v>
      </c>
      <c r="O28" s="2">
        <f>Lookup!O28</f>
        <v>0</v>
      </c>
      <c r="P28" s="2">
        <f>Lookup!P28</f>
        <v>-1876000000</v>
      </c>
      <c r="Q28" s="2">
        <f>Lookup!Q28</f>
        <v>0</v>
      </c>
      <c r="R28" s="2">
        <f>Lookup!R28</f>
        <v>0</v>
      </c>
      <c r="S28" s="2">
        <f>Lookup!S28</f>
        <v>-342000000</v>
      </c>
      <c r="T28" s="2">
        <f>Lookup!T28</f>
        <v>-179000000</v>
      </c>
      <c r="U28" s="2">
        <f>Lookup!U28</f>
        <v>-3421000000</v>
      </c>
      <c r="V28" s="2">
        <f>Lookup!V28</f>
        <v>0</v>
      </c>
      <c r="W28" s="2">
        <f>Lookup!W28</f>
        <v>0</v>
      </c>
      <c r="X28" s="2">
        <f>Lookup!X28</f>
        <v>956000000</v>
      </c>
      <c r="Y28" s="2">
        <f>Lookup!Y28</f>
        <v>0</v>
      </c>
      <c r="Z28" s="2">
        <f>Lookup!Z28</f>
        <v>153000000</v>
      </c>
      <c r="AA28" s="2">
        <f>Lookup!AA28</f>
        <v>-1580000000</v>
      </c>
      <c r="AB28" s="2">
        <f>Lookup!AB28</f>
        <v>0</v>
      </c>
      <c r="AC28" s="2">
        <f>Lookup!AC28</f>
        <v>-471000000</v>
      </c>
      <c r="AD28" s="2">
        <f>Lookup!AD28</f>
        <v>-37000000</v>
      </c>
      <c r="AE28" s="2">
        <f>Lookup!AE28</f>
        <v>0</v>
      </c>
      <c r="AF28" s="2">
        <f>Lookup!AF28</f>
        <v>0</v>
      </c>
      <c r="AG28" t="str" cm="1">
        <f t="array" aca="1" ref="AG28" ca="1">MID(CELL("filename",J27),FIND("[",CELL("filename",J27))+1,FIND("]",CELL("filename",J27))-FIND("[",CELL("filename",J27))-1)</f>
        <v>KO_CASH_YR.xlsx</v>
      </c>
      <c r="AH28" t="str">
        <f t="shared" ca="1" si="1"/>
        <v>KO_CASH_YR-001</v>
      </c>
      <c r="AI28" s="10">
        <f t="shared" ca="1" si="0"/>
        <v>46089.95526145833</v>
      </c>
    </row>
    <row r="29" spans="1:35" x14ac:dyDescent="0.25">
      <c r="A29" s="2" t="str">
        <f>Lookup!A29</f>
        <v>KO</v>
      </c>
      <c r="B29" s="8">
        <f ca="1">Lookup!B29</f>
        <v>46089</v>
      </c>
      <c r="C29" s="2">
        <f>Lookup!C29</f>
        <v>1998</v>
      </c>
      <c r="D29" s="2">
        <f>Lookup!D29</f>
        <v>3533000000</v>
      </c>
      <c r="E29" s="2">
        <f>Lookup!E29</f>
        <v>645000000</v>
      </c>
      <c r="F29" s="2">
        <f>Lookup!F29</f>
        <v>0</v>
      </c>
      <c r="G29" s="2">
        <f>Lookup!G29</f>
        <v>645000000</v>
      </c>
      <c r="H29" s="2">
        <f>Lookup!H29</f>
        <v>0</v>
      </c>
      <c r="I29" s="2">
        <f>Lookup!I29</f>
        <v>0</v>
      </c>
      <c r="J29" s="2">
        <f>Lookup!J29</f>
        <v>0</v>
      </c>
      <c r="K29" s="2">
        <f>Lookup!K29</f>
        <v>0</v>
      </c>
      <c r="L29" s="2">
        <f>Lookup!L29</f>
        <v>-550000000</v>
      </c>
      <c r="M29" s="2">
        <f>Lookup!M29</f>
        <v>3433000000</v>
      </c>
      <c r="N29" s="2">
        <f>Lookup!N29</f>
        <v>-809000000</v>
      </c>
      <c r="O29" s="2">
        <f>Lookup!O29</f>
        <v>0</v>
      </c>
      <c r="P29" s="2">
        <f>Lookup!P29</f>
        <v>-1428000000</v>
      </c>
      <c r="Q29" s="2">
        <f>Lookup!Q29</f>
        <v>0</v>
      </c>
      <c r="R29" s="2">
        <f>Lookup!R29</f>
        <v>0</v>
      </c>
      <c r="S29" s="2">
        <f>Lookup!S29</f>
        <v>426000000</v>
      </c>
      <c r="T29" s="2">
        <f>Lookup!T29</f>
        <v>-350000000</v>
      </c>
      <c r="U29" s="2">
        <f>Lookup!U29</f>
        <v>-2161000000</v>
      </c>
      <c r="V29" s="2">
        <f>Lookup!V29</f>
        <v>0</v>
      </c>
      <c r="W29" s="2">
        <f>Lookup!W29</f>
        <v>1408000000</v>
      </c>
      <c r="X29" s="2">
        <f>Lookup!X29</f>
        <v>0</v>
      </c>
      <c r="Y29" s="2">
        <f>Lookup!Y29</f>
        <v>0</v>
      </c>
      <c r="Z29" s="2">
        <f>Lookup!Z29</f>
        <v>-1261000000</v>
      </c>
      <c r="AA29" s="2">
        <f>Lookup!AA29</f>
        <v>-1480000000</v>
      </c>
      <c r="AB29" s="2">
        <f>Lookup!AB29</f>
        <v>0</v>
      </c>
      <c r="AC29" s="2">
        <f>Lookup!AC29</f>
        <v>-1333000000</v>
      </c>
      <c r="AD29" s="2">
        <f>Lookup!AD29</f>
        <v>-89000000</v>
      </c>
      <c r="AE29" s="2">
        <f>Lookup!AE29</f>
        <v>0</v>
      </c>
      <c r="AF29" s="2">
        <f>Lookup!AF29</f>
        <v>0</v>
      </c>
      <c r="AG29" t="str" cm="1">
        <f t="array" aca="1" ref="AG29" ca="1">MID(CELL("filename",J28),FIND("[",CELL("filename",J28))+1,FIND("]",CELL("filename",J28))-FIND("[",CELL("filename",J28))-1)</f>
        <v>KO_CASH_YR.xlsx</v>
      </c>
      <c r="AH29" t="str">
        <f t="shared" ca="1" si="1"/>
        <v>KO_CASH_YR-001</v>
      </c>
      <c r="AI29" s="10">
        <f t="shared" ca="1" si="0"/>
        <v>46089.95526145833</v>
      </c>
    </row>
    <row r="30" spans="1:35" x14ac:dyDescent="0.25">
      <c r="A30" s="2" t="str">
        <f>Lookup!A30</f>
        <v>KO</v>
      </c>
      <c r="B30" s="8">
        <f ca="1">Lookup!B30</f>
        <v>46089</v>
      </c>
      <c r="C30" s="2">
        <f>Lookup!C30</f>
        <v>1997</v>
      </c>
      <c r="D30" s="2">
        <f>Lookup!D30</f>
        <v>4129000000</v>
      </c>
      <c r="E30" s="2">
        <f>Lookup!E30</f>
        <v>626000000</v>
      </c>
      <c r="F30" s="2">
        <f>Lookup!F30</f>
        <v>0</v>
      </c>
      <c r="G30" s="2">
        <f>Lookup!G30</f>
        <v>626000000</v>
      </c>
      <c r="H30" s="2">
        <f>Lookup!H30</f>
        <v>0</v>
      </c>
      <c r="I30" s="2">
        <f>Lookup!I30</f>
        <v>0</v>
      </c>
      <c r="J30" s="2">
        <f>Lookup!J30</f>
        <v>0</v>
      </c>
      <c r="K30" s="2">
        <f>Lookup!K30</f>
        <v>0</v>
      </c>
      <c r="L30" s="2">
        <f>Lookup!L30</f>
        <v>-47000000</v>
      </c>
      <c r="M30" s="2">
        <f>Lookup!M30</f>
        <v>4033000000</v>
      </c>
      <c r="N30" s="2">
        <f>Lookup!N30</f>
        <v>-1022000000</v>
      </c>
      <c r="O30" s="2">
        <f>Lookup!O30</f>
        <v>0</v>
      </c>
      <c r="P30" s="2">
        <f>Lookup!P30</f>
        <v>-1100000000</v>
      </c>
      <c r="Q30" s="2">
        <f>Lookup!Q30</f>
        <v>0</v>
      </c>
      <c r="R30" s="2">
        <f>Lookup!R30</f>
        <v>0</v>
      </c>
      <c r="S30" s="2">
        <f>Lookup!S30</f>
        <v>1540000000</v>
      </c>
      <c r="T30" s="2">
        <f>Lookup!T30</f>
        <v>82000000</v>
      </c>
      <c r="U30" s="2">
        <f>Lookup!U30</f>
        <v>-500000000</v>
      </c>
      <c r="V30" s="2">
        <f>Lookup!V30</f>
        <v>0</v>
      </c>
      <c r="W30" s="2">
        <f>Lookup!W30</f>
        <v>0</v>
      </c>
      <c r="X30" s="2">
        <f>Lookup!X30</f>
        <v>-596000000</v>
      </c>
      <c r="Y30" s="2">
        <f>Lookup!Y30</f>
        <v>0</v>
      </c>
      <c r="Z30" s="2">
        <f>Lookup!Z30</f>
        <v>-1112000000</v>
      </c>
      <c r="AA30" s="2">
        <f>Lookup!AA30</f>
        <v>-1387000000</v>
      </c>
      <c r="AB30" s="2">
        <f>Lookup!AB30</f>
        <v>0</v>
      </c>
      <c r="AC30" s="2">
        <f>Lookup!AC30</f>
        <v>-3095000000</v>
      </c>
      <c r="AD30" s="2">
        <f>Lookup!AD30</f>
        <v>304000000</v>
      </c>
      <c r="AE30" s="2">
        <f>Lookup!AE30</f>
        <v>0</v>
      </c>
      <c r="AF30" s="2">
        <f>Lookup!AF30</f>
        <v>0</v>
      </c>
      <c r="AG30" t="str" cm="1">
        <f t="array" aca="1" ref="AG30" ca="1">MID(CELL("filename",J29),FIND("[",CELL("filename",J29))+1,FIND("]",CELL("filename",J29))-FIND("[",CELL("filename",J29))-1)</f>
        <v>KO_CASH_YR.xlsx</v>
      </c>
      <c r="AH30" t="str">
        <f t="shared" ca="1" si="1"/>
        <v>KO_CASH_YR-001</v>
      </c>
      <c r="AI30" s="10">
        <f t="shared" ca="1" si="0"/>
        <v>46089.95526145833</v>
      </c>
    </row>
    <row r="31" spans="1:35" x14ac:dyDescent="0.25">
      <c r="A31" s="2" t="str">
        <f>Lookup!A31</f>
        <v>KO</v>
      </c>
      <c r="B31" s="8">
        <f ca="1">Lookup!B31</f>
        <v>46089</v>
      </c>
      <c r="C31" s="2">
        <f>Lookup!C31</f>
        <v>1996</v>
      </c>
      <c r="D31" s="2">
        <f>Lookup!D31</f>
        <v>3492000000</v>
      </c>
      <c r="E31" s="2">
        <f>Lookup!E31</f>
        <v>479000000</v>
      </c>
      <c r="F31" s="2">
        <f>Lookup!F31</f>
        <v>0</v>
      </c>
      <c r="G31" s="2">
        <f>Lookup!G31</f>
        <v>479000000</v>
      </c>
      <c r="H31" s="2">
        <f>Lookup!H31</f>
        <v>0</v>
      </c>
      <c r="I31" s="2">
        <f>Lookup!I31</f>
        <v>0</v>
      </c>
      <c r="J31" s="2">
        <f>Lookup!J31</f>
        <v>0</v>
      </c>
      <c r="K31" s="2">
        <f>Lookup!K31</f>
        <v>0</v>
      </c>
      <c r="L31" s="2">
        <f>Lookup!L31</f>
        <v>36000000</v>
      </c>
      <c r="M31" s="2">
        <f>Lookup!M31</f>
        <v>3463000000</v>
      </c>
      <c r="N31" s="2">
        <f>Lookup!N31</f>
        <v>-909000000</v>
      </c>
      <c r="O31" s="2">
        <f>Lookup!O31</f>
        <v>0</v>
      </c>
      <c r="P31" s="2">
        <f>Lookup!P31</f>
        <v>-645000000</v>
      </c>
      <c r="Q31" s="2">
        <f>Lookup!Q31</f>
        <v>0</v>
      </c>
      <c r="R31" s="2">
        <f>Lookup!R31</f>
        <v>0</v>
      </c>
      <c r="S31" s="2">
        <f>Lookup!S31</f>
        <v>679000000</v>
      </c>
      <c r="T31" s="2">
        <f>Lookup!T31</f>
        <v>-175000000</v>
      </c>
      <c r="U31" s="2">
        <f>Lookup!U31</f>
        <v>-1050000000</v>
      </c>
      <c r="V31" s="2">
        <f>Lookup!V31</f>
        <v>0</v>
      </c>
      <c r="W31" s="2">
        <f>Lookup!W31</f>
        <v>-580000000</v>
      </c>
      <c r="X31" s="2">
        <f>Lookup!X31</f>
        <v>1122000000</v>
      </c>
      <c r="Y31" s="2">
        <f>Lookup!Y31</f>
        <v>0</v>
      </c>
      <c r="Z31" s="2">
        <f>Lookup!Z31</f>
        <v>-1397000000</v>
      </c>
      <c r="AA31" s="2">
        <f>Lookup!AA31</f>
        <v>-1247000000</v>
      </c>
      <c r="AB31" s="2">
        <f>Lookup!AB31</f>
        <v>0</v>
      </c>
      <c r="AC31" s="2">
        <f>Lookup!AC31</f>
        <v>-2102000000</v>
      </c>
      <c r="AD31" s="2">
        <f>Lookup!AD31</f>
        <v>266000000</v>
      </c>
      <c r="AE31" s="2">
        <f>Lookup!AE31</f>
        <v>0</v>
      </c>
      <c r="AF31" s="2">
        <f>Lookup!AF31</f>
        <v>0</v>
      </c>
      <c r="AG31" t="str" cm="1">
        <f t="array" aca="1" ref="AG31" ca="1">MID(CELL("filename",J30),FIND("[",CELL("filename",J30))+1,FIND("]",CELL("filename",J30))-FIND("[",CELL("filename",J30))-1)</f>
        <v>KO_CASH_YR.xlsx</v>
      </c>
      <c r="AH31" t="str">
        <f t="shared" ca="1" si="1"/>
        <v>KO_CASH_YR-001</v>
      </c>
      <c r="AI31" s="10">
        <f t="shared" ca="1" si="0"/>
        <v>46089.95526145833</v>
      </c>
    </row>
    <row r="32" spans="1:35" x14ac:dyDescent="0.25">
      <c r="A32" s="2" t="str">
        <f>Lookup!A32</f>
        <v>KO</v>
      </c>
      <c r="B32" s="8">
        <f ca="1">Lookup!B32</f>
        <v>46089</v>
      </c>
      <c r="C32" s="2">
        <f>Lookup!C32</f>
        <v>1995</v>
      </c>
      <c r="D32" s="2">
        <f>Lookup!D32</f>
        <v>2986000000</v>
      </c>
      <c r="E32" s="2">
        <f>Lookup!E32</f>
        <v>454000000</v>
      </c>
      <c r="F32" s="2">
        <f>Lookup!F32</f>
        <v>0</v>
      </c>
      <c r="G32" s="2">
        <f>Lookup!G32</f>
        <v>454000000</v>
      </c>
      <c r="H32" s="2">
        <f>Lookup!H32</f>
        <v>0</v>
      </c>
      <c r="I32" s="2">
        <f>Lookup!I32</f>
        <v>0</v>
      </c>
      <c r="J32" s="2">
        <f>Lookup!J32</f>
        <v>0</v>
      </c>
      <c r="K32" s="2">
        <f>Lookup!K32</f>
        <v>0</v>
      </c>
      <c r="L32" s="2">
        <f>Lookup!L32</f>
        <v>-405000000</v>
      </c>
      <c r="M32" s="2">
        <f>Lookup!M32</f>
        <v>3115000000</v>
      </c>
      <c r="N32" s="2">
        <f>Lookup!N32</f>
        <v>-893000000</v>
      </c>
      <c r="O32" s="2">
        <f>Lookup!O32</f>
        <v>0</v>
      </c>
      <c r="P32" s="2">
        <f>Lookup!P32</f>
        <v>0</v>
      </c>
      <c r="Q32" s="2">
        <f>Lookup!Q32</f>
        <v>0</v>
      </c>
      <c r="R32" s="2">
        <f>Lookup!R32</f>
        <v>0</v>
      </c>
      <c r="S32" s="2">
        <f>Lookup!S32</f>
        <v>52000000</v>
      </c>
      <c r="T32" s="2">
        <f>Lookup!T32</f>
        <v>-172000000</v>
      </c>
      <c r="U32" s="2">
        <f>Lookup!U32</f>
        <v>-1013000000</v>
      </c>
      <c r="V32" s="2">
        <f>Lookup!V32</f>
        <v>0</v>
      </c>
      <c r="W32" s="2">
        <f>Lookup!W32</f>
        <v>-212000000</v>
      </c>
      <c r="X32" s="2">
        <f>Lookup!X32</f>
        <v>754000000</v>
      </c>
      <c r="Y32" s="2">
        <f>Lookup!Y32</f>
        <v>0</v>
      </c>
      <c r="Z32" s="2">
        <f>Lookup!Z32</f>
        <v>-1710000000</v>
      </c>
      <c r="AA32" s="2">
        <f>Lookup!AA32</f>
        <v>-1110000000</v>
      </c>
      <c r="AB32" s="2">
        <f>Lookup!AB32</f>
        <v>0</v>
      </c>
      <c r="AC32" s="2">
        <f>Lookup!AC32</f>
        <v>-2278000000</v>
      </c>
      <c r="AD32" s="2">
        <f>Lookup!AD32</f>
        <v>-219000000</v>
      </c>
      <c r="AE32" s="2">
        <f>Lookup!AE32</f>
        <v>0</v>
      </c>
      <c r="AF32" s="2">
        <f>Lookup!AF32</f>
        <v>0</v>
      </c>
      <c r="AG32" t="str" cm="1">
        <f t="array" aca="1" ref="AG32" ca="1">MID(CELL("filename",J31),FIND("[",CELL("filename",J31))+1,FIND("]",CELL("filename",J31))-FIND("[",CELL("filename",J31))-1)</f>
        <v>KO_CASH_YR.xlsx</v>
      </c>
      <c r="AH32" t="str">
        <f t="shared" ca="1" si="1"/>
        <v>KO_CASH_YR-001</v>
      </c>
      <c r="AI32" s="10">
        <f t="shared" ca="1" si="0"/>
        <v>46089.95526145833</v>
      </c>
    </row>
    <row r="33" spans="1:35" x14ac:dyDescent="0.25">
      <c r="A33" s="2" t="str">
        <f>Lookup!A33</f>
        <v>KO</v>
      </c>
      <c r="B33" s="8">
        <f ca="1">Lookup!B33</f>
        <v>46089</v>
      </c>
      <c r="C33" s="2">
        <f>Lookup!C33</f>
        <v>1994</v>
      </c>
      <c r="D33" s="2">
        <f>Lookup!D33</f>
        <v>2554000000</v>
      </c>
      <c r="E33" s="2">
        <f>Lookup!E33</f>
        <v>411000000</v>
      </c>
      <c r="F33" s="2">
        <f>Lookup!F33</f>
        <v>0</v>
      </c>
      <c r="G33" s="2">
        <f>Lookup!G33</f>
        <v>411000000</v>
      </c>
      <c r="H33" s="2">
        <f>Lookup!H33</f>
        <v>0</v>
      </c>
      <c r="I33" s="2">
        <f>Lookup!I33</f>
        <v>0</v>
      </c>
      <c r="J33" s="2">
        <f>Lookup!J33</f>
        <v>0</v>
      </c>
      <c r="K33" s="2">
        <f>Lookup!K33</f>
        <v>0</v>
      </c>
      <c r="L33" s="2">
        <f>Lookup!L33</f>
        <v>129000000</v>
      </c>
      <c r="M33" s="2">
        <f>Lookup!M33</f>
        <v>3183000000</v>
      </c>
      <c r="N33" s="2">
        <f>Lookup!N33</f>
        <v>-769000000</v>
      </c>
      <c r="O33" s="2">
        <f>Lookup!O33</f>
        <v>0</v>
      </c>
      <c r="P33" s="2">
        <f>Lookup!P33</f>
        <v>0</v>
      </c>
      <c r="Q33" s="2">
        <f>Lookup!Q33</f>
        <v>0</v>
      </c>
      <c r="R33" s="2">
        <f>Lookup!R33</f>
        <v>0</v>
      </c>
      <c r="S33" s="2">
        <f>Lookup!S33</f>
        <v>-257000000</v>
      </c>
      <c r="T33" s="2">
        <f>Lookup!T33</f>
        <v>-11000000</v>
      </c>
      <c r="U33" s="2">
        <f>Lookup!U33</f>
        <v>-1037000000</v>
      </c>
      <c r="V33" s="2">
        <f>Lookup!V33</f>
        <v>0</v>
      </c>
      <c r="W33" s="2">
        <f>Lookup!W33</f>
        <v>-154000000</v>
      </c>
      <c r="X33" s="2">
        <f>Lookup!X33</f>
        <v>491000000</v>
      </c>
      <c r="Y33" s="2">
        <f>Lookup!Y33</f>
        <v>0</v>
      </c>
      <c r="Z33" s="2">
        <f>Lookup!Z33</f>
        <v>-1123000000</v>
      </c>
      <c r="AA33" s="2">
        <f>Lookup!AA33</f>
        <v>-1006000000</v>
      </c>
      <c r="AB33" s="2">
        <f>Lookup!AB33</f>
        <v>0</v>
      </c>
      <c r="AC33" s="2">
        <f>Lookup!AC33</f>
        <v>-1792000000</v>
      </c>
      <c r="AD33" s="2">
        <f>Lookup!AD33</f>
        <v>388000000</v>
      </c>
      <c r="AE33" s="2">
        <f>Lookup!AE33</f>
        <v>0</v>
      </c>
      <c r="AF33" s="2">
        <f>Lookup!AF33</f>
        <v>0</v>
      </c>
      <c r="AG33" t="str" cm="1">
        <f t="array" aca="1" ref="AG33" ca="1">MID(CELL("filename",J32),FIND("[",CELL("filename",J32))+1,FIND("]",CELL("filename",J32))-FIND("[",CELL("filename",J32))-1)</f>
        <v>KO_CASH_YR.xlsx</v>
      </c>
      <c r="AH33" t="str">
        <f t="shared" ca="1" si="1"/>
        <v>KO_CASH_YR-001</v>
      </c>
      <c r="AI33" s="10">
        <f t="shared" ca="1" si="0"/>
        <v>46089.95526145833</v>
      </c>
    </row>
    <row r="34" spans="1:35" x14ac:dyDescent="0.25">
      <c r="A34" s="2" t="str">
        <f>Lookup!A34</f>
        <v>KO</v>
      </c>
      <c r="B34" s="8">
        <f ca="1">Lookup!B34</f>
        <v>46089</v>
      </c>
      <c r="C34" s="2">
        <f>Lookup!C34</f>
        <v>1993</v>
      </c>
      <c r="D34" s="2">
        <f>Lookup!D34</f>
        <v>2176000000</v>
      </c>
      <c r="E34" s="2">
        <f>Lookup!E34</f>
        <v>360000000</v>
      </c>
      <c r="F34" s="2">
        <f>Lookup!F34</f>
        <v>12000000</v>
      </c>
      <c r="G34" s="2">
        <f>Lookup!G34</f>
        <v>372000000</v>
      </c>
      <c r="H34" s="2">
        <f>Lookup!H34</f>
        <v>0</v>
      </c>
      <c r="I34" s="2">
        <f>Lookup!I34</f>
        <v>0</v>
      </c>
      <c r="J34" s="2">
        <f>Lookup!J34</f>
        <v>0</v>
      </c>
      <c r="K34" s="2">
        <f>Lookup!K34</f>
        <v>0</v>
      </c>
      <c r="L34" s="2">
        <f>Lookup!L34</f>
        <v>54000000</v>
      </c>
      <c r="M34" s="2">
        <f>Lookup!M34</f>
        <v>2508000000</v>
      </c>
      <c r="N34" s="2">
        <f>Lookup!N34</f>
        <v>-488000000</v>
      </c>
      <c r="O34" s="2">
        <f>Lookup!O34</f>
        <v>0</v>
      </c>
      <c r="P34" s="2">
        <f>Lookup!P34</f>
        <v>-816000000</v>
      </c>
      <c r="Q34" s="2">
        <f>Lookup!Q34</f>
        <v>0</v>
      </c>
      <c r="R34" s="2">
        <f>Lookup!R34</f>
        <v>0</v>
      </c>
      <c r="S34" s="2">
        <f>Lookup!S34</f>
        <v>650000000</v>
      </c>
      <c r="T34" s="2">
        <f>Lookup!T34</f>
        <v>-231000000</v>
      </c>
      <c r="U34" s="2">
        <f>Lookup!U34</f>
        <v>-885000000</v>
      </c>
      <c r="V34" s="2">
        <f>Lookup!V34</f>
        <v>0</v>
      </c>
      <c r="W34" s="2">
        <f>Lookup!W34</f>
        <v>0</v>
      </c>
      <c r="X34" s="2">
        <f>Lookup!X34</f>
        <v>-122000000</v>
      </c>
      <c r="Y34" s="2">
        <f>Lookup!Y34</f>
        <v>0</v>
      </c>
      <c r="Z34" s="2">
        <f>Lookup!Z34</f>
        <v>-535000000</v>
      </c>
      <c r="AA34" s="2">
        <f>Lookup!AA34</f>
        <v>-883000000</v>
      </c>
      <c r="AB34" s="2">
        <f>Lookup!AB34</f>
        <v>0</v>
      </c>
      <c r="AC34" s="2">
        <f>Lookup!AC34</f>
        <v>-1540000000</v>
      </c>
      <c r="AD34" s="2">
        <f>Lookup!AD34</f>
        <v>42000000</v>
      </c>
      <c r="AE34" s="2">
        <f>Lookup!AE34</f>
        <v>0</v>
      </c>
      <c r="AF34" s="2">
        <f>Lookup!AF34</f>
        <v>0</v>
      </c>
      <c r="AG34" t="str" cm="1">
        <f t="array" aca="1" ref="AG34" ca="1">MID(CELL("filename",J33),FIND("[",CELL("filename",J33))+1,FIND("]",CELL("filename",J33))-FIND("[",CELL("filename",J33))-1)</f>
        <v>KO_CASH_YR.xlsx</v>
      </c>
      <c r="AH34" t="str">
        <f t="shared" ca="1" si="1"/>
        <v>KO_CASH_YR-001</v>
      </c>
      <c r="AI34" s="10">
        <f t="shared" ca="1" si="0"/>
        <v>46089.95526145833</v>
      </c>
    </row>
    <row r="35" spans="1:35" x14ac:dyDescent="0.25">
      <c r="A35" s="2" t="str">
        <f>Lookup!A35</f>
        <v>KO</v>
      </c>
      <c r="B35" s="8">
        <f ca="1">Lookup!B35</f>
        <v>46089</v>
      </c>
      <c r="C35" s="2">
        <f>Lookup!C35</f>
        <v>1992</v>
      </c>
      <c r="D35" s="2">
        <f>Lookup!D35</f>
        <v>1664382000</v>
      </c>
      <c r="E35" s="2">
        <f>Lookup!E35</f>
        <v>321922000</v>
      </c>
      <c r="F35" s="2">
        <f>Lookup!F35</f>
        <v>219433000</v>
      </c>
      <c r="G35" s="2">
        <f>Lookup!G35</f>
        <v>541355000</v>
      </c>
      <c r="H35" s="2">
        <f>Lookup!H35</f>
        <v>0</v>
      </c>
      <c r="I35" s="2">
        <f>Lookup!I35</f>
        <v>0</v>
      </c>
      <c r="J35" s="2">
        <f>Lookup!J35</f>
        <v>0</v>
      </c>
      <c r="K35" s="2">
        <f>Lookup!K35</f>
        <v>0</v>
      </c>
      <c r="L35" s="2">
        <f>Lookup!L35</f>
        <v>-43130000</v>
      </c>
      <c r="M35" s="2">
        <f>Lookup!M35</f>
        <v>2232370000</v>
      </c>
      <c r="N35" s="2">
        <f>Lookup!N35</f>
        <v>-1036192000</v>
      </c>
      <c r="O35" s="2">
        <f>Lookup!O35</f>
        <v>0</v>
      </c>
      <c r="P35" s="2">
        <f>Lookup!P35</f>
        <v>-717487000</v>
      </c>
      <c r="Q35" s="2">
        <f>Lookup!Q35</f>
        <v>0</v>
      </c>
      <c r="R35" s="2">
        <f>Lookup!R35</f>
        <v>0</v>
      </c>
      <c r="S35" s="2">
        <f>Lookup!S35</f>
        <v>395157000</v>
      </c>
      <c r="T35" s="2">
        <f>Lookup!T35</f>
        <v>-1004000</v>
      </c>
      <c r="U35" s="2">
        <f>Lookup!U35</f>
        <v>-1359526000</v>
      </c>
      <c r="V35" s="2">
        <f>Lookup!V35</f>
        <v>0</v>
      </c>
      <c r="W35" s="2">
        <f>Lookup!W35</f>
        <v>-432380000</v>
      </c>
      <c r="X35" s="2">
        <f>Lookup!X35</f>
        <v>1381227000</v>
      </c>
      <c r="Y35" s="2">
        <f>Lookup!Y35</f>
        <v>0</v>
      </c>
      <c r="Z35" s="2">
        <f>Lookup!Z35</f>
        <v>-1128224000</v>
      </c>
      <c r="AA35" s="2">
        <f>Lookup!AA35</f>
        <v>-738001000</v>
      </c>
      <c r="AB35" s="2">
        <f>Lookup!AB35</f>
        <v>0</v>
      </c>
      <c r="AC35" s="2">
        <f>Lookup!AC35</f>
        <v>-917378000</v>
      </c>
      <c r="AD35" s="2">
        <f>Lookup!AD35</f>
        <v>-102642000</v>
      </c>
      <c r="AE35" s="2">
        <f>Lookup!AE35</f>
        <v>0</v>
      </c>
      <c r="AF35" s="2">
        <f>Lookup!AF35</f>
        <v>0</v>
      </c>
      <c r="AG35" t="str" cm="1">
        <f t="array" aca="1" ref="AG35" ca="1">MID(CELL("filename",J34),FIND("[",CELL("filename",J34))+1,FIND("]",CELL("filename",J34))-FIND("[",CELL("filename",J34))-1)</f>
        <v>KO_CASH_YR.xlsx</v>
      </c>
      <c r="AH35" t="str">
        <f t="shared" ca="1" si="1"/>
        <v>KO_CASH_YR-001</v>
      </c>
      <c r="AI35" s="10">
        <f t="shared" ca="1" si="0"/>
        <v>46089.95526145833</v>
      </c>
    </row>
    <row r="36" spans="1:35" x14ac:dyDescent="0.25">
      <c r="A36" s="2" t="str">
        <f>Lookup!A36</f>
        <v>KO</v>
      </c>
      <c r="B36" s="8">
        <f ca="1">Lookup!B36</f>
        <v>46089</v>
      </c>
      <c r="C36" s="2">
        <f>Lookup!C36</f>
        <v>1991</v>
      </c>
      <c r="D36" s="2">
        <f>Lookup!D36</f>
        <v>1618002000</v>
      </c>
      <c r="E36" s="2">
        <f>Lookup!E36</f>
        <v>261427000.00000003</v>
      </c>
      <c r="F36" s="2">
        <f>Lookup!F36</f>
        <v>0</v>
      </c>
      <c r="G36" s="2">
        <f>Lookup!G36</f>
        <v>261427000.00000003</v>
      </c>
      <c r="H36" s="2">
        <f>Lookup!H36</f>
        <v>0</v>
      </c>
      <c r="I36" s="2">
        <f>Lookup!I36</f>
        <v>0</v>
      </c>
      <c r="J36" s="2">
        <f>Lookup!J36</f>
        <v>0</v>
      </c>
      <c r="K36" s="2">
        <f>Lookup!K36</f>
        <v>0</v>
      </c>
      <c r="L36" s="2">
        <f>Lookup!L36</f>
        <v>222837000</v>
      </c>
      <c r="M36" s="2">
        <f>Lookup!M36</f>
        <v>2084400999.9999998</v>
      </c>
      <c r="N36" s="2">
        <f>Lookup!N36</f>
        <v>-747719000</v>
      </c>
      <c r="O36" s="2">
        <f>Lookup!O36</f>
        <v>0</v>
      </c>
      <c r="P36" s="2">
        <f>Lookup!P36</f>
        <v>0</v>
      </c>
      <c r="Q36" s="2">
        <f>Lookup!Q36</f>
        <v>0</v>
      </c>
      <c r="R36" s="2">
        <f>Lookup!R36</f>
        <v>0</v>
      </c>
      <c r="S36" s="2">
        <f>Lookup!S36</f>
        <v>-376961000</v>
      </c>
      <c r="T36" s="2">
        <f>Lookup!T36</f>
        <v>0</v>
      </c>
      <c r="U36" s="2">
        <f>Lookup!U36</f>
        <v>-1124680000</v>
      </c>
      <c r="V36" s="2">
        <f>Lookup!V36</f>
        <v>0</v>
      </c>
      <c r="W36" s="2">
        <f>Lookup!W36</f>
        <v>-256738000</v>
      </c>
      <c r="X36" s="2">
        <f>Lookup!X36</f>
        <v>-256738000</v>
      </c>
      <c r="Y36" s="2">
        <f>Lookup!Y36</f>
        <v>0</v>
      </c>
      <c r="Z36" s="2">
        <f>Lookup!Z36</f>
        <v>-434682000</v>
      </c>
      <c r="AA36" s="2">
        <f>Lookup!AA36</f>
        <v>-640064000</v>
      </c>
      <c r="AB36" s="2">
        <f>Lookup!AB36</f>
        <v>0</v>
      </c>
      <c r="AC36" s="2">
        <f>Lookup!AC36</f>
        <v>-1331484000</v>
      </c>
      <c r="AD36" s="2">
        <f>Lookup!AD36</f>
        <v>-371305000</v>
      </c>
      <c r="AE36" s="2">
        <f>Lookup!AE36</f>
        <v>0</v>
      </c>
      <c r="AF36" s="2">
        <f>Lookup!AF36</f>
        <v>0</v>
      </c>
      <c r="AG36" t="str" cm="1">
        <f t="array" aca="1" ref="AG36" ca="1">MID(CELL("filename",J35),FIND("[",CELL("filename",J35))+1,FIND("]",CELL("filename",J35))-FIND("[",CELL("filename",J35))-1)</f>
        <v>KO_CASH_YR.xlsx</v>
      </c>
      <c r="AH36" t="str">
        <f t="shared" ca="1" si="1"/>
        <v>KO_CASH_YR-001</v>
      </c>
      <c r="AI36" s="10">
        <f t="shared" ca="1" si="0"/>
        <v>46089.95526145833</v>
      </c>
    </row>
    <row r="37" spans="1:35" x14ac:dyDescent="0.25">
      <c r="A37" s="2" t="str">
        <f>Lookup!A37</f>
        <v>KO</v>
      </c>
      <c r="B37" s="8">
        <f ca="1">Lookup!B37</f>
        <v>46089</v>
      </c>
      <c r="C37" s="2">
        <f>Lookup!C37</f>
        <v>1990</v>
      </c>
      <c r="D37" s="2">
        <f>Lookup!D37</f>
        <v>1381904000</v>
      </c>
      <c r="E37" s="2">
        <f>Lookup!E37</f>
        <v>243888000</v>
      </c>
      <c r="F37" s="2">
        <f>Lookup!F37</f>
        <v>0</v>
      </c>
      <c r="G37" s="2">
        <f>Lookup!G37</f>
        <v>243888000</v>
      </c>
      <c r="H37" s="2">
        <f>Lookup!H37</f>
        <v>0</v>
      </c>
      <c r="I37" s="2">
        <f>Lookup!I37</f>
        <v>0</v>
      </c>
      <c r="J37" s="2">
        <f>Lookup!J37</f>
        <v>0</v>
      </c>
      <c r="K37" s="2">
        <f>Lookup!K37</f>
        <v>0</v>
      </c>
      <c r="L37" s="2">
        <f>Lookup!L37</f>
        <v>-178202000</v>
      </c>
      <c r="M37" s="2">
        <f>Lookup!M37</f>
        <v>1283927000</v>
      </c>
      <c r="N37" s="2">
        <f>Lookup!N37</f>
        <v>-573763000</v>
      </c>
      <c r="O37" s="2">
        <f>Lookup!O37</f>
        <v>0</v>
      </c>
      <c r="P37" s="2">
        <f>Lookup!P37</f>
        <v>0</v>
      </c>
      <c r="Q37" s="2">
        <f>Lookup!Q37</f>
        <v>0</v>
      </c>
      <c r="R37" s="2">
        <f>Lookup!R37</f>
        <v>0</v>
      </c>
      <c r="S37" s="2">
        <f>Lookup!S37</f>
        <v>134098999.99999999</v>
      </c>
      <c r="T37" s="2">
        <f>Lookup!T37</f>
        <v>0</v>
      </c>
      <c r="U37" s="2">
        <f>Lookup!U37</f>
        <v>-439664000</v>
      </c>
      <c r="V37" s="2">
        <f>Lookup!V37</f>
        <v>0</v>
      </c>
      <c r="W37" s="2">
        <f>Lookup!W37</f>
        <v>510823000</v>
      </c>
      <c r="X37" s="2">
        <f>Lookup!X37</f>
        <v>-999139000</v>
      </c>
      <c r="Y37" s="2">
        <f>Lookup!Y37</f>
        <v>0</v>
      </c>
      <c r="Z37" s="2">
        <f>Lookup!Z37</f>
        <v>0</v>
      </c>
      <c r="AA37" s="2">
        <f>Lookup!AA37</f>
        <v>-55264000</v>
      </c>
      <c r="AB37" s="2">
        <f>Lookup!AB37</f>
        <v>0</v>
      </c>
      <c r="AC37" s="2">
        <f>Lookup!AC37</f>
        <v>-543580000</v>
      </c>
      <c r="AD37" s="2">
        <f>Lookup!AD37</f>
        <v>333535000</v>
      </c>
      <c r="AE37" s="2">
        <f>Lookup!AE37</f>
        <v>0</v>
      </c>
      <c r="AF37" s="2">
        <f>Lookup!AF37</f>
        <v>0</v>
      </c>
      <c r="AG37" t="str" cm="1">
        <f t="array" aca="1" ref="AG37" ca="1">MID(CELL("filename",J36),FIND("[",CELL("filename",J36))+1,FIND("]",CELL("filename",J36))-FIND("[",CELL("filename",J36))-1)</f>
        <v>KO_CASH_YR.xlsx</v>
      </c>
      <c r="AH37" t="str">
        <f t="shared" ca="1" si="1"/>
        <v>KO_CASH_YR-001</v>
      </c>
      <c r="AI37" s="10">
        <f t="shared" ca="1" si="0"/>
        <v>46089.95526145833</v>
      </c>
    </row>
    <row r="38" spans="1:35" x14ac:dyDescent="0.25">
      <c r="A38" s="2" t="str">
        <f>Lookup!A38</f>
        <v>KO</v>
      </c>
      <c r="B38" s="8">
        <f ca="1">Lookup!B38</f>
        <v>46089</v>
      </c>
      <c r="C38" s="2">
        <f>Lookup!C38</f>
        <v>1989</v>
      </c>
      <c r="D38" s="2">
        <f>Lookup!D38</f>
        <v>1723825000</v>
      </c>
      <c r="E38" s="2">
        <f>Lookup!E38</f>
        <v>183765000</v>
      </c>
      <c r="F38" s="2">
        <f>Lookup!F38</f>
        <v>0</v>
      </c>
      <c r="G38" s="2">
        <f>Lookup!G38</f>
        <v>183765000</v>
      </c>
      <c r="H38" s="2">
        <f>Lookup!H38</f>
        <v>0</v>
      </c>
      <c r="I38" s="2">
        <f>Lookup!I38</f>
        <v>0</v>
      </c>
      <c r="J38" s="2">
        <f>Lookup!J38</f>
        <v>0</v>
      </c>
      <c r="K38" s="2">
        <f>Lookup!K38</f>
        <v>0</v>
      </c>
      <c r="L38" s="2">
        <f>Lookup!L38</f>
        <v>279382000</v>
      </c>
      <c r="M38" s="2">
        <f>Lookup!M38</f>
        <v>1110213000</v>
      </c>
      <c r="N38" s="2">
        <f>Lookup!N38</f>
        <v>-401801000</v>
      </c>
      <c r="O38" s="2">
        <f>Lookup!O38</f>
        <v>0</v>
      </c>
      <c r="P38" s="2">
        <f>Lookup!P38</f>
        <v>1680073000</v>
      </c>
      <c r="Q38" s="2">
        <f>Lookup!Q38</f>
        <v>0</v>
      </c>
      <c r="R38" s="2">
        <f>Lookup!R38</f>
        <v>0</v>
      </c>
      <c r="S38" s="2">
        <f>Lookup!S38</f>
        <v>-724394000</v>
      </c>
      <c r="T38" s="2">
        <f>Lookup!T38</f>
        <v>0</v>
      </c>
      <c r="U38" s="2">
        <f>Lookup!U38</f>
        <v>553878000</v>
      </c>
      <c r="V38" s="2">
        <f>Lookup!V38</f>
        <v>0</v>
      </c>
      <c r="W38" s="2">
        <f>Lookup!W38</f>
        <v>-74320000</v>
      </c>
      <c r="X38" s="2">
        <f>Lookup!X38</f>
        <v>-74320000</v>
      </c>
      <c r="Y38" s="2">
        <f>Lookup!Y38</f>
        <v>0</v>
      </c>
      <c r="Z38" s="2">
        <f>Lookup!Z38</f>
        <v>-1125546000</v>
      </c>
      <c r="AA38" s="2">
        <f>Lookup!AA38</f>
        <v>-490655000</v>
      </c>
      <c r="AB38" s="2">
        <f>Lookup!AB38</f>
        <v>0</v>
      </c>
      <c r="AC38" s="2">
        <f>Lookup!AC38</f>
        <v>-1690521000</v>
      </c>
      <c r="AD38" s="2">
        <f>Lookup!AD38</f>
        <v>-49326000</v>
      </c>
      <c r="AE38" s="2">
        <f>Lookup!AE38</f>
        <v>0</v>
      </c>
      <c r="AF38" s="2">
        <f>Lookup!AF38</f>
        <v>0</v>
      </c>
      <c r="AG38" t="str" cm="1">
        <f t="array" aca="1" ref="AG38" ca="1">MID(CELL("filename",J37),FIND("[",CELL("filename",J37))+1,FIND("]",CELL("filename",J37))-FIND("[",CELL("filename",J37))-1)</f>
        <v>KO_CASH_YR.xlsx</v>
      </c>
      <c r="AH38" t="str">
        <f t="shared" ca="1" si="1"/>
        <v>KO_CASH_YR-001</v>
      </c>
      <c r="AI38" s="10">
        <f t="shared" ca="1" si="0"/>
        <v>46089.95526145833</v>
      </c>
    </row>
    <row r="39" spans="1:35" x14ac:dyDescent="0.25">
      <c r="A39" s="2" t="str">
        <f>Lookup!A39</f>
        <v>KO</v>
      </c>
      <c r="B39" s="8">
        <f ca="1">Lookup!B39</f>
        <v>46089</v>
      </c>
      <c r="C39" s="2">
        <f>Lookup!C39</f>
        <v>1988</v>
      </c>
      <c r="D39" s="2">
        <f>Lookup!D39</f>
        <v>1044703000</v>
      </c>
      <c r="E39" s="2">
        <f>Lookup!E39</f>
        <v>169768000</v>
      </c>
      <c r="F39" s="2">
        <f>Lookup!F39</f>
        <v>0</v>
      </c>
      <c r="G39" s="2">
        <f>Lookup!G39</f>
        <v>169768000</v>
      </c>
      <c r="H39" s="2">
        <f>Lookup!H39</f>
        <v>0</v>
      </c>
      <c r="I39" s="2">
        <f>Lookup!I39</f>
        <v>0</v>
      </c>
      <c r="J39" s="2">
        <f>Lookup!J39</f>
        <v>0</v>
      </c>
      <c r="K39" s="2">
        <f>Lookup!K39</f>
        <v>0</v>
      </c>
      <c r="L39" s="2">
        <f>Lookup!L39</f>
        <v>-83736000</v>
      </c>
      <c r="M39" s="2">
        <f>Lookup!M39</f>
        <v>1166837000</v>
      </c>
      <c r="N39" s="2">
        <f>Lookup!N39</f>
        <v>-343425000</v>
      </c>
      <c r="O39" s="2">
        <f>Lookup!O39</f>
        <v>0</v>
      </c>
      <c r="P39" s="2">
        <f>Lookup!P39</f>
        <v>0</v>
      </c>
      <c r="Q39" s="2">
        <f>Lookup!Q39</f>
        <v>0</v>
      </c>
      <c r="R39" s="2">
        <f>Lookup!R39</f>
        <v>0</v>
      </c>
      <c r="S39" s="2">
        <f>Lookup!S39</f>
        <v>148438000</v>
      </c>
      <c r="T39" s="2">
        <f>Lookup!T39</f>
        <v>544889000</v>
      </c>
      <c r="U39" s="2">
        <f>Lookup!U39</f>
        <v>349902000</v>
      </c>
      <c r="V39" s="2">
        <f>Lookup!V39</f>
        <v>0</v>
      </c>
      <c r="W39" s="2">
        <f>Lookup!W39</f>
        <v>-851598000</v>
      </c>
      <c r="X39" s="2">
        <f>Lookup!X39</f>
        <v>-851598000</v>
      </c>
      <c r="Y39" s="2">
        <f>Lookup!Y39</f>
        <v>0</v>
      </c>
      <c r="Z39" s="2">
        <f>Lookup!Z39</f>
        <v>-430626000</v>
      </c>
      <c r="AA39" s="2">
        <f>Lookup!AA39</f>
        <v>-443186000</v>
      </c>
      <c r="AB39" s="2">
        <f>Lookup!AB39</f>
        <v>0</v>
      </c>
      <c r="AC39" s="2">
        <f>Lookup!AC39</f>
        <v>-1725410000</v>
      </c>
      <c r="AD39" s="2">
        <f>Lookup!AD39</f>
        <v>-238214000</v>
      </c>
      <c r="AE39" s="2">
        <f>Lookup!AE39</f>
        <v>0</v>
      </c>
      <c r="AF39" s="2">
        <f>Lookup!AF39</f>
        <v>0</v>
      </c>
      <c r="AG39" t="str" cm="1">
        <f t="array" aca="1" ref="AG39" ca="1">MID(CELL("filename",J38),FIND("[",CELL("filename",J38))+1,FIND("]",CELL("filename",J38))-FIND("[",CELL("filename",J38))-1)</f>
        <v>KO_CASH_YR.xlsx</v>
      </c>
      <c r="AH39" t="str">
        <f t="shared" ca="1" si="1"/>
        <v>KO_CASH_YR-001</v>
      </c>
      <c r="AI39" s="10">
        <f t="shared" ca="1" si="0"/>
        <v>46089.95526145833</v>
      </c>
    </row>
    <row r="40" spans="1:35" x14ac:dyDescent="0.25">
      <c r="A40" s="2" t="str">
        <f>Lookup!A40</f>
        <v>KO</v>
      </c>
      <c r="B40" s="8">
        <f ca="1">Lookup!B40</f>
        <v>46089</v>
      </c>
      <c r="C40" s="2">
        <f>Lookup!C40</f>
        <v>1987</v>
      </c>
      <c r="D40" s="2">
        <f>Lookup!D40</f>
        <v>916136000</v>
      </c>
      <c r="E40" s="2">
        <f>Lookup!E40</f>
        <v>151904000</v>
      </c>
      <c r="F40" s="2">
        <f>Lookup!F40</f>
        <v>-79701000</v>
      </c>
      <c r="G40" s="2">
        <f>Lookup!G40</f>
        <v>72203000</v>
      </c>
      <c r="H40" s="2">
        <f>Lookup!H40</f>
        <v>0</v>
      </c>
      <c r="I40" s="2">
        <f>Lookup!I40</f>
        <v>0</v>
      </c>
      <c r="J40" s="2">
        <f>Lookup!J40</f>
        <v>0</v>
      </c>
      <c r="K40" s="2">
        <f>Lookup!K40</f>
        <v>0</v>
      </c>
      <c r="L40" s="2">
        <f>Lookup!L40</f>
        <v>-28706000</v>
      </c>
      <c r="M40" s="2">
        <f>Lookup!M40</f>
        <v>958768000</v>
      </c>
      <c r="N40" s="2">
        <f>Lookup!N40</f>
        <v>0</v>
      </c>
      <c r="O40" s="2">
        <f>Lookup!O40</f>
        <v>0</v>
      </c>
      <c r="P40" s="2">
        <f>Lookup!P40</f>
        <v>124505000</v>
      </c>
      <c r="Q40" s="2">
        <f>Lookup!Q40</f>
        <v>0</v>
      </c>
      <c r="R40" s="2">
        <f>Lookup!R40</f>
        <v>0</v>
      </c>
      <c r="S40" s="2">
        <f>Lookup!S40</f>
        <v>1305931000</v>
      </c>
      <c r="T40" s="2">
        <f>Lookup!T40</f>
        <v>41300000</v>
      </c>
      <c r="U40" s="2">
        <f>Lookup!U40</f>
        <v>1165649000</v>
      </c>
      <c r="V40" s="2">
        <f>Lookup!V40</f>
        <v>0</v>
      </c>
      <c r="W40" s="2">
        <f>Lookup!W40</f>
        <v>299616000</v>
      </c>
      <c r="X40" s="2">
        <f>Lookup!X40</f>
        <v>756557000</v>
      </c>
      <c r="Y40" s="2">
        <f>Lookup!Y40</f>
        <v>0</v>
      </c>
      <c r="Z40" s="2">
        <f>Lookup!Z40</f>
        <v>3596153000</v>
      </c>
      <c r="AA40" s="2">
        <f>Lookup!AA40</f>
        <v>0</v>
      </c>
      <c r="AB40" s="2">
        <f>Lookup!AB40</f>
        <v>213609000</v>
      </c>
      <c r="AC40" s="2">
        <f>Lookup!AC40</f>
        <v>605110000</v>
      </c>
      <c r="AD40" s="2">
        <f>Lookup!AD40</f>
        <v>1121630000</v>
      </c>
      <c r="AE40" s="2">
        <f>Lookup!AE40</f>
        <v>0</v>
      </c>
      <c r="AF40" s="2">
        <f>Lookup!AF40</f>
        <v>0</v>
      </c>
      <c r="AG40" t="str" cm="1">
        <f t="array" aca="1" ref="AG40" ca="1">MID(CELL("filename",J39),FIND("[",CELL("filename",J39))+1,FIND("]",CELL("filename",J39))-FIND("[",CELL("filename",J39))-1)</f>
        <v>KO_CASH_YR.xlsx</v>
      </c>
      <c r="AH40" t="str">
        <f t="shared" ca="1" si="1"/>
        <v>KO_CASH_YR-001</v>
      </c>
      <c r="AI40" s="10">
        <f t="shared" ca="1" si="0"/>
        <v>46089.95526145833</v>
      </c>
    </row>
    <row r="41" spans="1:35" x14ac:dyDescent="0.25">
      <c r="A41" s="2" t="str">
        <f>Lookup!A41</f>
        <v>KO</v>
      </c>
      <c r="B41" s="8">
        <f ca="1">Lookup!B41</f>
        <v>46089</v>
      </c>
      <c r="C41" s="2">
        <f>Lookup!C41</f>
        <v>1986</v>
      </c>
      <c r="D41" s="2">
        <f>Lookup!D41</f>
        <v>934347000</v>
      </c>
      <c r="E41" s="2">
        <f>Lookup!E41</f>
        <v>166829000</v>
      </c>
      <c r="F41" s="2">
        <f>Lookup!F41</f>
        <v>0</v>
      </c>
      <c r="G41" s="2">
        <f>Lookup!G41</f>
        <v>166829000</v>
      </c>
      <c r="H41" s="2">
        <f>Lookup!H41</f>
        <v>0</v>
      </c>
      <c r="I41" s="2">
        <f>Lookup!I41</f>
        <v>0</v>
      </c>
      <c r="J41" s="2">
        <f>Lookup!J41</f>
        <v>0</v>
      </c>
      <c r="K41" s="2">
        <f>Lookup!K41</f>
        <v>0</v>
      </c>
      <c r="L41" s="2">
        <f>Lookup!L41</f>
        <v>94524000</v>
      </c>
      <c r="M41" s="2">
        <f>Lookup!M41</f>
        <v>1016287000</v>
      </c>
      <c r="N41" s="2">
        <f>Lookup!N41</f>
        <v>0</v>
      </c>
      <c r="O41" s="2">
        <f>Lookup!O41</f>
        <v>0</v>
      </c>
      <c r="P41" s="2">
        <f>Lookup!P41</f>
        <v>167417000</v>
      </c>
      <c r="Q41" s="2">
        <f>Lookup!Q41</f>
        <v>0</v>
      </c>
      <c r="R41" s="2">
        <f>Lookup!R41</f>
        <v>0</v>
      </c>
      <c r="S41" s="2">
        <f>Lookup!S41</f>
        <v>557572000</v>
      </c>
      <c r="T41" s="2">
        <f>Lookup!T41</f>
        <v>51249000</v>
      </c>
      <c r="U41" s="2">
        <f>Lookup!U41</f>
        <v>256906999.99999997</v>
      </c>
      <c r="V41" s="2">
        <f>Lookup!V41</f>
        <v>0</v>
      </c>
      <c r="W41" s="2">
        <f>Lookup!W41</f>
        <v>372623000</v>
      </c>
      <c r="X41" s="2">
        <f>Lookup!X41</f>
        <v>402556000</v>
      </c>
      <c r="Y41" s="2">
        <f>Lookup!Y41</f>
        <v>0</v>
      </c>
      <c r="Z41" s="2">
        <f>Lookup!Z41</f>
        <v>2049431999.9999998</v>
      </c>
      <c r="AA41" s="2">
        <f>Lookup!AA41</f>
        <v>494805000</v>
      </c>
      <c r="AB41" s="2">
        <f>Lookup!AB41</f>
        <v>122125000</v>
      </c>
      <c r="AC41" s="2">
        <f>Lookup!AC41</f>
        <v>110471000</v>
      </c>
      <c r="AD41" s="2">
        <f>Lookup!AD41</f>
        <v>77249000</v>
      </c>
      <c r="AE41" s="2">
        <f>Lookup!AE41</f>
        <v>0</v>
      </c>
      <c r="AF41" s="2">
        <f>Lookup!AF41</f>
        <v>0</v>
      </c>
      <c r="AG41" t="str" cm="1">
        <f t="array" aca="1" ref="AG41" ca="1">MID(CELL("filename",J40),FIND("[",CELL("filename",J40))+1,FIND("]",CELL("filename",J40))-FIND("[",CELL("filename",J40))-1)</f>
        <v>KO_CASH_YR.xlsx</v>
      </c>
      <c r="AH41" t="str">
        <f t="shared" ca="1" si="1"/>
        <v>KO_CASH_YR-001</v>
      </c>
      <c r="AI41" s="10">
        <f t="shared" ca="1" si="0"/>
        <v>46089.95526145833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Lookup</vt:lpstr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Elrom</dc:creator>
  <cp:lastModifiedBy>Elrom,Tim</cp:lastModifiedBy>
  <dcterms:created xsi:type="dcterms:W3CDTF">2026-03-09T02:46:06Z</dcterms:created>
  <dcterms:modified xsi:type="dcterms:W3CDTF">2026-03-09T02:55:35Z</dcterms:modified>
</cp:coreProperties>
</file>