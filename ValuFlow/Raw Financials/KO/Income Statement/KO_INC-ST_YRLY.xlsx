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Income Statement\"/>
    </mc:Choice>
  </mc:AlternateContent>
  <xr:revisionPtr revIDLastSave="0" documentId="13_ncr:1_{019CC1E5-FA57-4D4D-959A-28F222968504}" xr6:coauthVersionLast="47" xr6:coauthVersionMax="47" xr10:uidLastSave="{00000000-0000-0000-0000-000000000000}"/>
  <bookViews>
    <workbookView xWindow="2730" yWindow="705" windowWidth="18750" windowHeight="20895" activeTab="1" xr2:uid="{528411F4-F15C-4345-B5E2-4A3AA9C67256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J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2" i="3"/>
  <c r="Y2" i="3" a="1"/>
  <c r="Y2" i="3" s="1"/>
  <c r="Z2" i="3" s="1"/>
  <c r="Z3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M2" i="3" s="1"/>
  <c r="N2" i="2"/>
  <c r="N2" i="3" s="1"/>
  <c r="O2" i="2"/>
  <c r="O2" i="3" s="1"/>
  <c r="P2" i="2"/>
  <c r="P2" i="3" s="1"/>
  <c r="Q2" i="2"/>
  <c r="Q2" i="3" s="1"/>
  <c r="R2" i="2"/>
  <c r="R2" i="3" s="1"/>
  <c r="S2" i="2"/>
  <c r="S2" i="3" s="1"/>
  <c r="T2" i="2"/>
  <c r="T2" i="3" s="1"/>
  <c r="U2" i="2"/>
  <c r="U2" i="3" s="1"/>
  <c r="V2" i="2"/>
  <c r="V2" i="3" s="1"/>
  <c r="W2" i="2"/>
  <c r="W2" i="3" s="1"/>
  <c r="X2" i="2"/>
  <c r="X2" i="3" s="1"/>
  <c r="F3" i="2"/>
  <c r="F3" i="3" s="1"/>
  <c r="G3" i="2"/>
  <c r="G3" i="3" s="1"/>
  <c r="H3" i="2"/>
  <c r="H3" i="3" s="1"/>
  <c r="I3" i="2"/>
  <c r="I3" i="3" s="1"/>
  <c r="J3" i="2"/>
  <c r="J3" i="3" s="1"/>
  <c r="K3" i="2"/>
  <c r="K3" i="3" s="1"/>
  <c r="L3" i="2"/>
  <c r="L3" i="3" s="1"/>
  <c r="M3" i="2"/>
  <c r="M3" i="3" s="1"/>
  <c r="N3" i="2"/>
  <c r="N3" i="3" s="1"/>
  <c r="O3" i="2"/>
  <c r="O3" i="3" s="1"/>
  <c r="P3" i="2"/>
  <c r="P3" i="3" s="1"/>
  <c r="Q3" i="2"/>
  <c r="Q3" i="3" s="1"/>
  <c r="R3" i="2"/>
  <c r="R3" i="3" s="1"/>
  <c r="S3" i="2"/>
  <c r="S3" i="3" s="1"/>
  <c r="T3" i="2"/>
  <c r="T3" i="3" s="1"/>
  <c r="U3" i="2"/>
  <c r="U3" i="3" s="1"/>
  <c r="V3" i="2"/>
  <c r="V3" i="3" s="1"/>
  <c r="W3" i="2"/>
  <c r="W3" i="3" s="1"/>
  <c r="X3" i="2"/>
  <c r="X3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O4" i="2"/>
  <c r="O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W4" i="2"/>
  <c r="W4" i="3" s="1"/>
  <c r="X4" i="2"/>
  <c r="X4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W5" i="2"/>
  <c r="W5" i="3" s="1"/>
  <c r="X5" i="2"/>
  <c r="X5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V6" i="3" s="1"/>
  <c r="W6" i="2"/>
  <c r="W6" i="3" s="1"/>
  <c r="X6" i="2"/>
  <c r="X6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W7" i="2"/>
  <c r="W7" i="3" s="1"/>
  <c r="X7" i="2"/>
  <c r="X7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W8" i="2"/>
  <c r="W8" i="3" s="1"/>
  <c r="X8" i="2"/>
  <c r="X8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Q9" i="3" s="1"/>
  <c r="R9" i="2"/>
  <c r="R9" i="3" s="1"/>
  <c r="S9" i="2"/>
  <c r="S9" i="3" s="1"/>
  <c r="T9" i="2"/>
  <c r="T9" i="3" s="1"/>
  <c r="U9" i="2"/>
  <c r="U9" i="3" s="1"/>
  <c r="V9" i="2"/>
  <c r="V9" i="3" s="1"/>
  <c r="W9" i="2"/>
  <c r="W9" i="3" s="1"/>
  <c r="X9" i="2"/>
  <c r="X9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W10" i="2"/>
  <c r="W10" i="3" s="1"/>
  <c r="X10" i="2"/>
  <c r="X10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V11" i="3" s="1"/>
  <c r="W11" i="2"/>
  <c r="W11" i="3" s="1"/>
  <c r="X11" i="2"/>
  <c r="X11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Q12" i="3" s="1"/>
  <c r="R12" i="2"/>
  <c r="R12" i="3" s="1"/>
  <c r="S12" i="2"/>
  <c r="S12" i="3" s="1"/>
  <c r="T12" i="2"/>
  <c r="T12" i="3" s="1"/>
  <c r="U12" i="2"/>
  <c r="U12" i="3" s="1"/>
  <c r="V12" i="2"/>
  <c r="V12" i="3" s="1"/>
  <c r="W12" i="2"/>
  <c r="W12" i="3" s="1"/>
  <c r="X12" i="2"/>
  <c r="X12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O13" i="2"/>
  <c r="O13" i="3" s="1"/>
  <c r="P13" i="2"/>
  <c r="P13" i="3" s="1"/>
  <c r="Q13" i="2"/>
  <c r="Q13" i="3" s="1"/>
  <c r="R13" i="2"/>
  <c r="R13" i="3" s="1"/>
  <c r="S13" i="2"/>
  <c r="S13" i="3" s="1"/>
  <c r="T13" i="2"/>
  <c r="T13" i="3" s="1"/>
  <c r="U13" i="2"/>
  <c r="U13" i="3" s="1"/>
  <c r="V13" i="2"/>
  <c r="V13" i="3" s="1"/>
  <c r="W13" i="2"/>
  <c r="W13" i="3" s="1"/>
  <c r="X13" i="2"/>
  <c r="X13" i="3" s="1"/>
  <c r="F14" i="2"/>
  <c r="F14" i="3" s="1"/>
  <c r="G14" i="2"/>
  <c r="G14" i="3" s="1"/>
  <c r="H14" i="2"/>
  <c r="H14" i="3" s="1"/>
  <c r="I14" i="2"/>
  <c r="I14" i="3" s="1"/>
  <c r="J14" i="2"/>
  <c r="K14" i="2"/>
  <c r="K14" i="3" s="1"/>
  <c r="L14" i="2"/>
  <c r="L14" i="3" s="1"/>
  <c r="M14" i="2"/>
  <c r="M14" i="3" s="1"/>
  <c r="N14" i="2"/>
  <c r="N14" i="3" s="1"/>
  <c r="O14" i="2"/>
  <c r="O14" i="3" s="1"/>
  <c r="P14" i="2"/>
  <c r="P14" i="3" s="1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W14" i="2"/>
  <c r="W14" i="3" s="1"/>
  <c r="X14" i="2"/>
  <c r="X14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W15" i="2"/>
  <c r="W15" i="3" s="1"/>
  <c r="X15" i="2"/>
  <c r="X15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W16" i="2"/>
  <c r="W16" i="3" s="1"/>
  <c r="X16" i="2"/>
  <c r="X16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W17" i="2"/>
  <c r="W17" i="3" s="1"/>
  <c r="X17" i="2"/>
  <c r="X17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Q18" i="3" s="1"/>
  <c r="R18" i="2"/>
  <c r="R18" i="3" s="1"/>
  <c r="S18" i="2"/>
  <c r="S18" i="3" s="1"/>
  <c r="T18" i="2"/>
  <c r="T18" i="3" s="1"/>
  <c r="U18" i="2"/>
  <c r="U18" i="3" s="1"/>
  <c r="V18" i="2"/>
  <c r="V18" i="3" s="1"/>
  <c r="W18" i="2"/>
  <c r="W18" i="3" s="1"/>
  <c r="X18" i="2"/>
  <c r="X18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W19" i="2"/>
  <c r="W19" i="3" s="1"/>
  <c r="X19" i="2"/>
  <c r="X19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W20" i="2"/>
  <c r="W20" i="3" s="1"/>
  <c r="X20" i="2"/>
  <c r="X20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W21" i="2"/>
  <c r="W21" i="3" s="1"/>
  <c r="X21" i="2"/>
  <c r="X21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Q22" i="3" s="1"/>
  <c r="R22" i="2"/>
  <c r="R22" i="3" s="1"/>
  <c r="S22" i="2"/>
  <c r="S22" i="3" s="1"/>
  <c r="T22" i="2"/>
  <c r="T22" i="3" s="1"/>
  <c r="U22" i="2"/>
  <c r="U22" i="3" s="1"/>
  <c r="V22" i="2"/>
  <c r="V22" i="3" s="1"/>
  <c r="W22" i="2"/>
  <c r="W22" i="3" s="1"/>
  <c r="X22" i="2"/>
  <c r="X22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O23" i="2"/>
  <c r="O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W23" i="2"/>
  <c r="W23" i="3" s="1"/>
  <c r="X23" i="2"/>
  <c r="X23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W24" i="2"/>
  <c r="W24" i="3" s="1"/>
  <c r="X24" i="2"/>
  <c r="X24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W25" i="2"/>
  <c r="W25" i="3" s="1"/>
  <c r="X25" i="2"/>
  <c r="X25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W26" i="2"/>
  <c r="W26" i="3" s="1"/>
  <c r="X26" i="2"/>
  <c r="X26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W27" i="2"/>
  <c r="W27" i="3" s="1"/>
  <c r="X27" i="2"/>
  <c r="X27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Q28" i="3" s="1"/>
  <c r="R28" i="2"/>
  <c r="R28" i="3" s="1"/>
  <c r="S28" i="2"/>
  <c r="S28" i="3" s="1"/>
  <c r="T28" i="2"/>
  <c r="T28" i="3" s="1"/>
  <c r="U28" i="2"/>
  <c r="U28" i="3" s="1"/>
  <c r="V28" i="2"/>
  <c r="V28" i="3" s="1"/>
  <c r="W28" i="2"/>
  <c r="W28" i="3" s="1"/>
  <c r="X28" i="2"/>
  <c r="X28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O29" i="2"/>
  <c r="O29" i="3" s="1"/>
  <c r="P29" i="2"/>
  <c r="P29" i="3" s="1"/>
  <c r="Q29" i="2"/>
  <c r="Q29" i="3" s="1"/>
  <c r="R29" i="2"/>
  <c r="R29" i="3" s="1"/>
  <c r="S29" i="2"/>
  <c r="S29" i="3" s="1"/>
  <c r="T29" i="2"/>
  <c r="T29" i="3" s="1"/>
  <c r="U29" i="2"/>
  <c r="U29" i="3" s="1"/>
  <c r="V29" i="2"/>
  <c r="V29" i="3" s="1"/>
  <c r="W29" i="2"/>
  <c r="W29" i="3" s="1"/>
  <c r="X29" i="2"/>
  <c r="X29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O30" i="2"/>
  <c r="O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W30" i="2"/>
  <c r="W30" i="3" s="1"/>
  <c r="X30" i="2"/>
  <c r="X30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W31" i="2"/>
  <c r="W31" i="3" s="1"/>
  <c r="X31" i="2"/>
  <c r="X31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W32" i="2"/>
  <c r="W32" i="3" s="1"/>
  <c r="X32" i="2"/>
  <c r="X32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W33" i="2"/>
  <c r="W33" i="3" s="1"/>
  <c r="X33" i="2"/>
  <c r="X33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Q34" i="3" s="1"/>
  <c r="R34" i="2"/>
  <c r="R34" i="3" s="1"/>
  <c r="S34" i="2"/>
  <c r="S34" i="3" s="1"/>
  <c r="T34" i="2"/>
  <c r="T34" i="3" s="1"/>
  <c r="U34" i="2"/>
  <c r="U34" i="3" s="1"/>
  <c r="V34" i="2"/>
  <c r="V34" i="3" s="1"/>
  <c r="W34" i="2"/>
  <c r="W34" i="3" s="1"/>
  <c r="X34" i="2"/>
  <c r="X34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O35" i="2"/>
  <c r="O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W35" i="2"/>
  <c r="W35" i="3" s="1"/>
  <c r="X35" i="2"/>
  <c r="X35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W36" i="2"/>
  <c r="W36" i="3" s="1"/>
  <c r="X36" i="2"/>
  <c r="X36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W37" i="2"/>
  <c r="W37" i="3" s="1"/>
  <c r="X37" i="2"/>
  <c r="X37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W38" i="2"/>
  <c r="W38" i="3" s="1"/>
  <c r="X38" i="2"/>
  <c r="X38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W39" i="2"/>
  <c r="W39" i="3" s="1"/>
  <c r="X39" i="2"/>
  <c r="X39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W40" i="2"/>
  <c r="W40" i="3" s="1"/>
  <c r="X40" i="2"/>
  <c r="X40" i="3" s="1"/>
  <c r="E3" i="2"/>
  <c r="E3" i="3" s="1"/>
  <c r="E4" i="2"/>
  <c r="E4" i="3" s="1"/>
  <c r="E5" i="2"/>
  <c r="E5" i="3" s="1"/>
  <c r="E6" i="2"/>
  <c r="E6" i="3" s="1"/>
  <c r="E7" i="2"/>
  <c r="E7" i="3" s="1"/>
  <c r="E8" i="2"/>
  <c r="E8" i="3" s="1"/>
  <c r="E9" i="2"/>
  <c r="E9" i="3" s="1"/>
  <c r="E10" i="2"/>
  <c r="E10" i="3" s="1"/>
  <c r="E11" i="2"/>
  <c r="E11" i="3" s="1"/>
  <c r="E12" i="2"/>
  <c r="E12" i="3" s="1"/>
  <c r="E13" i="2"/>
  <c r="E13" i="3" s="1"/>
  <c r="E14" i="2"/>
  <c r="E14" i="3" s="1"/>
  <c r="E15" i="2"/>
  <c r="E15" i="3" s="1"/>
  <c r="E16" i="2"/>
  <c r="E16" i="3" s="1"/>
  <c r="E17" i="2"/>
  <c r="E17" i="3" s="1"/>
  <c r="E18" i="2"/>
  <c r="E18" i="3" s="1"/>
  <c r="E19" i="2"/>
  <c r="E19" i="3" s="1"/>
  <c r="E20" i="2"/>
  <c r="E20" i="3" s="1"/>
  <c r="E21" i="2"/>
  <c r="E21" i="3" s="1"/>
  <c r="E22" i="2"/>
  <c r="E22" i="3" s="1"/>
  <c r="E23" i="2"/>
  <c r="E23" i="3" s="1"/>
  <c r="E24" i="2"/>
  <c r="E24" i="3" s="1"/>
  <c r="E25" i="2"/>
  <c r="E25" i="3" s="1"/>
  <c r="E26" i="2"/>
  <c r="E26" i="3" s="1"/>
  <c r="E27" i="2"/>
  <c r="E27" i="3" s="1"/>
  <c r="E28" i="2"/>
  <c r="E28" i="3" s="1"/>
  <c r="E29" i="2"/>
  <c r="E29" i="3" s="1"/>
  <c r="E30" i="2"/>
  <c r="E30" i="3" s="1"/>
  <c r="E31" i="2"/>
  <c r="E31" i="3" s="1"/>
  <c r="E32" i="2"/>
  <c r="E32" i="3" s="1"/>
  <c r="E33" i="2"/>
  <c r="E33" i="3" s="1"/>
  <c r="E34" i="2"/>
  <c r="E34" i="3" s="1"/>
  <c r="E35" i="2"/>
  <c r="E35" i="3" s="1"/>
  <c r="E36" i="2"/>
  <c r="E36" i="3" s="1"/>
  <c r="E37" i="2"/>
  <c r="E37" i="3" s="1"/>
  <c r="E38" i="2"/>
  <c r="E38" i="3" s="1"/>
  <c r="E39" i="2"/>
  <c r="E39" i="3" s="1"/>
  <c r="E40" i="2"/>
  <c r="E40" i="3" s="1"/>
  <c r="D40" i="2"/>
  <c r="D40" i="3" s="1"/>
  <c r="D39" i="2"/>
  <c r="D39" i="3" s="1"/>
  <c r="D38" i="2"/>
  <c r="D38" i="3" s="1"/>
  <c r="D37" i="2"/>
  <c r="D37" i="3" s="1"/>
  <c r="D36" i="2"/>
  <c r="D36" i="3" s="1"/>
  <c r="D35" i="2"/>
  <c r="D35" i="3" s="1"/>
  <c r="D34" i="2"/>
  <c r="D34" i="3" s="1"/>
  <c r="D33" i="2"/>
  <c r="D33" i="3" s="1"/>
  <c r="D32" i="2"/>
  <c r="D32" i="3" s="1"/>
  <c r="D31" i="2"/>
  <c r="D31" i="3" s="1"/>
  <c r="D30" i="2"/>
  <c r="D30" i="3" s="1"/>
  <c r="D29" i="2"/>
  <c r="D29" i="3" s="1"/>
  <c r="D28" i="2"/>
  <c r="D28" i="3" s="1"/>
  <c r="D27" i="2"/>
  <c r="D27" i="3" s="1"/>
  <c r="D26" i="2"/>
  <c r="D26" i="3" s="1"/>
  <c r="D25" i="2"/>
  <c r="D25" i="3" s="1"/>
  <c r="D24" i="2"/>
  <c r="D24" i="3" s="1"/>
  <c r="D23" i="2"/>
  <c r="D23" i="3" s="1"/>
  <c r="D22" i="2"/>
  <c r="D22" i="3" s="1"/>
  <c r="D21" i="2"/>
  <c r="D21" i="3" s="1"/>
  <c r="D20" i="2"/>
  <c r="D20" i="3" s="1"/>
  <c r="D19" i="2"/>
  <c r="D19" i="3" s="1"/>
  <c r="D18" i="2"/>
  <c r="D18" i="3" s="1"/>
  <c r="D17" i="2"/>
  <c r="D17" i="3" s="1"/>
  <c r="D16" i="2"/>
  <c r="D16" i="3" s="1"/>
  <c r="D15" i="2"/>
  <c r="D15" i="3" s="1"/>
  <c r="D14" i="2"/>
  <c r="D14" i="3" s="1"/>
  <c r="D13" i="2"/>
  <c r="D13" i="3" s="1"/>
  <c r="D12" i="2"/>
  <c r="D12" i="3" s="1"/>
  <c r="D11" i="2"/>
  <c r="D11" i="3" s="1"/>
  <c r="D10" i="2"/>
  <c r="D10" i="3" s="1"/>
  <c r="D9" i="2"/>
  <c r="D9" i="3" s="1"/>
  <c r="D8" i="2"/>
  <c r="D8" i="3" s="1"/>
  <c r="D7" i="2"/>
  <c r="D7" i="3" s="1"/>
  <c r="D6" i="2"/>
  <c r="D6" i="3" s="1"/>
  <c r="D5" i="2"/>
  <c r="D5" i="3" s="1"/>
  <c r="D4" i="2"/>
  <c r="D4" i="3" s="1"/>
  <c r="E2" i="2"/>
  <c r="E2" i="3" s="1"/>
  <c r="D3" i="2"/>
  <c r="D3" i="3" s="1"/>
  <c r="B40" i="2"/>
  <c r="B40" i="3" s="1"/>
  <c r="B39" i="2"/>
  <c r="B39" i="3" s="1"/>
  <c r="B38" i="2"/>
  <c r="B38" i="3" s="1"/>
  <c r="B37" i="2"/>
  <c r="B37" i="3" s="1"/>
  <c r="B36" i="2"/>
  <c r="B36" i="3" s="1"/>
  <c r="B35" i="2"/>
  <c r="B35" i="3" s="1"/>
  <c r="B34" i="2"/>
  <c r="B34" i="3" s="1"/>
  <c r="B33" i="2"/>
  <c r="B33" i="3" s="1"/>
  <c r="B32" i="2"/>
  <c r="B32" i="3" s="1"/>
  <c r="B31" i="2"/>
  <c r="B31" i="3" s="1"/>
  <c r="B30" i="2"/>
  <c r="B30" i="3" s="1"/>
  <c r="B29" i="2"/>
  <c r="B29" i="3" s="1"/>
  <c r="B28" i="2"/>
  <c r="B28" i="3" s="1"/>
  <c r="B27" i="2"/>
  <c r="B26" i="2"/>
  <c r="B26" i="3" s="1"/>
  <c r="B25" i="2"/>
  <c r="B25" i="3" s="1"/>
  <c r="B24" i="2"/>
  <c r="B24" i="3" s="1"/>
  <c r="B23" i="2"/>
  <c r="B23" i="3" s="1"/>
  <c r="B22" i="2"/>
  <c r="B22" i="3" s="1"/>
  <c r="B21" i="2"/>
  <c r="B21" i="3" s="1"/>
  <c r="B20" i="2"/>
  <c r="B19" i="2"/>
  <c r="B19" i="3" s="1"/>
  <c r="B18" i="2"/>
  <c r="B18" i="3" s="1"/>
  <c r="B17" i="2"/>
  <c r="B17" i="3" s="1"/>
  <c r="B16" i="2"/>
  <c r="B16" i="3" s="1"/>
  <c r="B15" i="2"/>
  <c r="B15" i="3" s="1"/>
  <c r="B14" i="2"/>
  <c r="B14" i="3" s="1"/>
  <c r="B13" i="2"/>
  <c r="B13" i="3" s="1"/>
  <c r="B12" i="2"/>
  <c r="B12" i="3" s="1"/>
  <c r="B11" i="2"/>
  <c r="B11" i="3" s="1"/>
  <c r="B10" i="2"/>
  <c r="B10" i="3" s="1"/>
  <c r="B9" i="2"/>
  <c r="B9" i="3" s="1"/>
  <c r="B8" i="2"/>
  <c r="B8" i="3" s="1"/>
  <c r="B7" i="2"/>
  <c r="B7" i="3" s="1"/>
  <c r="B6" i="2"/>
  <c r="B6" i="3" s="1"/>
  <c r="B5" i="2"/>
  <c r="B5" i="3" s="1"/>
  <c r="B4" i="2"/>
  <c r="B3" i="2"/>
  <c r="B3" i="3" s="1"/>
  <c r="B2" i="2"/>
  <c r="B2" i="3" s="1"/>
  <c r="B20" i="3" l="1"/>
  <c r="B4" i="3"/>
  <c r="B27" i="3"/>
  <c r="Y9" i="3"/>
  <c r="Y25" i="3"/>
  <c r="Y12" i="3"/>
  <c r="Y28" i="3"/>
  <c r="Y29" i="3"/>
  <c r="Y14" i="3"/>
  <c r="Y30" i="3"/>
  <c r="Y15" i="3"/>
  <c r="Y31" i="3"/>
  <c r="Y16" i="3"/>
  <c r="Y32" i="3"/>
  <c r="Y17" i="3"/>
  <c r="Y33" i="3"/>
  <c r="Y27" i="3"/>
  <c r="Y18" i="3"/>
  <c r="Y34" i="3"/>
  <c r="Y26" i="3"/>
  <c r="Y11" i="3"/>
  <c r="Y19" i="3"/>
  <c r="Y35" i="3"/>
  <c r="Y10" i="3"/>
  <c r="Y13" i="3"/>
  <c r="Y4" i="3"/>
  <c r="Y20" i="3"/>
  <c r="Y36" i="3"/>
  <c r="Y5" i="3"/>
  <c r="Y21" i="3"/>
  <c r="Y37" i="3"/>
  <c r="Y6" i="3"/>
  <c r="Y22" i="3"/>
  <c r="Y38" i="3"/>
  <c r="Y7" i="3"/>
  <c r="Y23" i="3"/>
  <c r="Y39" i="3"/>
  <c r="Y8" i="3"/>
  <c r="Y24" i="3"/>
  <c r="Y40" i="3"/>
  <c r="Y3" i="3"/>
  <c r="Z9" i="3"/>
  <c r="Z10" i="3"/>
  <c r="Z11" i="3"/>
  <c r="Z12" i="3"/>
  <c r="Z25" i="3"/>
  <c r="Z26" i="3"/>
  <c r="Z27" i="3"/>
  <c r="Z28" i="3"/>
  <c r="Z13" i="3"/>
  <c r="Z29" i="3"/>
  <c r="Z14" i="3"/>
  <c r="Z30" i="3"/>
  <c r="Z15" i="3"/>
  <c r="Z31" i="3"/>
  <c r="Z16" i="3"/>
  <c r="Z32" i="3"/>
  <c r="Z33" i="3"/>
  <c r="Z17" i="3"/>
  <c r="Z18" i="3"/>
  <c r="Z34" i="3"/>
  <c r="Z19" i="3"/>
  <c r="Z35" i="3"/>
  <c r="Z4" i="3"/>
  <c r="Z20" i="3"/>
  <c r="Z36" i="3"/>
  <c r="Z5" i="3"/>
  <c r="Z21" i="3"/>
  <c r="Z37" i="3"/>
  <c r="Z6" i="3"/>
  <c r="Z22" i="3"/>
  <c r="Z38" i="3"/>
  <c r="Z7" i="3"/>
  <c r="Z23" i="3"/>
  <c r="Z39" i="3"/>
  <c r="Z8" i="3"/>
  <c r="Z24" i="3"/>
  <c r="Z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<sst xmlns="http://schemas.openxmlformats.org/spreadsheetml/2006/main" count="112" uniqueCount="48">
  <si>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</si>
  <si>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</si>
  <si>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</si>
  <si>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</si>
  <si>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</si>
  <si>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</si>
  <si>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</si>
  <si>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</si>
  <si>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</si>
  <si>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</si>
  <si>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</si>
  <si>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</si>
  <si>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</si>
  <si>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</si>
  <si>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</si>
  <si>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</si>
  <si>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</si>
  <si>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</si>
  <si>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</si>
  <si>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</si>
  <si>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</si>
  <si>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TICKER</t>
  </si>
  <si>
    <t>ASOF_DATE</t>
  </si>
  <si>
    <t>YR</t>
  </si>
  <si>
    <t>EPS</t>
  </si>
  <si>
    <t>KO</t>
  </si>
  <si>
    <t>COGS</t>
  </si>
  <si>
    <t>SOURCE_FILE</t>
  </si>
  <si>
    <t>LOAD_BATCH_ID</t>
  </si>
  <si>
    <t>LOADED_AT</t>
  </si>
  <si>
    <t>REVENUE</t>
  </si>
  <si>
    <t>GROSS_PROFIT</t>
  </si>
  <si>
    <t>SGA_EXPENSES</t>
  </si>
  <si>
    <t>OTHER_OPERATING_INCOME_OR_EXPENSES</t>
  </si>
  <si>
    <t>OPERATING_EXPENSES</t>
  </si>
  <si>
    <t>OPERATING_INCOME</t>
  </si>
  <si>
    <t>TOTAL_NONOPERATING_INCOME_OR_EXPENSE</t>
  </si>
  <si>
    <t>PRETAX_INCOME</t>
  </si>
  <si>
    <t>INCOME_TAXES</t>
  </si>
  <si>
    <t>INCOME_AFTER_TAXES</t>
  </si>
  <si>
    <t>OTHER_INCOME</t>
  </si>
  <si>
    <t>INCOME_FROM_CONTINUOUS_OPERATIONS</t>
  </si>
  <si>
    <t>INCOME_FROM_DISCONTINUED_OPERATIONS</t>
  </si>
  <si>
    <t>NET_INCOME</t>
  </si>
  <si>
    <t>BASIC_SHARES</t>
  </si>
  <si>
    <t>DILUTED_SHARES</t>
  </si>
  <si>
    <t>BASIC_EPS</t>
  </si>
  <si>
    <t>DILUTED_EPS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</si>
</sst>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8" fillId="0" borderId="0" xfId="0" applyFont="1"/>
    <xf numFmtId="14" fontId="18" fillId="0" borderId="0" xfId="0" applyNumberFormat="1" applyFont="1"/>
    <xf numFmtId="164" fontId="0" fillId="0" borderId="0" xfId="1" applyNumberFormat="1" applyFont="1"/>
    <xf numFmtId="43" fontId="0" fillId="0" borderId="0" xfId="1" applyFont="1"/>
    <xf numFmtId="0" fontId="18" fillId="0" borderId="11" xfId="0" applyFont="1" applyBorder="1"/>
    <xf numFmtId="165" fontId="18" fillId="0" borderId="11" xfId="2" applyNumberFormat="1" applyFont="1" applyBorder="1"/>
    <xf numFmtId="165" fontId="0" fillId="0" borderId="0" xfId="2" applyNumberFormat="1" applyFont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2" fontId="0" fillId="0" borderId="0" xfId="0" applyNumberFormat="1"/>
    <xf numFmtId="14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3343-2863-49D1-9F8A-CF9C680948E0}">
  <dimension ref="A3:FB39"/>
  <sheetViews>
    <sheetView showGridLines="0" workbookViewId="0">
      <selection activeCell="B36" sqref="B36"/>
    </sheetView>
  </sheetViews>
  <sheetFormatPr defaultColWidth="20.7109375" defaultRowHeight="15" x14ac:dyDescent="0.25"/>
  <cols>
    <col min="1" max="1" width="35.85546875" bestFit="1" customWidth="1"/>
  </cols>
  <sheetData>
    <row r="3" spans="1:158" x14ac:dyDescent="0.25">
      <c r="A3" s="1"/>
      <c r="B3" s="2">
        <v>2025</v>
      </c>
      <c r="C3" s="2">
        <v>2024</v>
      </c>
      <c r="D3" s="2">
        <v>2023</v>
      </c>
      <c r="E3" s="2">
        <v>2022</v>
      </c>
      <c r="F3" s="2">
        <v>2021</v>
      </c>
      <c r="G3" s="2">
        <v>2020</v>
      </c>
      <c r="H3" s="2">
        <v>2019</v>
      </c>
      <c r="I3" s="2">
        <v>2018</v>
      </c>
      <c r="J3" s="2">
        <v>2017</v>
      </c>
      <c r="K3" s="2">
        <v>2016</v>
      </c>
      <c r="L3" s="2">
        <v>2015</v>
      </c>
      <c r="M3" s="2">
        <v>2014</v>
      </c>
      <c r="N3" s="2">
        <v>2013</v>
      </c>
      <c r="O3" s="2">
        <v>2012</v>
      </c>
      <c r="P3" s="2">
        <v>2011</v>
      </c>
      <c r="Q3" s="2">
        <v>2010</v>
      </c>
      <c r="R3" s="2">
        <v>2009</v>
      </c>
      <c r="S3" s="2">
        <v>2008</v>
      </c>
      <c r="T3" s="2">
        <v>2007</v>
      </c>
      <c r="U3" s="2">
        <v>2006</v>
      </c>
      <c r="V3" s="2">
        <v>2005</v>
      </c>
      <c r="W3" s="2">
        <v>2004</v>
      </c>
      <c r="X3" s="2">
        <v>2003</v>
      </c>
      <c r="Y3" s="2">
        <v>2002</v>
      </c>
      <c r="Z3" s="2">
        <v>2001</v>
      </c>
      <c r="AA3" s="2">
        <v>2000</v>
      </c>
      <c r="AB3" s="2">
        <v>1999</v>
      </c>
      <c r="AC3" s="2">
        <v>1998</v>
      </c>
      <c r="AD3" s="2">
        <v>1997</v>
      </c>
      <c r="AE3" s="2">
        <v>1996</v>
      </c>
      <c r="AF3" s="2">
        <v>1995</v>
      </c>
      <c r="AG3" s="2">
        <v>1994</v>
      </c>
      <c r="AH3" s="2">
        <v>1993</v>
      </c>
      <c r="AI3" s="2">
        <v>1992</v>
      </c>
      <c r="AJ3" s="2">
        <v>1991</v>
      </c>
      <c r="AK3" s="2">
        <v>1990</v>
      </c>
      <c r="AL3" s="2">
        <v>1989</v>
      </c>
      <c r="AM3" s="2">
        <v>1988</v>
      </c>
      <c r="AN3" s="2">
        <v>1987</v>
      </c>
      <c r="AO3" s="2">
        <v>1986</v>
      </c>
    </row>
    <row r="4" spans="1:158" s="3" customForma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</row>
    <row r="5" spans="1:158" x14ac:dyDescent="0.25">
      <c r="A5" t="s">
        <v>0</v>
      </c>
      <c r="B5" s="5">
        <v>47941000000</v>
      </c>
      <c r="C5" s="5">
        <v>47061000000</v>
      </c>
      <c r="D5" s="5">
        <v>45754000000</v>
      </c>
      <c r="E5" s="5">
        <v>43004000000</v>
      </c>
      <c r="F5" s="5">
        <v>38655000000</v>
      </c>
      <c r="G5" s="5">
        <v>33014000000</v>
      </c>
      <c r="H5" s="5">
        <v>37266000000</v>
      </c>
      <c r="I5" s="5">
        <v>34300000000</v>
      </c>
      <c r="J5" s="5">
        <v>36212000000</v>
      </c>
      <c r="K5" s="5">
        <v>41863000000</v>
      </c>
      <c r="L5" s="5">
        <v>44294000000</v>
      </c>
      <c r="M5" s="5">
        <v>45998000000</v>
      </c>
      <c r="N5" s="5">
        <v>46854000000</v>
      </c>
      <c r="O5" s="5">
        <v>48017000000</v>
      </c>
      <c r="P5" s="5">
        <v>46542000000</v>
      </c>
      <c r="Q5" s="5">
        <v>35119000000</v>
      </c>
      <c r="R5" s="5">
        <v>30990000000</v>
      </c>
      <c r="S5" s="5">
        <v>31944000000</v>
      </c>
      <c r="T5" s="5">
        <v>28857000000</v>
      </c>
      <c r="U5" s="5">
        <v>24088000000</v>
      </c>
      <c r="V5" s="5">
        <v>23104000000</v>
      </c>
      <c r="W5" s="5">
        <v>21742000000</v>
      </c>
      <c r="X5" s="5">
        <v>20857000000</v>
      </c>
      <c r="Y5" s="5">
        <v>19564000000</v>
      </c>
      <c r="Z5" s="5">
        <v>17545000000</v>
      </c>
      <c r="AA5" s="5">
        <v>17354000000</v>
      </c>
      <c r="AB5" s="5">
        <v>0</v>
      </c>
      <c r="AC5" s="5">
        <v>18813000000</v>
      </c>
      <c r="AD5" s="5">
        <v>18868000000</v>
      </c>
      <c r="AE5" s="5">
        <v>18546000000</v>
      </c>
      <c r="AF5" s="5">
        <v>18018000000</v>
      </c>
      <c r="AG5" s="5">
        <v>16172000000</v>
      </c>
      <c r="AH5" s="5">
        <v>13957000000</v>
      </c>
      <c r="AI5" s="5">
        <v>13073860000</v>
      </c>
      <c r="AJ5" s="5">
        <v>11571610000</v>
      </c>
      <c r="AK5" s="5">
        <v>10236350000</v>
      </c>
      <c r="AL5" s="5">
        <v>8965786000</v>
      </c>
      <c r="AM5" s="5">
        <v>8337831000</v>
      </c>
      <c r="AN5" s="5">
        <v>7658341000</v>
      </c>
      <c r="AO5" s="5">
        <v>6976558000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</row>
    <row r="6" spans="1:158" x14ac:dyDescent="0.25">
      <c r="A6" t="s">
        <v>1</v>
      </c>
      <c r="B6" s="5">
        <v>18397000000</v>
      </c>
      <c r="C6" s="5">
        <v>18324000000</v>
      </c>
      <c r="D6" s="5">
        <v>18520000000</v>
      </c>
      <c r="E6" s="5">
        <v>18000000000</v>
      </c>
      <c r="F6" s="5">
        <v>15357000000</v>
      </c>
      <c r="G6" s="5">
        <v>13433000000</v>
      </c>
      <c r="H6" s="5">
        <v>14619000000</v>
      </c>
      <c r="I6" s="5">
        <v>13067000000</v>
      </c>
      <c r="J6" s="5">
        <v>13721000000</v>
      </c>
      <c r="K6" s="5">
        <v>16465000000</v>
      </c>
      <c r="L6" s="5">
        <v>17482000000</v>
      </c>
      <c r="M6" s="5">
        <v>17889000000</v>
      </c>
      <c r="N6" s="5">
        <v>18421000000</v>
      </c>
      <c r="O6" s="5">
        <v>19053000000</v>
      </c>
      <c r="P6" s="5">
        <v>18215000000</v>
      </c>
      <c r="Q6" s="5">
        <v>12693000000</v>
      </c>
      <c r="R6" s="5">
        <v>11088000000</v>
      </c>
      <c r="S6" s="5">
        <v>11374000000</v>
      </c>
      <c r="T6" s="5">
        <v>10406000000</v>
      </c>
      <c r="U6" s="5">
        <v>8164000000</v>
      </c>
      <c r="V6" s="5">
        <v>8195000000</v>
      </c>
      <c r="W6" s="5">
        <v>7674000000</v>
      </c>
      <c r="X6" s="5">
        <v>7776000000</v>
      </c>
      <c r="Y6" s="5">
        <v>7105000000</v>
      </c>
      <c r="Z6" s="5">
        <v>6044000000</v>
      </c>
      <c r="AA6" s="5">
        <v>6204000000</v>
      </c>
      <c r="AB6" s="5">
        <v>0</v>
      </c>
      <c r="AC6" s="5">
        <v>5562000000</v>
      </c>
      <c r="AD6" s="5">
        <v>6015000000</v>
      </c>
      <c r="AE6" s="5">
        <v>6738000000</v>
      </c>
      <c r="AF6" s="5">
        <v>6940000000</v>
      </c>
      <c r="AG6" s="5">
        <v>6167000000</v>
      </c>
      <c r="AH6" s="5">
        <v>5160000000</v>
      </c>
      <c r="AI6" s="5">
        <v>5054377000</v>
      </c>
      <c r="AJ6" s="5">
        <v>4648385000</v>
      </c>
      <c r="AK6" s="5">
        <v>4208850000.0000005</v>
      </c>
      <c r="AL6" s="5">
        <v>3892069000</v>
      </c>
      <c r="AM6" s="5">
        <v>3701472000</v>
      </c>
      <c r="AN6" s="5">
        <v>3633159000</v>
      </c>
      <c r="AO6" s="5">
        <v>3453891000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</row>
    <row r="7" spans="1:158" x14ac:dyDescent="0.25">
      <c r="A7" t="s">
        <v>2</v>
      </c>
      <c r="B7" s="5">
        <v>29544000000</v>
      </c>
      <c r="C7" s="5">
        <v>28737000000</v>
      </c>
      <c r="D7" s="5">
        <v>27234000000</v>
      </c>
      <c r="E7" s="5">
        <v>25004000000</v>
      </c>
      <c r="F7" s="5">
        <v>23298000000</v>
      </c>
      <c r="G7" s="5">
        <v>19581000000</v>
      </c>
      <c r="H7" s="5">
        <v>22647000000</v>
      </c>
      <c r="I7" s="5">
        <v>21233000000</v>
      </c>
      <c r="J7" s="5">
        <v>22491000000</v>
      </c>
      <c r="K7" s="5">
        <v>25398000000</v>
      </c>
      <c r="L7" s="5">
        <v>26812000000</v>
      </c>
      <c r="M7" s="5">
        <v>28109000000</v>
      </c>
      <c r="N7" s="5">
        <v>28433000000</v>
      </c>
      <c r="O7" s="5">
        <v>28964000000</v>
      </c>
      <c r="P7" s="5">
        <v>28327000000</v>
      </c>
      <c r="Q7" s="5">
        <v>22426000000</v>
      </c>
      <c r="R7" s="5">
        <v>19902000000</v>
      </c>
      <c r="S7" s="5">
        <v>20570000000</v>
      </c>
      <c r="T7" s="5">
        <v>18451000000</v>
      </c>
      <c r="U7" s="5">
        <v>15924000000</v>
      </c>
      <c r="V7" s="5">
        <v>14909000000</v>
      </c>
      <c r="W7" s="5">
        <v>14068000000</v>
      </c>
      <c r="X7" s="5">
        <v>13081000000</v>
      </c>
      <c r="Y7" s="5">
        <v>12459000000</v>
      </c>
      <c r="Z7" s="5">
        <v>11501000000</v>
      </c>
      <c r="AA7" s="5">
        <v>11150000000</v>
      </c>
      <c r="AB7" s="5">
        <v>0</v>
      </c>
      <c r="AC7" s="5">
        <v>13251000000</v>
      </c>
      <c r="AD7" s="5">
        <v>12853000000</v>
      </c>
      <c r="AE7" s="5">
        <v>11808000000</v>
      </c>
      <c r="AF7" s="5">
        <v>11078000000</v>
      </c>
      <c r="AG7" s="5">
        <v>10005000000</v>
      </c>
      <c r="AH7" s="5">
        <v>8797000000</v>
      </c>
      <c r="AI7" s="5">
        <v>8019483000</v>
      </c>
      <c r="AJ7" s="5">
        <v>6923226000</v>
      </c>
      <c r="AK7" s="5">
        <v>6027500000</v>
      </c>
      <c r="AL7" s="5">
        <v>5073717000</v>
      </c>
      <c r="AM7" s="5">
        <v>4636359000</v>
      </c>
      <c r="AN7" s="5">
        <v>4025182000</v>
      </c>
      <c r="AO7" s="5">
        <v>3522667000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</row>
    <row r="9" spans="1:158" x14ac:dyDescent="0.25">
      <c r="A9" t="s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CX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</row>
    <row r="10" spans="1:158" x14ac:dyDescent="0.25">
      <c r="A10" t="s">
        <v>4</v>
      </c>
      <c r="B10" s="5">
        <v>14521000000</v>
      </c>
      <c r="C10" s="5">
        <v>14582000000</v>
      </c>
      <c r="D10" s="5">
        <v>13972000000</v>
      </c>
      <c r="E10" s="5">
        <v>12880000000</v>
      </c>
      <c r="F10" s="5">
        <v>12144000000</v>
      </c>
      <c r="G10" s="5">
        <v>9731000000</v>
      </c>
      <c r="H10" s="5">
        <v>12103000000</v>
      </c>
      <c r="I10" s="5">
        <v>11002000000</v>
      </c>
      <c r="J10" s="5">
        <v>12834000000</v>
      </c>
      <c r="K10" s="5">
        <v>15370000000</v>
      </c>
      <c r="L10" s="5">
        <v>16427000000</v>
      </c>
      <c r="M10" s="5">
        <v>17218000000</v>
      </c>
      <c r="N10" s="5">
        <v>17310000000</v>
      </c>
      <c r="O10" s="5">
        <v>17738000000</v>
      </c>
      <c r="P10" s="5">
        <v>17422000000</v>
      </c>
      <c r="Q10" s="5">
        <v>13194000000</v>
      </c>
      <c r="R10" s="5">
        <v>11358000000</v>
      </c>
      <c r="S10" s="5">
        <v>11774000000</v>
      </c>
      <c r="T10" s="5">
        <v>10945000000</v>
      </c>
      <c r="U10" s="5">
        <v>9431000000</v>
      </c>
      <c r="V10" s="5">
        <v>8739000000</v>
      </c>
      <c r="W10" s="5">
        <v>7890000000</v>
      </c>
      <c r="X10" s="5">
        <v>7287000000</v>
      </c>
      <c r="Y10" s="5">
        <v>7001000000</v>
      </c>
      <c r="Z10" s="5">
        <v>6149000000</v>
      </c>
      <c r="AA10" s="5">
        <v>6016000000</v>
      </c>
      <c r="AB10" s="5">
        <v>0</v>
      </c>
      <c r="AC10" s="5">
        <v>8284000000</v>
      </c>
      <c r="AD10" s="5">
        <v>7852000000</v>
      </c>
      <c r="AE10" s="5">
        <v>7893000000</v>
      </c>
      <c r="AF10" s="5">
        <v>6986000000</v>
      </c>
      <c r="AG10" s="5">
        <v>6297000000</v>
      </c>
      <c r="AH10" s="5">
        <v>5695000000</v>
      </c>
      <c r="AI10" s="5">
        <v>5249392000</v>
      </c>
      <c r="AJ10" s="5">
        <v>4604184000</v>
      </c>
      <c r="AK10" s="5">
        <v>4075936000</v>
      </c>
      <c r="AL10" s="5">
        <v>3347932000</v>
      </c>
      <c r="AM10" s="5">
        <v>3038058000</v>
      </c>
      <c r="AN10" s="5">
        <v>2701392000</v>
      </c>
      <c r="AO10" s="5">
        <v>2625602000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</row>
    <row r="11" spans="1:158" x14ac:dyDescent="0.25">
      <c r="A11" t="s">
        <v>5</v>
      </c>
      <c r="B11" s="5">
        <v>-1261000000</v>
      </c>
      <c r="C11" s="5">
        <v>-4163000000</v>
      </c>
      <c r="D11" s="5">
        <v>-1951000000</v>
      </c>
      <c r="E11" s="5">
        <v>-1215000000</v>
      </c>
      <c r="F11" s="5">
        <v>-846000000</v>
      </c>
      <c r="G11" s="5">
        <v>-853000000</v>
      </c>
      <c r="H11" s="5">
        <v>-458000000</v>
      </c>
      <c r="I11" s="5">
        <v>-1079000000</v>
      </c>
      <c r="J11" s="5">
        <v>-1902000000</v>
      </c>
      <c r="K11" s="5">
        <v>-1371000000</v>
      </c>
      <c r="L11" s="5">
        <v>-1657000000</v>
      </c>
      <c r="M11" s="5">
        <v>-1183000000</v>
      </c>
      <c r="N11" s="5">
        <v>-895000000</v>
      </c>
      <c r="O11" s="5">
        <v>-447000000</v>
      </c>
      <c r="P11" s="5">
        <v>-732000000</v>
      </c>
      <c r="Q11" s="5">
        <v>-819000000</v>
      </c>
      <c r="R11" s="5">
        <v>-313000000</v>
      </c>
      <c r="S11" s="5">
        <v>-350000000</v>
      </c>
      <c r="T11" s="5">
        <v>-254000000</v>
      </c>
      <c r="U11" s="5">
        <v>-185000000</v>
      </c>
      <c r="V11" s="5">
        <v>-85000000</v>
      </c>
      <c r="W11" s="5">
        <v>-480000000</v>
      </c>
      <c r="X11" s="5">
        <v>-573000000</v>
      </c>
      <c r="Y11" s="5">
        <v>0</v>
      </c>
      <c r="Z11" s="5">
        <v>0</v>
      </c>
      <c r="AA11" s="5">
        <v>-1443000000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</row>
    <row r="12" spans="1:158" x14ac:dyDescent="0.25">
      <c r="A12" t="s">
        <v>6</v>
      </c>
      <c r="B12" s="5">
        <v>15782000000</v>
      </c>
      <c r="C12" s="5">
        <v>18745000000</v>
      </c>
      <c r="D12" s="5">
        <v>15923000000</v>
      </c>
      <c r="E12" s="5">
        <v>14095000000</v>
      </c>
      <c r="F12" s="5">
        <v>12990000000</v>
      </c>
      <c r="G12" s="5">
        <v>10584000000</v>
      </c>
      <c r="H12" s="5">
        <v>12561000000</v>
      </c>
      <c r="I12" s="5">
        <v>12081000000</v>
      </c>
      <c r="J12" s="5">
        <v>14736000000</v>
      </c>
      <c r="K12" s="5">
        <v>16741000000</v>
      </c>
      <c r="L12" s="5">
        <v>18084000000</v>
      </c>
      <c r="M12" s="5">
        <v>18401000000</v>
      </c>
      <c r="N12" s="5">
        <v>18205000000</v>
      </c>
      <c r="O12" s="5">
        <v>18185000000</v>
      </c>
      <c r="P12" s="5">
        <v>18154000000</v>
      </c>
      <c r="Q12" s="5">
        <v>14013000000</v>
      </c>
      <c r="R12" s="5">
        <v>11671000000</v>
      </c>
      <c r="S12" s="5">
        <v>12124000000</v>
      </c>
      <c r="T12" s="5">
        <v>11199000000</v>
      </c>
      <c r="U12" s="5">
        <v>9616000000</v>
      </c>
      <c r="V12" s="5">
        <v>8824000000</v>
      </c>
      <c r="W12" s="5">
        <v>8370000000</v>
      </c>
      <c r="X12" s="5">
        <v>7860000000</v>
      </c>
      <c r="Y12" s="5">
        <v>7001000000</v>
      </c>
      <c r="Z12" s="5">
        <v>6149000000</v>
      </c>
      <c r="AA12" s="5">
        <v>7459000000</v>
      </c>
      <c r="AB12" s="5">
        <v>0</v>
      </c>
      <c r="AC12" s="5">
        <v>8284000000</v>
      </c>
      <c r="AD12" s="5">
        <v>7852000000</v>
      </c>
      <c r="AE12" s="5">
        <v>7893000000</v>
      </c>
      <c r="AF12" s="5">
        <v>6986000000</v>
      </c>
      <c r="AG12" s="5">
        <v>6297000000</v>
      </c>
      <c r="AH12" s="5">
        <v>5695000000</v>
      </c>
      <c r="AI12" s="5">
        <v>5249393000</v>
      </c>
      <c r="AJ12" s="5">
        <v>4604183000</v>
      </c>
      <c r="AK12" s="5">
        <v>4075936000</v>
      </c>
      <c r="AL12" s="5">
        <v>3347932000</v>
      </c>
      <c r="AM12" s="5">
        <v>3038058000</v>
      </c>
      <c r="AN12" s="5">
        <v>2701392000</v>
      </c>
      <c r="AO12" s="5">
        <v>2625602000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</row>
    <row r="13" spans="1:158" x14ac:dyDescent="0.25">
      <c r="A13" t="s">
        <v>7</v>
      </c>
      <c r="B13" s="5">
        <v>13762000000</v>
      </c>
      <c r="C13" s="5">
        <v>9992000000</v>
      </c>
      <c r="D13" s="5">
        <v>11311000000</v>
      </c>
      <c r="E13" s="5">
        <v>10909000000</v>
      </c>
      <c r="F13" s="5">
        <v>10308000000</v>
      </c>
      <c r="G13" s="5">
        <v>8997000000</v>
      </c>
      <c r="H13" s="5">
        <v>10086000000</v>
      </c>
      <c r="I13" s="5">
        <v>9152000000</v>
      </c>
      <c r="J13" s="5">
        <v>7755000000</v>
      </c>
      <c r="K13" s="5">
        <v>8657000000</v>
      </c>
      <c r="L13" s="5">
        <v>8728000000</v>
      </c>
      <c r="M13" s="5">
        <v>9708000000</v>
      </c>
      <c r="N13" s="5">
        <v>10228000000</v>
      </c>
      <c r="O13" s="5">
        <v>10779000000</v>
      </c>
      <c r="P13" s="5">
        <v>10173000000</v>
      </c>
      <c r="Q13" s="5">
        <v>8413000000</v>
      </c>
      <c r="R13" s="5">
        <v>8231000000</v>
      </c>
      <c r="S13" s="5">
        <v>8446000000</v>
      </c>
      <c r="T13" s="5">
        <v>7252000000</v>
      </c>
      <c r="U13" s="5">
        <v>6308000000</v>
      </c>
      <c r="V13" s="5">
        <v>6085000000</v>
      </c>
      <c r="W13" s="5">
        <v>5698000000</v>
      </c>
      <c r="X13" s="5">
        <v>5221000000</v>
      </c>
      <c r="Y13" s="5">
        <v>5458000000</v>
      </c>
      <c r="Z13" s="5">
        <v>5352000000</v>
      </c>
      <c r="AA13" s="5">
        <v>3691000000</v>
      </c>
      <c r="AB13" s="5">
        <v>3982000000</v>
      </c>
      <c r="AC13" s="5">
        <v>4967000000</v>
      </c>
      <c r="AD13" s="5">
        <v>5001000000</v>
      </c>
      <c r="AE13" s="5">
        <v>3915000000</v>
      </c>
      <c r="AF13" s="5">
        <v>4092000000</v>
      </c>
      <c r="AG13" s="5">
        <v>3708000000</v>
      </c>
      <c r="AH13" s="5">
        <v>3102000000</v>
      </c>
      <c r="AI13" s="5">
        <v>2770091000</v>
      </c>
      <c r="AJ13" s="5">
        <v>2319042000</v>
      </c>
      <c r="AK13" s="5">
        <v>1951563000</v>
      </c>
      <c r="AL13" s="5">
        <v>1725785000</v>
      </c>
      <c r="AM13" s="5">
        <v>1598301000</v>
      </c>
      <c r="AN13" s="5">
        <v>1323790000</v>
      </c>
      <c r="AO13" s="5">
        <v>897064900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</row>
    <row r="14" spans="1:158" x14ac:dyDescent="0.25">
      <c r="A14" t="s">
        <v>8</v>
      </c>
      <c r="B14" s="5">
        <v>2236000000</v>
      </c>
      <c r="C14" s="5">
        <v>3094000000</v>
      </c>
      <c r="D14" s="5">
        <v>1641000000</v>
      </c>
      <c r="E14" s="5">
        <v>777000000</v>
      </c>
      <c r="F14" s="5">
        <v>2117000000</v>
      </c>
      <c r="G14" s="5">
        <v>752000000</v>
      </c>
      <c r="H14" s="5">
        <v>700000000</v>
      </c>
      <c r="I14" s="5">
        <v>-927000000</v>
      </c>
      <c r="J14" s="5">
        <v>-865000000</v>
      </c>
      <c r="K14" s="5">
        <v>-521000000</v>
      </c>
      <c r="L14" s="5">
        <v>877000000</v>
      </c>
      <c r="M14" s="5">
        <v>-383000000</v>
      </c>
      <c r="N14" s="5">
        <v>1249000000</v>
      </c>
      <c r="O14" s="5">
        <v>1030000000</v>
      </c>
      <c r="P14" s="5">
        <v>1285000000</v>
      </c>
      <c r="Q14" s="5">
        <v>5794000000</v>
      </c>
      <c r="R14" s="5">
        <v>715000000</v>
      </c>
      <c r="S14" s="5">
        <v>-940000000</v>
      </c>
      <c r="T14" s="5">
        <v>667000000</v>
      </c>
      <c r="U14" s="5">
        <v>270000000</v>
      </c>
      <c r="V14" s="5">
        <v>605000000</v>
      </c>
      <c r="W14" s="5">
        <v>524000000</v>
      </c>
      <c r="X14" s="5">
        <v>274000000</v>
      </c>
      <c r="Y14" s="5">
        <v>41000000</v>
      </c>
      <c r="Z14" s="5">
        <v>318000000</v>
      </c>
      <c r="AA14" s="5">
        <v>-292000000</v>
      </c>
      <c r="AB14" s="5">
        <v>0</v>
      </c>
      <c r="AC14" s="5">
        <v>231000000</v>
      </c>
      <c r="AD14" s="5">
        <v>1054000000</v>
      </c>
      <c r="AE14" s="5">
        <v>681000000</v>
      </c>
      <c r="AF14" s="5">
        <v>236000000</v>
      </c>
      <c r="AG14" s="5">
        <v>20000000</v>
      </c>
      <c r="AH14" s="5">
        <v>83000000</v>
      </c>
      <c r="AI14" s="5">
        <v>-24003000</v>
      </c>
      <c r="AJ14" s="5">
        <v>64233999.999999993</v>
      </c>
      <c r="AK14" s="5">
        <v>62872000</v>
      </c>
      <c r="AL14" s="5">
        <v>38525000</v>
      </c>
      <c r="AM14" s="5">
        <v>-16164000.000000002</v>
      </c>
      <c r="AN14" s="5">
        <v>88694000</v>
      </c>
      <c r="AO14" s="5">
        <v>507860000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</row>
    <row r="15" spans="1:158" x14ac:dyDescent="0.25">
      <c r="A15" t="s">
        <v>9</v>
      </c>
      <c r="B15" s="5">
        <v>15998000000</v>
      </c>
      <c r="C15" s="5">
        <v>13086000000</v>
      </c>
      <c r="D15" s="5">
        <v>12952000000</v>
      </c>
      <c r="E15" s="5">
        <v>11686000000</v>
      </c>
      <c r="F15" s="5">
        <v>12425000000</v>
      </c>
      <c r="G15" s="5">
        <v>9749000000</v>
      </c>
      <c r="H15" s="5">
        <v>10786000000</v>
      </c>
      <c r="I15" s="5">
        <v>8225000000</v>
      </c>
      <c r="J15" s="5">
        <v>6890000000</v>
      </c>
      <c r="K15" s="5">
        <v>8136000000</v>
      </c>
      <c r="L15" s="5">
        <v>9605000000</v>
      </c>
      <c r="M15" s="5">
        <v>9325000000</v>
      </c>
      <c r="N15" s="5">
        <v>11477000000</v>
      </c>
      <c r="O15" s="5">
        <v>11809000000</v>
      </c>
      <c r="P15" s="5">
        <v>11458000000</v>
      </c>
      <c r="Q15" s="5">
        <v>14207000000</v>
      </c>
      <c r="R15" s="5">
        <v>8946000000</v>
      </c>
      <c r="S15" s="5">
        <v>7506000000</v>
      </c>
      <c r="T15" s="5">
        <v>7919000000</v>
      </c>
      <c r="U15" s="5">
        <v>6578000000</v>
      </c>
      <c r="V15" s="5">
        <v>6690000000</v>
      </c>
      <c r="W15" s="5">
        <v>6222000000</v>
      </c>
      <c r="X15" s="5">
        <v>5495000000</v>
      </c>
      <c r="Y15" s="5">
        <v>5499000000</v>
      </c>
      <c r="Z15" s="5">
        <v>5670000000</v>
      </c>
      <c r="AA15" s="5">
        <v>3399000000</v>
      </c>
      <c r="AB15" s="5">
        <v>0</v>
      </c>
      <c r="AC15" s="5">
        <v>5198000000</v>
      </c>
      <c r="AD15" s="5">
        <v>6055000000</v>
      </c>
      <c r="AE15" s="5">
        <v>4596000000</v>
      </c>
      <c r="AF15" s="5">
        <v>4328000000</v>
      </c>
      <c r="AG15" s="5">
        <v>3728000000</v>
      </c>
      <c r="AH15" s="5">
        <v>3185000000</v>
      </c>
      <c r="AI15" s="5">
        <v>2746088000</v>
      </c>
      <c r="AJ15" s="5">
        <v>2383279000</v>
      </c>
      <c r="AK15" s="5">
        <v>2014436000</v>
      </c>
      <c r="AL15" s="5">
        <v>1764310000</v>
      </c>
      <c r="AM15" s="5">
        <v>1582137000</v>
      </c>
      <c r="AN15" s="5">
        <v>1412484000</v>
      </c>
      <c r="AO15" s="5">
        <v>1404925000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</row>
    <row r="16" spans="1:158" x14ac:dyDescent="0.25">
      <c r="A16" t="s">
        <v>10</v>
      </c>
      <c r="B16" s="5">
        <v>2861000000</v>
      </c>
      <c r="C16" s="5">
        <v>2437000000</v>
      </c>
      <c r="D16" s="5">
        <v>2249000000</v>
      </c>
      <c r="E16" s="5">
        <v>2115000000</v>
      </c>
      <c r="F16" s="5">
        <v>2621000000</v>
      </c>
      <c r="G16" s="5">
        <v>1981000000</v>
      </c>
      <c r="H16" s="5">
        <v>1801000000</v>
      </c>
      <c r="I16" s="5">
        <v>1749000000</v>
      </c>
      <c r="J16" s="5">
        <v>5607000000</v>
      </c>
      <c r="K16" s="5">
        <v>1586000000</v>
      </c>
      <c r="L16" s="5">
        <v>2239000000</v>
      </c>
      <c r="M16" s="5">
        <v>2201000000</v>
      </c>
      <c r="N16" s="5">
        <v>2851000000</v>
      </c>
      <c r="O16" s="5">
        <v>2723000000</v>
      </c>
      <c r="P16" s="5">
        <v>2812000000</v>
      </c>
      <c r="Q16" s="5">
        <v>2370000000</v>
      </c>
      <c r="R16" s="5">
        <v>2040000000</v>
      </c>
      <c r="S16" s="5">
        <v>1632000000</v>
      </c>
      <c r="T16" s="5">
        <v>1892000000</v>
      </c>
      <c r="U16" s="5">
        <v>1498000000</v>
      </c>
      <c r="V16" s="5">
        <v>1818000000</v>
      </c>
      <c r="W16" s="5">
        <v>1375000000</v>
      </c>
      <c r="X16" s="5">
        <v>1148000000</v>
      </c>
      <c r="Y16" s="5">
        <v>1523000000</v>
      </c>
      <c r="Z16" s="5">
        <v>1691000000</v>
      </c>
      <c r="AA16" s="5">
        <v>1222000000</v>
      </c>
      <c r="AB16" s="5">
        <v>0</v>
      </c>
      <c r="AC16" s="5">
        <v>1665000000</v>
      </c>
      <c r="AD16" s="5">
        <v>1926000000</v>
      </c>
      <c r="AE16" s="5">
        <v>1104000000</v>
      </c>
      <c r="AF16" s="5">
        <v>1342000000</v>
      </c>
      <c r="AG16" s="5">
        <v>1174000000</v>
      </c>
      <c r="AH16" s="5">
        <v>997000000</v>
      </c>
      <c r="AI16" s="5">
        <v>862273000</v>
      </c>
      <c r="AJ16" s="5">
        <v>765277000</v>
      </c>
      <c r="AK16" s="5">
        <v>632532000</v>
      </c>
      <c r="AL16" s="5">
        <v>571471000</v>
      </c>
      <c r="AM16" s="5">
        <v>537434000</v>
      </c>
      <c r="AN16" s="5">
        <v>496348000</v>
      </c>
      <c r="AO16" s="5">
        <v>470578000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</row>
    <row r="17" spans="1:158" x14ac:dyDescent="0.25">
      <c r="A17" t="s">
        <v>11</v>
      </c>
      <c r="B17" s="5">
        <v>13137000000</v>
      </c>
      <c r="C17" s="5">
        <v>10649000000</v>
      </c>
      <c r="D17" s="5">
        <v>10703000000</v>
      </c>
      <c r="E17" s="5">
        <v>9571000000</v>
      </c>
      <c r="F17" s="5">
        <v>9804000000</v>
      </c>
      <c r="G17" s="5">
        <v>7768000000</v>
      </c>
      <c r="H17" s="5">
        <v>8985000000</v>
      </c>
      <c r="I17" s="5">
        <v>6476000000</v>
      </c>
      <c r="J17" s="5">
        <v>1283000000</v>
      </c>
      <c r="K17" s="5">
        <v>6550000000</v>
      </c>
      <c r="L17" s="5">
        <v>7366000000</v>
      </c>
      <c r="M17" s="5">
        <v>7124000000</v>
      </c>
      <c r="N17" s="5">
        <v>8626000000</v>
      </c>
      <c r="O17" s="5">
        <v>9086000000</v>
      </c>
      <c r="P17" s="5">
        <v>8646000000</v>
      </c>
      <c r="Q17" s="5">
        <v>11837000000</v>
      </c>
      <c r="R17" s="5">
        <v>6906000000</v>
      </c>
      <c r="S17" s="5">
        <v>5874000000</v>
      </c>
      <c r="T17" s="5">
        <v>6027000000</v>
      </c>
      <c r="U17" s="5">
        <v>5080000000</v>
      </c>
      <c r="V17" s="5">
        <v>4872000000</v>
      </c>
      <c r="W17" s="5">
        <v>4847000000</v>
      </c>
      <c r="X17" s="5">
        <v>4347000000</v>
      </c>
      <c r="Y17" s="5">
        <v>3976000000</v>
      </c>
      <c r="Z17" s="5">
        <v>3979000000</v>
      </c>
      <c r="AA17" s="5">
        <v>2177000000</v>
      </c>
      <c r="AB17" s="5">
        <v>0</v>
      </c>
      <c r="AC17" s="5">
        <v>3533000000</v>
      </c>
      <c r="AD17" s="5">
        <v>4129000000</v>
      </c>
      <c r="AE17" s="5">
        <v>3492000000</v>
      </c>
      <c r="AF17" s="5">
        <v>2986000000</v>
      </c>
      <c r="AG17" s="5">
        <v>2554000000</v>
      </c>
      <c r="AH17" s="5">
        <v>2188000000</v>
      </c>
      <c r="AI17" s="5">
        <v>1883815000</v>
      </c>
      <c r="AJ17" s="5">
        <v>1618002000</v>
      </c>
      <c r="AK17" s="5">
        <v>1381904000</v>
      </c>
      <c r="AL17" s="5">
        <v>1192839000</v>
      </c>
      <c r="AM17" s="5">
        <v>1044703000</v>
      </c>
      <c r="AN17" s="5">
        <v>916136000</v>
      </c>
      <c r="AO17" s="5">
        <v>934347000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</row>
    <row r="19" spans="1:158" x14ac:dyDescent="0.25">
      <c r="A19" t="s">
        <v>12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CX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</row>
    <row r="20" spans="1:158" x14ac:dyDescent="0.25">
      <c r="A20" t="s">
        <v>13</v>
      </c>
      <c r="B20" s="5">
        <v>13137000000</v>
      </c>
      <c r="C20" s="5">
        <v>10649000000</v>
      </c>
      <c r="D20" s="5">
        <v>10703000000</v>
      </c>
      <c r="E20" s="5">
        <v>9571000000</v>
      </c>
      <c r="F20" s="5">
        <v>9804000000</v>
      </c>
      <c r="G20" s="5">
        <v>7768000000</v>
      </c>
      <c r="H20" s="5">
        <v>8985000000</v>
      </c>
      <c r="I20" s="5">
        <v>6476000000</v>
      </c>
      <c r="J20" s="5">
        <v>1283000000</v>
      </c>
      <c r="K20" s="5">
        <v>6550000000</v>
      </c>
      <c r="L20" s="5">
        <v>7366000000</v>
      </c>
      <c r="M20" s="5">
        <v>7124000000</v>
      </c>
      <c r="N20" s="5">
        <v>8626000000</v>
      </c>
      <c r="O20" s="5">
        <v>9086000000</v>
      </c>
      <c r="P20" s="5">
        <v>8646000000</v>
      </c>
      <c r="Q20" s="5">
        <v>11837000000</v>
      </c>
      <c r="R20" s="5">
        <v>6906000000</v>
      </c>
      <c r="S20" s="5">
        <v>5874000000</v>
      </c>
      <c r="T20" s="5">
        <v>6027000000</v>
      </c>
      <c r="U20" s="5">
        <v>5080000000</v>
      </c>
      <c r="V20" s="5">
        <v>4872000000</v>
      </c>
      <c r="W20" s="5">
        <v>4847000000</v>
      </c>
      <c r="X20" s="5">
        <v>4347000000</v>
      </c>
      <c r="Y20" s="5">
        <v>3976000000</v>
      </c>
      <c r="Z20" s="5">
        <v>3979000000</v>
      </c>
      <c r="AA20" s="5">
        <v>2177000000</v>
      </c>
      <c r="AB20" s="5">
        <v>0</v>
      </c>
      <c r="AC20" s="5">
        <v>3483670000</v>
      </c>
      <c r="AD20" s="5">
        <v>4129000000</v>
      </c>
      <c r="AE20" s="5">
        <v>3492000000</v>
      </c>
      <c r="AF20" s="5">
        <v>3001600000</v>
      </c>
      <c r="AG20" s="5">
        <v>2554000000</v>
      </c>
      <c r="AH20" s="5">
        <v>2232000000</v>
      </c>
      <c r="AI20" s="5">
        <v>1897273000</v>
      </c>
      <c r="AJ20" s="5">
        <v>1613410000</v>
      </c>
      <c r="AK20" s="5">
        <v>1381904000</v>
      </c>
      <c r="AL20" s="5">
        <v>1192839000</v>
      </c>
      <c r="AM20" s="5">
        <v>1044703000</v>
      </c>
      <c r="AN20" s="5">
        <v>916136000</v>
      </c>
      <c r="AO20" s="5">
        <v>934347000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</row>
    <row r="21" spans="1:158" x14ac:dyDescent="0.25">
      <c r="A21" t="s">
        <v>14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-12000000</v>
      </c>
      <c r="AI21" s="5">
        <v>-219433000</v>
      </c>
      <c r="AJ21" s="5">
        <v>0</v>
      </c>
      <c r="AK21" s="5">
        <v>0</v>
      </c>
      <c r="AL21" s="5">
        <v>530986000</v>
      </c>
      <c r="AM21" s="5">
        <v>0</v>
      </c>
      <c r="AN21" s="5">
        <v>0</v>
      </c>
      <c r="AO21" s="5">
        <v>0</v>
      </c>
      <c r="CX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</row>
    <row r="23" spans="1:158" x14ac:dyDescent="0.25">
      <c r="A23" s="7" t="s">
        <v>15</v>
      </c>
      <c r="B23" s="8">
        <v>13107</v>
      </c>
      <c r="C23" s="8">
        <v>10631</v>
      </c>
      <c r="D23" s="8">
        <v>10714</v>
      </c>
      <c r="E23" s="8">
        <v>9542</v>
      </c>
      <c r="F23" s="8">
        <v>9771</v>
      </c>
      <c r="G23" s="8">
        <v>7747</v>
      </c>
      <c r="H23" s="8">
        <v>8920</v>
      </c>
      <c r="I23" s="8">
        <v>6434</v>
      </c>
      <c r="J23" s="8">
        <v>1248</v>
      </c>
      <c r="K23" s="8">
        <v>6527</v>
      </c>
      <c r="L23" s="8">
        <v>7351</v>
      </c>
      <c r="M23" s="8">
        <v>7098</v>
      </c>
      <c r="N23" s="8">
        <v>8584</v>
      </c>
      <c r="O23" s="8">
        <v>9019</v>
      </c>
      <c r="P23" s="8">
        <v>8584</v>
      </c>
      <c r="Q23" s="8">
        <v>11787</v>
      </c>
      <c r="R23" s="8">
        <v>6824</v>
      </c>
      <c r="S23" s="8">
        <v>5807</v>
      </c>
      <c r="T23" s="8">
        <v>5981</v>
      </c>
      <c r="U23" s="8">
        <v>5080</v>
      </c>
      <c r="V23" s="8">
        <v>4872</v>
      </c>
      <c r="W23" s="8">
        <v>4847</v>
      </c>
      <c r="X23" s="8">
        <v>4347</v>
      </c>
      <c r="Y23" s="8">
        <v>3050</v>
      </c>
      <c r="Z23" s="8">
        <v>3969</v>
      </c>
      <c r="AA23" s="8">
        <v>2177</v>
      </c>
      <c r="AB23" s="8"/>
      <c r="AC23" s="8">
        <v>3533</v>
      </c>
      <c r="AD23" s="8">
        <v>4129</v>
      </c>
      <c r="AE23" s="8">
        <v>3492</v>
      </c>
      <c r="AF23" s="8">
        <v>2986</v>
      </c>
      <c r="AG23" s="8">
        <v>2554</v>
      </c>
      <c r="AH23" s="8">
        <v>2176</v>
      </c>
      <c r="AI23" s="8">
        <v>1664.3820000000001</v>
      </c>
      <c r="AJ23" s="8">
        <v>1618.002</v>
      </c>
      <c r="AK23" s="8">
        <v>1381.904</v>
      </c>
      <c r="AL23" s="8">
        <v>1723.825</v>
      </c>
      <c r="AM23" s="8">
        <v>1044.703</v>
      </c>
      <c r="AN23" s="8">
        <v>916.13599999999997</v>
      </c>
      <c r="AO23" s="8">
        <v>934.34699999999998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9"/>
    </row>
    <row r="25" spans="1:158" x14ac:dyDescent="0.25">
      <c r="A25" t="s">
        <v>16</v>
      </c>
      <c r="B25" s="5">
        <v>14812000000</v>
      </c>
      <c r="C25" s="5">
        <v>11067000000</v>
      </c>
      <c r="D25" s="5">
        <v>12439000000</v>
      </c>
      <c r="E25" s="5">
        <v>12169000000</v>
      </c>
      <c r="F25" s="5">
        <v>11760000000</v>
      </c>
      <c r="G25" s="5">
        <v>10533000000</v>
      </c>
      <c r="H25" s="5">
        <v>11451000000</v>
      </c>
      <c r="I25" s="5">
        <v>10238000000</v>
      </c>
      <c r="J25" s="5">
        <v>9015000000</v>
      </c>
      <c r="K25" s="5">
        <v>10444000000</v>
      </c>
      <c r="L25" s="5">
        <v>10698000000</v>
      </c>
      <c r="M25" s="5">
        <v>11684000000</v>
      </c>
      <c r="N25" s="5">
        <v>12205000000</v>
      </c>
      <c r="O25" s="5">
        <v>12761000000</v>
      </c>
      <c r="P25" s="5">
        <v>12127000000</v>
      </c>
      <c r="Q25" s="5">
        <v>9856000000</v>
      </c>
      <c r="R25" s="5">
        <v>9467000000</v>
      </c>
      <c r="S25" s="5">
        <v>9674000000</v>
      </c>
      <c r="T25" s="5">
        <v>8415000000</v>
      </c>
      <c r="U25" s="5">
        <v>7246000000</v>
      </c>
      <c r="V25" s="5">
        <v>7017000000</v>
      </c>
      <c r="W25" s="5">
        <v>6591000000</v>
      </c>
      <c r="X25" s="5">
        <v>6071000000</v>
      </c>
      <c r="Y25" s="5">
        <v>6264000000</v>
      </c>
      <c r="Z25" s="5">
        <v>6155000000</v>
      </c>
      <c r="AA25" s="5">
        <v>4464000000</v>
      </c>
      <c r="AB25" s="5">
        <v>792000000</v>
      </c>
      <c r="AC25" s="5">
        <v>5612000000</v>
      </c>
      <c r="AD25" s="5">
        <v>5627000000</v>
      </c>
      <c r="AE25" s="5">
        <v>4394000000</v>
      </c>
      <c r="AF25" s="5">
        <v>4546000000</v>
      </c>
      <c r="AG25" s="5">
        <v>4119000000</v>
      </c>
      <c r="AH25" s="5">
        <v>3462000000</v>
      </c>
      <c r="AI25" s="5">
        <v>3092013000</v>
      </c>
      <c r="AJ25" s="5">
        <v>2580469000</v>
      </c>
      <c r="AK25" s="5">
        <v>2195451000</v>
      </c>
      <c r="AL25" s="5">
        <v>1909550000</v>
      </c>
      <c r="AM25" s="5">
        <v>1768069000</v>
      </c>
      <c r="AN25" s="5">
        <v>1475694000</v>
      </c>
      <c r="AO25" s="5">
        <v>1063894000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</row>
    <row r="26" spans="1:158" x14ac:dyDescent="0.25">
      <c r="A26" t="s">
        <v>17</v>
      </c>
      <c r="B26" s="5">
        <v>13762000000</v>
      </c>
      <c r="C26" s="5">
        <v>9992000000</v>
      </c>
      <c r="D26" s="5">
        <v>11311000000</v>
      </c>
      <c r="E26" s="5">
        <v>10909000000</v>
      </c>
      <c r="F26" s="5">
        <v>10308000000</v>
      </c>
      <c r="G26" s="5">
        <v>8997000000</v>
      </c>
      <c r="H26" s="5">
        <v>10086000000</v>
      </c>
      <c r="I26" s="5">
        <v>9152000000</v>
      </c>
      <c r="J26" s="5">
        <v>7755000000</v>
      </c>
      <c r="K26" s="5">
        <v>8657000000</v>
      </c>
      <c r="L26" s="5">
        <v>8728000000</v>
      </c>
      <c r="M26" s="5">
        <v>9708000000</v>
      </c>
      <c r="N26" s="5">
        <v>10228000000</v>
      </c>
      <c r="O26" s="5">
        <v>10779000000</v>
      </c>
      <c r="P26" s="5">
        <v>10173000000</v>
      </c>
      <c r="Q26" s="5">
        <v>8413000000</v>
      </c>
      <c r="R26" s="5">
        <v>8231000000</v>
      </c>
      <c r="S26" s="5">
        <v>8446000000</v>
      </c>
      <c r="T26" s="5">
        <v>7252000000</v>
      </c>
      <c r="U26" s="5">
        <v>6308000000</v>
      </c>
      <c r="V26" s="5">
        <v>6085000000</v>
      </c>
      <c r="W26" s="5">
        <v>5698000000</v>
      </c>
      <c r="X26" s="5">
        <v>5221000000</v>
      </c>
      <c r="Y26" s="5">
        <v>5458000000</v>
      </c>
      <c r="Z26" s="5">
        <v>5352000000</v>
      </c>
      <c r="AA26" s="5">
        <v>3691000000</v>
      </c>
      <c r="AB26" s="5">
        <v>0</v>
      </c>
      <c r="AC26" s="5">
        <v>4967000000</v>
      </c>
      <c r="AD26" s="5">
        <v>5001000000</v>
      </c>
      <c r="AE26" s="5">
        <v>3915000000</v>
      </c>
      <c r="AF26" s="5">
        <v>4092000000</v>
      </c>
      <c r="AG26" s="5">
        <v>3708000000</v>
      </c>
      <c r="AH26" s="5">
        <v>3102000000</v>
      </c>
      <c r="AI26" s="5">
        <v>2770091000</v>
      </c>
      <c r="AJ26" s="5">
        <v>2319042000</v>
      </c>
      <c r="AK26" s="5">
        <v>1951563000</v>
      </c>
      <c r="AL26" s="5">
        <v>1725785000</v>
      </c>
      <c r="AM26" s="5">
        <v>1598301000</v>
      </c>
      <c r="AN26" s="5">
        <v>1323790000</v>
      </c>
      <c r="AO26" s="5">
        <v>897064900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</row>
    <row r="27" spans="1:158" x14ac:dyDescent="0.25">
      <c r="A27" t="s">
        <v>18</v>
      </c>
      <c r="B27" s="5">
        <v>4303000000</v>
      </c>
      <c r="C27" s="5">
        <v>4309000000</v>
      </c>
      <c r="D27" s="5">
        <v>4323000000</v>
      </c>
      <c r="E27" s="5">
        <v>4328000000</v>
      </c>
      <c r="F27" s="5">
        <v>4315000000</v>
      </c>
      <c r="G27" s="5">
        <v>4295000000</v>
      </c>
      <c r="H27" s="5">
        <v>4276000000</v>
      </c>
      <c r="I27" s="5">
        <v>4259000000</v>
      </c>
      <c r="J27" s="5">
        <v>4272000000</v>
      </c>
      <c r="K27" s="5">
        <v>4317000000</v>
      </c>
      <c r="L27" s="5">
        <v>4352000000</v>
      </c>
      <c r="M27" s="5">
        <v>4387000000</v>
      </c>
      <c r="N27" s="5">
        <v>4434000000</v>
      </c>
      <c r="O27" s="5">
        <v>4504000000</v>
      </c>
      <c r="P27" s="5">
        <v>4568000000</v>
      </c>
      <c r="Q27" s="5">
        <v>4616000000</v>
      </c>
      <c r="R27" s="5">
        <v>4628000000</v>
      </c>
      <c r="S27" s="5">
        <v>4630000000</v>
      </c>
      <c r="T27" s="5">
        <v>4626000000</v>
      </c>
      <c r="U27" s="5">
        <v>4696000000</v>
      </c>
      <c r="V27" s="5">
        <v>4784000000</v>
      </c>
      <c r="W27" s="5">
        <v>4852000000</v>
      </c>
      <c r="X27" s="5">
        <v>4918000000</v>
      </c>
      <c r="Y27" s="5">
        <v>4956000000</v>
      </c>
      <c r="Z27" s="5">
        <v>4974000000</v>
      </c>
      <c r="AA27" s="5">
        <v>4954000000</v>
      </c>
      <c r="AB27" s="5">
        <v>0</v>
      </c>
      <c r="AC27" s="5">
        <v>4934000000</v>
      </c>
      <c r="AD27" s="5">
        <v>4954000000</v>
      </c>
      <c r="AE27" s="5">
        <v>4988000000</v>
      </c>
      <c r="AF27" s="5">
        <v>5049000000</v>
      </c>
      <c r="AG27" s="5">
        <v>5160000000</v>
      </c>
      <c r="AH27" s="5">
        <v>5208000000</v>
      </c>
      <c r="AI27" s="5">
        <v>5227084000</v>
      </c>
      <c r="AJ27" s="5">
        <v>5315840000</v>
      </c>
      <c r="AK27" s="5">
        <v>5345914000</v>
      </c>
      <c r="AL27" s="5">
        <v>5392238000</v>
      </c>
      <c r="AM27" s="5">
        <v>5676616000</v>
      </c>
      <c r="AN27" s="5">
        <v>5957698000</v>
      </c>
      <c r="AO27" s="5">
        <v>7103570000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</row>
    <row r="28" spans="1:158" x14ac:dyDescent="0.25">
      <c r="A28" t="s">
        <v>19</v>
      </c>
      <c r="B28" s="5">
        <v>4313000000</v>
      </c>
      <c r="C28" s="5">
        <v>4320000000</v>
      </c>
      <c r="D28" s="5">
        <v>4339000000</v>
      </c>
      <c r="E28" s="5">
        <v>4350000000</v>
      </c>
      <c r="F28" s="5">
        <v>4340000000</v>
      </c>
      <c r="G28" s="5">
        <v>4323000000</v>
      </c>
      <c r="H28" s="5">
        <v>4314000000</v>
      </c>
      <c r="I28" s="5">
        <v>4299000000</v>
      </c>
      <c r="J28" s="5">
        <v>4324000000</v>
      </c>
      <c r="K28" s="5">
        <v>4367000000</v>
      </c>
      <c r="L28" s="5">
        <v>4405000000</v>
      </c>
      <c r="M28" s="5">
        <v>4450000000</v>
      </c>
      <c r="N28" s="5">
        <v>4509000000</v>
      </c>
      <c r="O28" s="5">
        <v>4584000000</v>
      </c>
      <c r="P28" s="5">
        <v>4646000000</v>
      </c>
      <c r="Q28" s="5">
        <v>4667000000</v>
      </c>
      <c r="R28" s="5">
        <v>4658000000</v>
      </c>
      <c r="S28" s="5">
        <v>4672000000</v>
      </c>
      <c r="T28" s="5">
        <v>4662000000</v>
      </c>
      <c r="U28" s="5">
        <v>4700000000</v>
      </c>
      <c r="V28" s="5">
        <v>4786000000</v>
      </c>
      <c r="W28" s="5">
        <v>4858000000</v>
      </c>
      <c r="X28" s="5">
        <v>4924000000</v>
      </c>
      <c r="Y28" s="5">
        <v>4966000000</v>
      </c>
      <c r="Z28" s="5">
        <v>4974000000</v>
      </c>
      <c r="AA28" s="5">
        <v>4974000000</v>
      </c>
      <c r="AB28" s="5">
        <v>0</v>
      </c>
      <c r="AC28" s="5">
        <v>4992000000</v>
      </c>
      <c r="AD28" s="5">
        <v>5030000000</v>
      </c>
      <c r="AE28" s="5">
        <v>4988000000</v>
      </c>
      <c r="AF28" s="5">
        <v>5049000000</v>
      </c>
      <c r="AG28" s="5">
        <v>5160000000</v>
      </c>
      <c r="AH28" s="5">
        <v>5208000000</v>
      </c>
      <c r="AI28" s="5">
        <v>5227084000</v>
      </c>
      <c r="AJ28" s="5">
        <v>10631680000</v>
      </c>
      <c r="AK28" s="5">
        <v>5345914000</v>
      </c>
      <c r="AL28" s="5">
        <v>5392238000</v>
      </c>
      <c r="AM28" s="5">
        <v>5676616000</v>
      </c>
      <c r="AN28" s="5">
        <v>5957698000</v>
      </c>
      <c r="AO28" s="5">
        <v>7103570000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</row>
    <row r="29" spans="1:158" x14ac:dyDescent="0.25">
      <c r="A29" t="s">
        <v>20</v>
      </c>
      <c r="B29">
        <v>3.05</v>
      </c>
      <c r="C29">
        <v>2.4700000000000002</v>
      </c>
      <c r="D29">
        <v>2.48</v>
      </c>
      <c r="E29">
        <v>2.2000000000000002</v>
      </c>
      <c r="F29">
        <v>2.2599999999999998</v>
      </c>
      <c r="G29">
        <v>1.8</v>
      </c>
      <c r="H29">
        <v>2.09</v>
      </c>
      <c r="I29">
        <v>1.51</v>
      </c>
      <c r="J29">
        <v>0.28999999999999998</v>
      </c>
      <c r="K29">
        <v>1.51</v>
      </c>
      <c r="L29">
        <v>1.69</v>
      </c>
      <c r="M29">
        <v>1.62</v>
      </c>
      <c r="N29">
        <v>1.94</v>
      </c>
      <c r="O29">
        <v>2</v>
      </c>
      <c r="P29">
        <v>1.88</v>
      </c>
      <c r="Q29">
        <v>2.5499999999999998</v>
      </c>
      <c r="R29">
        <v>1.4750000000000001</v>
      </c>
      <c r="S29">
        <v>1.2549999999999999</v>
      </c>
      <c r="T29">
        <v>1.2949999999999999</v>
      </c>
      <c r="U29">
        <v>1.08</v>
      </c>
      <c r="V29">
        <v>1.02</v>
      </c>
      <c r="W29">
        <v>1</v>
      </c>
      <c r="X29">
        <v>0.88500000000000001</v>
      </c>
      <c r="Y29">
        <v>0.61499999999999999</v>
      </c>
      <c r="Z29">
        <v>0.8</v>
      </c>
      <c r="AA29">
        <v>0.44</v>
      </c>
      <c r="AC29">
        <v>0.71499999999999997</v>
      </c>
      <c r="AD29">
        <v>0.83499999999999996</v>
      </c>
      <c r="AE29">
        <v>0.7</v>
      </c>
      <c r="AF29">
        <v>0.59250000000000003</v>
      </c>
      <c r="AG29">
        <v>0.495</v>
      </c>
      <c r="AH29">
        <v>0.41749999999999998</v>
      </c>
      <c r="AI29">
        <v>0.31709999999999999</v>
      </c>
      <c r="AJ29">
        <v>0.30380000000000001</v>
      </c>
      <c r="AK29">
        <v>0.25869999999999999</v>
      </c>
      <c r="AL29">
        <v>0.31359999999999999</v>
      </c>
      <c r="AM29">
        <v>0.18029999999999999</v>
      </c>
      <c r="AN29">
        <v>0.15229999999999999</v>
      </c>
      <c r="AO29">
        <v>0.15110000000000001</v>
      </c>
    </row>
    <row r="30" spans="1:158" x14ac:dyDescent="0.25">
      <c r="A30" t="s">
        <v>24</v>
      </c>
      <c r="B30">
        <v>3.04</v>
      </c>
      <c r="C30">
        <v>2.46</v>
      </c>
      <c r="D30">
        <v>2.4700000000000002</v>
      </c>
      <c r="E30">
        <v>2.19</v>
      </c>
      <c r="F30">
        <v>2.25</v>
      </c>
      <c r="G30">
        <v>1.79</v>
      </c>
      <c r="H30">
        <v>2.0699999999999998</v>
      </c>
      <c r="I30">
        <v>1.5</v>
      </c>
      <c r="J30">
        <v>0.28999999999999998</v>
      </c>
      <c r="K30">
        <v>1.49</v>
      </c>
      <c r="L30">
        <v>1.67</v>
      </c>
      <c r="M30">
        <v>1.6</v>
      </c>
      <c r="N30">
        <v>1.9</v>
      </c>
      <c r="O30">
        <v>1.97</v>
      </c>
      <c r="P30">
        <v>1.85</v>
      </c>
      <c r="Q30">
        <v>2.5299999999999998</v>
      </c>
      <c r="R30">
        <v>1.4650000000000001</v>
      </c>
      <c r="S30">
        <v>1.2450000000000001</v>
      </c>
      <c r="T30">
        <v>1.2849999999999999</v>
      </c>
      <c r="U30">
        <v>1.08</v>
      </c>
      <c r="V30">
        <v>1.02</v>
      </c>
      <c r="W30">
        <v>1</v>
      </c>
      <c r="X30">
        <v>0.88500000000000001</v>
      </c>
      <c r="Y30">
        <v>0.61499999999999999</v>
      </c>
      <c r="Z30">
        <v>0.8</v>
      </c>
      <c r="AA30">
        <v>0.44</v>
      </c>
      <c r="AB30">
        <v>0</v>
      </c>
      <c r="AC30">
        <v>0.71</v>
      </c>
      <c r="AD30">
        <v>0.82</v>
      </c>
      <c r="AE30">
        <v>0.7</v>
      </c>
      <c r="AF30">
        <v>0.59250000000000003</v>
      </c>
      <c r="AG30">
        <v>0.495</v>
      </c>
      <c r="AH30">
        <v>0.41749999999999998</v>
      </c>
      <c r="AI30">
        <v>0.31840000000000002</v>
      </c>
      <c r="AJ30">
        <v>0.1522</v>
      </c>
      <c r="AK30">
        <v>0.25850000000000001</v>
      </c>
      <c r="AL30">
        <v>0.31969999999999998</v>
      </c>
      <c r="AM30">
        <v>0.184</v>
      </c>
      <c r="AN30">
        <v>0.15379999999999999</v>
      </c>
      <c r="AO30">
        <v>0.13150000000000001</v>
      </c>
    </row>
    <row r="36" spans="2:3" x14ac:dyDescent="0.25">
      <c r="B36" s="5"/>
    </row>
    <row r="39" spans="2:3" x14ac:dyDescent="0.25">
      <c r="C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75A9-C87C-414C-A797-BAD07D28117B}">
  <dimension ref="A1:X201"/>
  <sheetViews>
    <sheetView showGridLines="0" tabSelected="1" workbookViewId="0">
      <selection activeCell="D2" sqref="D2"/>
    </sheetView>
  </sheetViews>
  <sheetFormatPr defaultColWidth="25.7109375" defaultRowHeight="15" x14ac:dyDescent="0.25"/>
  <cols>
    <col min="8" max="8" width="35.140625" bestFit="1" customWidth="1"/>
    <col min="16" max="16" width="35" bestFit="1" customWidth="1"/>
    <col min="17" max="17" width="36.5703125" bestFit="1" customWidth="1"/>
  </cols>
  <sheetData>
    <row r="1" spans="1:24" x14ac:dyDescent="0.25">
      <c r="A1" s="10" t="s">
        <v>21</v>
      </c>
      <c r="B1" s="10" t="s">
        <v>22</v>
      </c>
      <c r="C1" s="10" t="s">
        <v>23</v>
      </c>
      <c r="D1" s="10" t="s">
        <v>0</v>
      </c>
      <c r="E1" s="10" t="s">
        <v>1</v>
      </c>
      <c r="F1" s="10" t="s">
        <v>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24</v>
      </c>
    </row>
    <row r="2" spans="1:24" x14ac:dyDescent="0.25">
      <c r="A2" s="11" t="s">
        <v>25</v>
      </c>
      <c r="B2" s="12">
        <f t="shared" ref="B2:B40" ca="1" si="0">TODAY()</f>
        <v>46088</v>
      </c>
      <c r="C2" s="11">
        <v>2025</v>
      </c>
      <c r="D2" s="11">
        <f>INDEX(Raw!$B$5:$AO$30, MATCH(D$1, Raw!$A$5:$A$30, 0), MATCH($C2, Raw!$B$3:$AO$3, 0))</f>
        <v>47941000000</v>
      </c>
      <c r="E2" s="11">
        <f>INDEX(Raw!$B$5:$AO$30, MATCH(E$1, Raw!$A$5:$A$30, 0), MATCH($C2, Raw!$B$3:$AO$3, 0))</f>
        <v>18397000000</v>
      </c>
      <c r="F2" s="11">
        <f>INDEX(Raw!$B$5:$AO$30, MATCH(F$1, Raw!$A$5:$A$30, 0), MATCH($C2, Raw!$B$3:$AO$3, 0))</f>
        <v>29544000000</v>
      </c>
      <c r="G2" s="11">
        <f>INDEX(Raw!$B$5:$AO$30, MATCH(G$1, Raw!$A$5:$A$30, 0), MATCH($C2, Raw!$B$3:$AO$3, 0))</f>
        <v>14521000000</v>
      </c>
      <c r="H2" s="11">
        <f>INDEX(Raw!$B$5:$AO$30, MATCH(H$1, Raw!$A$5:$A$30, 0), MATCH($C2, Raw!$B$3:$AO$3, 0))</f>
        <v>-1261000000</v>
      </c>
      <c r="I2" s="11">
        <f>INDEX(Raw!$B$5:$AO$30, MATCH(I$1, Raw!$A$5:$A$30, 0), MATCH($C2, Raw!$B$3:$AO$3, 0))</f>
        <v>15782000000</v>
      </c>
      <c r="J2" s="11">
        <f>INDEX(Raw!$B$5:$AO$30, MATCH(J$1, Raw!$A$5:$A$30, 0), MATCH($C2, Raw!$B$3:$AO$3, 0))</f>
        <v>13762000000</v>
      </c>
      <c r="K2" s="11">
        <f>INDEX(Raw!$B$5:$AO$30, MATCH(K$1, Raw!$A$5:$A$30, 0), MATCH($C2, Raw!$B$3:$AO$3, 0))</f>
        <v>2236000000</v>
      </c>
      <c r="L2" s="11">
        <f>INDEX(Raw!$B$5:$AO$30, MATCH(L$1, Raw!$A$5:$A$30, 0), MATCH($C2, Raw!$B$3:$AO$3, 0))</f>
        <v>15998000000</v>
      </c>
      <c r="M2" s="11">
        <f>INDEX(Raw!$B$5:$AO$30, MATCH(M$1, Raw!$A$5:$A$30, 0), MATCH($C2, Raw!$B$3:$AO$3, 0))</f>
        <v>2861000000</v>
      </c>
      <c r="N2" s="11">
        <f>INDEX(Raw!$B$5:$AO$30, MATCH(N$1, Raw!$A$5:$A$30, 0), MATCH($C2, Raw!$B$3:$AO$3, 0))</f>
        <v>13137000000</v>
      </c>
      <c r="O2" s="11">
        <f>INDEX(Raw!$B$5:$AO$30, MATCH(O$1, Raw!$A$5:$A$30, 0), MATCH($C2, Raw!$B$3:$AO$3, 0))</f>
        <v>0</v>
      </c>
      <c r="P2" s="11">
        <f>INDEX(Raw!$B$5:$AO$30, MATCH(P$1, Raw!$A$5:$A$30, 0), MATCH($C2, Raw!$B$3:$AO$3, 0))</f>
        <v>13137000000</v>
      </c>
      <c r="Q2" s="11">
        <f>INDEX(Raw!$B$5:$AO$30, MATCH(Q$1, Raw!$A$5:$A$30, 0), MATCH($C2, Raw!$B$3:$AO$3, 0))</f>
        <v>0</v>
      </c>
      <c r="R2" s="11">
        <f>INDEX(Raw!$B$5:$AO$30, MATCH(R$1, Raw!$A$5:$A$30, 0), MATCH($C2, Raw!$B$3:$AO$3, 0))</f>
        <v>13107</v>
      </c>
      <c r="S2" s="11">
        <f>INDEX(Raw!$B$5:$AO$30, MATCH(S$1, Raw!$A$5:$A$30, 0), MATCH($C2, Raw!$B$3:$AO$3, 0))</f>
        <v>14812000000</v>
      </c>
      <c r="T2" s="11">
        <f>INDEX(Raw!$B$5:$AO$30, MATCH(T$1, Raw!$A$5:$A$30, 0), MATCH($C2, Raw!$B$3:$AO$3, 0))</f>
        <v>13762000000</v>
      </c>
      <c r="U2" s="11">
        <f>INDEX(Raw!$B$5:$AO$30, MATCH(U$1, Raw!$A$5:$A$30, 0), MATCH($C2, Raw!$B$3:$AO$3, 0))</f>
        <v>4303000000</v>
      </c>
      <c r="V2" s="11">
        <f>INDEX(Raw!$B$5:$AO$30, MATCH(V$1, Raw!$A$5:$A$30, 0), MATCH($C2, Raw!$B$3:$AO$3, 0))</f>
        <v>4313000000</v>
      </c>
      <c r="W2" s="11">
        <f>INDEX(Raw!$B$5:$AO$30, MATCH(W$1, Raw!$A$5:$A$30, 0), MATCH($C2, Raw!$B$3:$AO$3, 0))</f>
        <v>3.05</v>
      </c>
      <c r="X2" s="11">
        <f>INDEX(Raw!$B$5:$AO$30, MATCH(X$1, Raw!$A$5:$A$30, 0), MATCH($C2, Raw!$B$3:$AO$3, 0))</f>
        <v>3.04</v>
      </c>
    </row>
    <row r="3" spans="1:24" x14ac:dyDescent="0.25">
      <c r="A3" s="11" t="s">
        <v>25</v>
      </c>
      <c r="B3" s="12">
        <f t="shared" ca="1" si="0"/>
        <v>46088</v>
      </c>
      <c r="C3" s="11">
        <v>2024</v>
      </c>
      <c r="D3" s="11">
        <f>INDEX(Raw!$B$5:$AO$30, MATCH(D$1, Raw!$A$5:$A$30, 0), MATCH($C3, Raw!$B$3:$AO$3, 0))</f>
        <v>47061000000</v>
      </c>
      <c r="E3" s="11">
        <f>INDEX(Raw!$B$5:$AO$30, MATCH(E$1, Raw!$A$5:$A$30, 0), MATCH($C3, Raw!$B$3:$AO$3, 0))</f>
        <v>18324000000</v>
      </c>
      <c r="F3" s="11">
        <f>INDEX(Raw!$B$5:$AO$30, MATCH(F$1, Raw!$A$5:$A$30, 0), MATCH($C3, Raw!$B$3:$AO$3, 0))</f>
        <v>28737000000</v>
      </c>
      <c r="G3" s="11">
        <f>INDEX(Raw!$B$5:$AO$30, MATCH(G$1, Raw!$A$5:$A$30, 0), MATCH($C3, Raw!$B$3:$AO$3, 0))</f>
        <v>14582000000</v>
      </c>
      <c r="H3" s="11">
        <f>INDEX(Raw!$B$5:$AO$30, MATCH(H$1, Raw!$A$5:$A$30, 0), MATCH($C3, Raw!$B$3:$AO$3, 0))</f>
        <v>-4163000000</v>
      </c>
      <c r="I3" s="11">
        <f>INDEX(Raw!$B$5:$AO$30, MATCH(I$1, Raw!$A$5:$A$30, 0), MATCH($C3, Raw!$B$3:$AO$3, 0))</f>
        <v>18745000000</v>
      </c>
      <c r="J3" s="11">
        <f>INDEX(Raw!$B$5:$AO$30, MATCH(J$1, Raw!$A$5:$A$30, 0), MATCH($C3, Raw!$B$3:$AO$3, 0))</f>
        <v>9992000000</v>
      </c>
      <c r="K3" s="11">
        <f>INDEX(Raw!$B$5:$AO$30, MATCH(K$1, Raw!$A$5:$A$30, 0), MATCH($C3, Raw!$B$3:$AO$3, 0))</f>
        <v>3094000000</v>
      </c>
      <c r="L3" s="11">
        <f>INDEX(Raw!$B$5:$AO$30, MATCH(L$1, Raw!$A$5:$A$30, 0), MATCH($C3, Raw!$B$3:$AO$3, 0))</f>
        <v>13086000000</v>
      </c>
      <c r="M3" s="11">
        <f>INDEX(Raw!$B$5:$AO$30, MATCH(M$1, Raw!$A$5:$A$30, 0), MATCH($C3, Raw!$B$3:$AO$3, 0))</f>
        <v>2437000000</v>
      </c>
      <c r="N3" s="11">
        <f>INDEX(Raw!$B$5:$AO$30, MATCH(N$1, Raw!$A$5:$A$30, 0), MATCH($C3, Raw!$B$3:$AO$3, 0))</f>
        <v>10649000000</v>
      </c>
      <c r="O3" s="11">
        <f>INDEX(Raw!$B$5:$AO$30, MATCH(O$1, Raw!$A$5:$A$30, 0), MATCH($C3, Raw!$B$3:$AO$3, 0))</f>
        <v>0</v>
      </c>
      <c r="P3" s="11">
        <f>INDEX(Raw!$B$5:$AO$30, MATCH(P$1, Raw!$A$5:$A$30, 0), MATCH($C3, Raw!$B$3:$AO$3, 0))</f>
        <v>10649000000</v>
      </c>
      <c r="Q3" s="11">
        <f>INDEX(Raw!$B$5:$AO$30, MATCH(Q$1, Raw!$A$5:$A$30, 0), MATCH($C3, Raw!$B$3:$AO$3, 0))</f>
        <v>0</v>
      </c>
      <c r="R3" s="11">
        <f>INDEX(Raw!$B$5:$AO$30, MATCH(R$1, Raw!$A$5:$A$30, 0), MATCH($C3, Raw!$B$3:$AO$3, 0))</f>
        <v>10631</v>
      </c>
      <c r="S3" s="11">
        <f>INDEX(Raw!$B$5:$AO$30, MATCH(S$1, Raw!$A$5:$A$30, 0), MATCH($C3, Raw!$B$3:$AO$3, 0))</f>
        <v>11067000000</v>
      </c>
      <c r="T3" s="11">
        <f>INDEX(Raw!$B$5:$AO$30, MATCH(T$1, Raw!$A$5:$A$30, 0), MATCH($C3, Raw!$B$3:$AO$3, 0))</f>
        <v>9992000000</v>
      </c>
      <c r="U3" s="11">
        <f>INDEX(Raw!$B$5:$AO$30, MATCH(U$1, Raw!$A$5:$A$30, 0), MATCH($C3, Raw!$B$3:$AO$3, 0))</f>
        <v>4309000000</v>
      </c>
      <c r="V3" s="11">
        <f>INDEX(Raw!$B$5:$AO$30, MATCH(V$1, Raw!$A$5:$A$30, 0), MATCH($C3, Raw!$B$3:$AO$3, 0))</f>
        <v>4320000000</v>
      </c>
      <c r="W3" s="11">
        <f>INDEX(Raw!$B$5:$AO$30, MATCH(W$1, Raw!$A$5:$A$30, 0), MATCH($C3, Raw!$B$3:$AO$3, 0))</f>
        <v>2.4700000000000002</v>
      </c>
      <c r="X3" s="11">
        <f>INDEX(Raw!$B$5:$AO$30, MATCH(X$1, Raw!$A$5:$A$30, 0), MATCH($C3, Raw!$B$3:$AO$3, 0))</f>
        <v>2.46</v>
      </c>
    </row>
    <row r="4" spans="1:24" x14ac:dyDescent="0.25">
      <c r="A4" s="11" t="s">
        <v>25</v>
      </c>
      <c r="B4" s="12">
        <f t="shared" ca="1" si="0"/>
        <v>46088</v>
      </c>
      <c r="C4" s="11">
        <v>2023</v>
      </c>
      <c r="D4" s="11">
        <f>INDEX(Raw!$B$5:$AO$30, MATCH(D$1, Raw!$A$5:$A$30, 0), MATCH($C4, Raw!$B$3:$AO$3, 0))</f>
        <v>45754000000</v>
      </c>
      <c r="E4" s="11">
        <f>INDEX(Raw!$B$5:$AO$30, MATCH(E$1, Raw!$A$5:$A$30, 0), MATCH($C4, Raw!$B$3:$AO$3, 0))</f>
        <v>18520000000</v>
      </c>
      <c r="F4" s="11">
        <f>INDEX(Raw!$B$5:$AO$30, MATCH(F$1, Raw!$A$5:$A$30, 0), MATCH($C4, Raw!$B$3:$AO$3, 0))</f>
        <v>27234000000</v>
      </c>
      <c r="G4" s="11">
        <f>INDEX(Raw!$B$5:$AO$30, MATCH(G$1, Raw!$A$5:$A$30, 0), MATCH($C4, Raw!$B$3:$AO$3, 0))</f>
        <v>13972000000</v>
      </c>
      <c r="H4" s="11">
        <f>INDEX(Raw!$B$5:$AO$30, MATCH(H$1, Raw!$A$5:$A$30, 0), MATCH($C4, Raw!$B$3:$AO$3, 0))</f>
        <v>-1951000000</v>
      </c>
      <c r="I4" s="11">
        <f>INDEX(Raw!$B$5:$AO$30, MATCH(I$1, Raw!$A$5:$A$30, 0), MATCH($C4, Raw!$B$3:$AO$3, 0))</f>
        <v>15923000000</v>
      </c>
      <c r="J4" s="11">
        <f>INDEX(Raw!$B$5:$AO$30, MATCH(J$1, Raw!$A$5:$A$30, 0), MATCH($C4, Raw!$B$3:$AO$3, 0))</f>
        <v>11311000000</v>
      </c>
      <c r="K4" s="11">
        <f>INDEX(Raw!$B$5:$AO$30, MATCH(K$1, Raw!$A$5:$A$30, 0), MATCH($C4, Raw!$B$3:$AO$3, 0))</f>
        <v>1641000000</v>
      </c>
      <c r="L4" s="11">
        <f>INDEX(Raw!$B$5:$AO$30, MATCH(L$1, Raw!$A$5:$A$30, 0), MATCH($C4, Raw!$B$3:$AO$3, 0))</f>
        <v>12952000000</v>
      </c>
      <c r="M4" s="11">
        <f>INDEX(Raw!$B$5:$AO$30, MATCH(M$1, Raw!$A$5:$A$30, 0), MATCH($C4, Raw!$B$3:$AO$3, 0))</f>
        <v>2249000000</v>
      </c>
      <c r="N4" s="11">
        <f>INDEX(Raw!$B$5:$AO$30, MATCH(N$1, Raw!$A$5:$A$30, 0), MATCH($C4, Raw!$B$3:$AO$3, 0))</f>
        <v>10703000000</v>
      </c>
      <c r="O4" s="11">
        <f>INDEX(Raw!$B$5:$AO$30, MATCH(O$1, Raw!$A$5:$A$30, 0), MATCH($C4, Raw!$B$3:$AO$3, 0))</f>
        <v>0</v>
      </c>
      <c r="P4" s="11">
        <f>INDEX(Raw!$B$5:$AO$30, MATCH(P$1, Raw!$A$5:$A$30, 0), MATCH($C4, Raw!$B$3:$AO$3, 0))</f>
        <v>10703000000</v>
      </c>
      <c r="Q4" s="11">
        <f>INDEX(Raw!$B$5:$AO$30, MATCH(Q$1, Raw!$A$5:$A$30, 0), MATCH($C4, Raw!$B$3:$AO$3, 0))</f>
        <v>0</v>
      </c>
      <c r="R4" s="11">
        <f>INDEX(Raw!$B$5:$AO$30, MATCH(R$1, Raw!$A$5:$A$30, 0), MATCH($C4, Raw!$B$3:$AO$3, 0))</f>
        <v>10714</v>
      </c>
      <c r="S4" s="11">
        <f>INDEX(Raw!$B$5:$AO$30, MATCH(S$1, Raw!$A$5:$A$30, 0), MATCH($C4, Raw!$B$3:$AO$3, 0))</f>
        <v>12439000000</v>
      </c>
      <c r="T4" s="11">
        <f>INDEX(Raw!$B$5:$AO$30, MATCH(T$1, Raw!$A$5:$A$30, 0), MATCH($C4, Raw!$B$3:$AO$3, 0))</f>
        <v>11311000000</v>
      </c>
      <c r="U4" s="11">
        <f>INDEX(Raw!$B$5:$AO$30, MATCH(U$1, Raw!$A$5:$A$30, 0), MATCH($C4, Raw!$B$3:$AO$3, 0))</f>
        <v>4323000000</v>
      </c>
      <c r="V4" s="11">
        <f>INDEX(Raw!$B$5:$AO$30, MATCH(V$1, Raw!$A$5:$A$30, 0), MATCH($C4, Raw!$B$3:$AO$3, 0))</f>
        <v>4339000000</v>
      </c>
      <c r="W4" s="11">
        <f>INDEX(Raw!$B$5:$AO$30, MATCH(W$1, Raw!$A$5:$A$30, 0), MATCH($C4, Raw!$B$3:$AO$3, 0))</f>
        <v>2.48</v>
      </c>
      <c r="X4" s="11">
        <f>INDEX(Raw!$B$5:$AO$30, MATCH(X$1, Raw!$A$5:$A$30, 0), MATCH($C4, Raw!$B$3:$AO$3, 0))</f>
        <v>2.4700000000000002</v>
      </c>
    </row>
    <row r="5" spans="1:24" x14ac:dyDescent="0.25">
      <c r="A5" s="11" t="s">
        <v>25</v>
      </c>
      <c r="B5" s="12">
        <f t="shared" ca="1" si="0"/>
        <v>46088</v>
      </c>
      <c r="C5" s="11">
        <v>2022</v>
      </c>
      <c r="D5" s="11">
        <f>INDEX(Raw!$B$5:$AO$30, MATCH(D$1, Raw!$A$5:$A$30, 0), MATCH($C5, Raw!$B$3:$AO$3, 0))</f>
        <v>43004000000</v>
      </c>
      <c r="E5" s="11">
        <f>INDEX(Raw!$B$5:$AO$30, MATCH(E$1, Raw!$A$5:$A$30, 0), MATCH($C5, Raw!$B$3:$AO$3, 0))</f>
        <v>18000000000</v>
      </c>
      <c r="F5" s="11">
        <f>INDEX(Raw!$B$5:$AO$30, MATCH(F$1, Raw!$A$5:$A$30, 0), MATCH($C5, Raw!$B$3:$AO$3, 0))</f>
        <v>25004000000</v>
      </c>
      <c r="G5" s="11">
        <f>INDEX(Raw!$B$5:$AO$30, MATCH(G$1, Raw!$A$5:$A$30, 0), MATCH($C5, Raw!$B$3:$AO$3, 0))</f>
        <v>12880000000</v>
      </c>
      <c r="H5" s="11">
        <f>INDEX(Raw!$B$5:$AO$30, MATCH(H$1, Raw!$A$5:$A$30, 0), MATCH($C5, Raw!$B$3:$AO$3, 0))</f>
        <v>-1215000000</v>
      </c>
      <c r="I5" s="11">
        <f>INDEX(Raw!$B$5:$AO$30, MATCH(I$1, Raw!$A$5:$A$30, 0), MATCH($C5, Raw!$B$3:$AO$3, 0))</f>
        <v>14095000000</v>
      </c>
      <c r="J5" s="11">
        <f>INDEX(Raw!$B$5:$AO$30, MATCH(J$1, Raw!$A$5:$A$30, 0), MATCH($C5, Raw!$B$3:$AO$3, 0))</f>
        <v>10909000000</v>
      </c>
      <c r="K5" s="11">
        <f>INDEX(Raw!$B$5:$AO$30, MATCH(K$1, Raw!$A$5:$A$30, 0), MATCH($C5, Raw!$B$3:$AO$3, 0))</f>
        <v>777000000</v>
      </c>
      <c r="L5" s="11">
        <f>INDEX(Raw!$B$5:$AO$30, MATCH(L$1, Raw!$A$5:$A$30, 0), MATCH($C5, Raw!$B$3:$AO$3, 0))</f>
        <v>11686000000</v>
      </c>
      <c r="M5" s="11">
        <f>INDEX(Raw!$B$5:$AO$30, MATCH(M$1, Raw!$A$5:$A$30, 0), MATCH($C5, Raw!$B$3:$AO$3, 0))</f>
        <v>2115000000</v>
      </c>
      <c r="N5" s="11">
        <f>INDEX(Raw!$B$5:$AO$30, MATCH(N$1, Raw!$A$5:$A$30, 0), MATCH($C5, Raw!$B$3:$AO$3, 0))</f>
        <v>9571000000</v>
      </c>
      <c r="O5" s="11">
        <f>INDEX(Raw!$B$5:$AO$30, MATCH(O$1, Raw!$A$5:$A$30, 0), MATCH($C5, Raw!$B$3:$AO$3, 0))</f>
        <v>0</v>
      </c>
      <c r="P5" s="11">
        <f>INDEX(Raw!$B$5:$AO$30, MATCH(P$1, Raw!$A$5:$A$30, 0), MATCH($C5, Raw!$B$3:$AO$3, 0))</f>
        <v>9571000000</v>
      </c>
      <c r="Q5" s="11">
        <f>INDEX(Raw!$B$5:$AO$30, MATCH(Q$1, Raw!$A$5:$A$30, 0), MATCH($C5, Raw!$B$3:$AO$3, 0))</f>
        <v>0</v>
      </c>
      <c r="R5" s="11">
        <f>INDEX(Raw!$B$5:$AO$30, MATCH(R$1, Raw!$A$5:$A$30, 0), MATCH($C5, Raw!$B$3:$AO$3, 0))</f>
        <v>9542</v>
      </c>
      <c r="S5" s="11">
        <f>INDEX(Raw!$B$5:$AO$30, MATCH(S$1, Raw!$A$5:$A$30, 0), MATCH($C5, Raw!$B$3:$AO$3, 0))</f>
        <v>12169000000</v>
      </c>
      <c r="T5" s="11">
        <f>INDEX(Raw!$B$5:$AO$30, MATCH(T$1, Raw!$A$5:$A$30, 0), MATCH($C5, Raw!$B$3:$AO$3, 0))</f>
        <v>10909000000</v>
      </c>
      <c r="U5" s="11">
        <f>INDEX(Raw!$B$5:$AO$30, MATCH(U$1, Raw!$A$5:$A$30, 0), MATCH($C5, Raw!$B$3:$AO$3, 0))</f>
        <v>4328000000</v>
      </c>
      <c r="V5" s="11">
        <f>INDEX(Raw!$B$5:$AO$30, MATCH(V$1, Raw!$A$5:$A$30, 0), MATCH($C5, Raw!$B$3:$AO$3, 0))</f>
        <v>4350000000</v>
      </c>
      <c r="W5" s="11">
        <f>INDEX(Raw!$B$5:$AO$30, MATCH(W$1, Raw!$A$5:$A$30, 0), MATCH($C5, Raw!$B$3:$AO$3, 0))</f>
        <v>2.2000000000000002</v>
      </c>
      <c r="X5" s="11">
        <f>INDEX(Raw!$B$5:$AO$30, MATCH(X$1, Raw!$A$5:$A$30, 0), MATCH($C5, Raw!$B$3:$AO$3, 0))</f>
        <v>2.19</v>
      </c>
    </row>
    <row r="6" spans="1:24" x14ac:dyDescent="0.25">
      <c r="A6" s="11" t="s">
        <v>25</v>
      </c>
      <c r="B6" s="12">
        <f t="shared" ca="1" si="0"/>
        <v>46088</v>
      </c>
      <c r="C6" s="11">
        <v>2021</v>
      </c>
      <c r="D6" s="11">
        <f>INDEX(Raw!$B$5:$AO$30, MATCH(D$1, Raw!$A$5:$A$30, 0), MATCH($C6, Raw!$B$3:$AO$3, 0))</f>
        <v>38655000000</v>
      </c>
      <c r="E6" s="11">
        <f>INDEX(Raw!$B$5:$AO$30, MATCH(E$1, Raw!$A$5:$A$30, 0), MATCH($C6, Raw!$B$3:$AO$3, 0))</f>
        <v>15357000000</v>
      </c>
      <c r="F6" s="11">
        <f>INDEX(Raw!$B$5:$AO$30, MATCH(F$1, Raw!$A$5:$A$30, 0), MATCH($C6, Raw!$B$3:$AO$3, 0))</f>
        <v>23298000000</v>
      </c>
      <c r="G6" s="11">
        <f>INDEX(Raw!$B$5:$AO$30, MATCH(G$1, Raw!$A$5:$A$30, 0), MATCH($C6, Raw!$B$3:$AO$3, 0))</f>
        <v>12144000000</v>
      </c>
      <c r="H6" s="11">
        <f>INDEX(Raw!$B$5:$AO$30, MATCH(H$1, Raw!$A$5:$A$30, 0), MATCH($C6, Raw!$B$3:$AO$3, 0))</f>
        <v>-846000000</v>
      </c>
      <c r="I6" s="11">
        <f>INDEX(Raw!$B$5:$AO$30, MATCH(I$1, Raw!$A$5:$A$30, 0), MATCH($C6, Raw!$B$3:$AO$3, 0))</f>
        <v>12990000000</v>
      </c>
      <c r="J6" s="11">
        <f>INDEX(Raw!$B$5:$AO$30, MATCH(J$1, Raw!$A$5:$A$30, 0), MATCH($C6, Raw!$B$3:$AO$3, 0))</f>
        <v>10308000000</v>
      </c>
      <c r="K6" s="11">
        <f>INDEX(Raw!$B$5:$AO$30, MATCH(K$1, Raw!$A$5:$A$30, 0), MATCH($C6, Raw!$B$3:$AO$3, 0))</f>
        <v>2117000000</v>
      </c>
      <c r="L6" s="11">
        <f>INDEX(Raw!$B$5:$AO$30, MATCH(L$1, Raw!$A$5:$A$30, 0), MATCH($C6, Raw!$B$3:$AO$3, 0))</f>
        <v>12425000000</v>
      </c>
      <c r="M6" s="11">
        <f>INDEX(Raw!$B$5:$AO$30, MATCH(M$1, Raw!$A$5:$A$30, 0), MATCH($C6, Raw!$B$3:$AO$3, 0))</f>
        <v>2621000000</v>
      </c>
      <c r="N6" s="11">
        <f>INDEX(Raw!$B$5:$AO$30, MATCH(N$1, Raw!$A$5:$A$30, 0), MATCH($C6, Raw!$B$3:$AO$3, 0))</f>
        <v>9804000000</v>
      </c>
      <c r="O6" s="11">
        <f>INDEX(Raw!$B$5:$AO$30, MATCH(O$1, Raw!$A$5:$A$30, 0), MATCH($C6, Raw!$B$3:$AO$3, 0))</f>
        <v>0</v>
      </c>
      <c r="P6" s="11">
        <f>INDEX(Raw!$B$5:$AO$30, MATCH(P$1, Raw!$A$5:$A$30, 0), MATCH($C6, Raw!$B$3:$AO$3, 0))</f>
        <v>9804000000</v>
      </c>
      <c r="Q6" s="11">
        <f>INDEX(Raw!$B$5:$AO$30, MATCH(Q$1, Raw!$A$5:$A$30, 0), MATCH($C6, Raw!$B$3:$AO$3, 0))</f>
        <v>0</v>
      </c>
      <c r="R6" s="11">
        <f>INDEX(Raw!$B$5:$AO$30, MATCH(R$1, Raw!$A$5:$A$30, 0), MATCH($C6, Raw!$B$3:$AO$3, 0))</f>
        <v>9771</v>
      </c>
      <c r="S6" s="11">
        <f>INDEX(Raw!$B$5:$AO$30, MATCH(S$1, Raw!$A$5:$A$30, 0), MATCH($C6, Raw!$B$3:$AO$3, 0))</f>
        <v>11760000000</v>
      </c>
      <c r="T6" s="11">
        <f>INDEX(Raw!$B$5:$AO$30, MATCH(T$1, Raw!$A$5:$A$30, 0), MATCH($C6, Raw!$B$3:$AO$3, 0))</f>
        <v>10308000000</v>
      </c>
      <c r="U6" s="11">
        <f>INDEX(Raw!$B$5:$AO$30, MATCH(U$1, Raw!$A$5:$A$30, 0), MATCH($C6, Raw!$B$3:$AO$3, 0))</f>
        <v>4315000000</v>
      </c>
      <c r="V6" s="11">
        <f>INDEX(Raw!$B$5:$AO$30, MATCH(V$1, Raw!$A$5:$A$30, 0), MATCH($C6, Raw!$B$3:$AO$3, 0))</f>
        <v>4340000000</v>
      </c>
      <c r="W6" s="11">
        <f>INDEX(Raw!$B$5:$AO$30, MATCH(W$1, Raw!$A$5:$A$30, 0), MATCH($C6, Raw!$B$3:$AO$3, 0))</f>
        <v>2.2599999999999998</v>
      </c>
      <c r="X6" s="11">
        <f>INDEX(Raw!$B$5:$AO$30, MATCH(X$1, Raw!$A$5:$A$30, 0), MATCH($C6, Raw!$B$3:$AO$3, 0))</f>
        <v>2.25</v>
      </c>
    </row>
    <row r="7" spans="1:24" x14ac:dyDescent="0.25">
      <c r="A7" s="11" t="s">
        <v>25</v>
      </c>
      <c r="B7" s="12">
        <f t="shared" ca="1" si="0"/>
        <v>46088</v>
      </c>
      <c r="C7" s="11">
        <v>2020</v>
      </c>
      <c r="D7" s="11">
        <f>INDEX(Raw!$B$5:$AO$30, MATCH(D$1, Raw!$A$5:$A$30, 0), MATCH($C7, Raw!$B$3:$AO$3, 0))</f>
        <v>33014000000</v>
      </c>
      <c r="E7" s="11">
        <f>INDEX(Raw!$B$5:$AO$30, MATCH(E$1, Raw!$A$5:$A$30, 0), MATCH($C7, Raw!$B$3:$AO$3, 0))</f>
        <v>13433000000</v>
      </c>
      <c r="F7" s="11">
        <f>INDEX(Raw!$B$5:$AO$30, MATCH(F$1, Raw!$A$5:$A$30, 0), MATCH($C7, Raw!$B$3:$AO$3, 0))</f>
        <v>19581000000</v>
      </c>
      <c r="G7" s="11">
        <f>INDEX(Raw!$B$5:$AO$30, MATCH(G$1, Raw!$A$5:$A$30, 0), MATCH($C7, Raw!$B$3:$AO$3, 0))</f>
        <v>9731000000</v>
      </c>
      <c r="H7" s="11">
        <f>INDEX(Raw!$B$5:$AO$30, MATCH(H$1, Raw!$A$5:$A$30, 0), MATCH($C7, Raw!$B$3:$AO$3, 0))</f>
        <v>-853000000</v>
      </c>
      <c r="I7" s="11">
        <f>INDEX(Raw!$B$5:$AO$30, MATCH(I$1, Raw!$A$5:$A$30, 0), MATCH($C7, Raw!$B$3:$AO$3, 0))</f>
        <v>10584000000</v>
      </c>
      <c r="J7" s="11">
        <f>INDEX(Raw!$B$5:$AO$30, MATCH(J$1, Raw!$A$5:$A$30, 0), MATCH($C7, Raw!$B$3:$AO$3, 0))</f>
        <v>8997000000</v>
      </c>
      <c r="K7" s="11">
        <f>INDEX(Raw!$B$5:$AO$30, MATCH(K$1, Raw!$A$5:$A$30, 0), MATCH($C7, Raw!$B$3:$AO$3, 0))</f>
        <v>752000000</v>
      </c>
      <c r="L7" s="11">
        <f>INDEX(Raw!$B$5:$AO$30, MATCH(L$1, Raw!$A$5:$A$30, 0), MATCH($C7, Raw!$B$3:$AO$3, 0))</f>
        <v>9749000000</v>
      </c>
      <c r="M7" s="11">
        <f>INDEX(Raw!$B$5:$AO$30, MATCH(M$1, Raw!$A$5:$A$30, 0), MATCH($C7, Raw!$B$3:$AO$3, 0))</f>
        <v>1981000000</v>
      </c>
      <c r="N7" s="11">
        <f>INDEX(Raw!$B$5:$AO$30, MATCH(N$1, Raw!$A$5:$A$30, 0), MATCH($C7, Raw!$B$3:$AO$3, 0))</f>
        <v>7768000000</v>
      </c>
      <c r="O7" s="11">
        <f>INDEX(Raw!$B$5:$AO$30, MATCH(O$1, Raw!$A$5:$A$30, 0), MATCH($C7, Raw!$B$3:$AO$3, 0))</f>
        <v>0</v>
      </c>
      <c r="P7" s="11">
        <f>INDEX(Raw!$B$5:$AO$30, MATCH(P$1, Raw!$A$5:$A$30, 0), MATCH($C7, Raw!$B$3:$AO$3, 0))</f>
        <v>7768000000</v>
      </c>
      <c r="Q7" s="11">
        <f>INDEX(Raw!$B$5:$AO$30, MATCH(Q$1, Raw!$A$5:$A$30, 0), MATCH($C7, Raw!$B$3:$AO$3, 0))</f>
        <v>0</v>
      </c>
      <c r="R7" s="11">
        <f>INDEX(Raw!$B$5:$AO$30, MATCH(R$1, Raw!$A$5:$A$30, 0), MATCH($C7, Raw!$B$3:$AO$3, 0))</f>
        <v>7747</v>
      </c>
      <c r="S7" s="11">
        <f>INDEX(Raw!$B$5:$AO$30, MATCH(S$1, Raw!$A$5:$A$30, 0), MATCH($C7, Raw!$B$3:$AO$3, 0))</f>
        <v>10533000000</v>
      </c>
      <c r="T7" s="11">
        <f>INDEX(Raw!$B$5:$AO$30, MATCH(T$1, Raw!$A$5:$A$30, 0), MATCH($C7, Raw!$B$3:$AO$3, 0))</f>
        <v>8997000000</v>
      </c>
      <c r="U7" s="11">
        <f>INDEX(Raw!$B$5:$AO$30, MATCH(U$1, Raw!$A$5:$A$30, 0), MATCH($C7, Raw!$B$3:$AO$3, 0))</f>
        <v>4295000000</v>
      </c>
      <c r="V7" s="11">
        <f>INDEX(Raw!$B$5:$AO$30, MATCH(V$1, Raw!$A$5:$A$30, 0), MATCH($C7, Raw!$B$3:$AO$3, 0))</f>
        <v>4323000000</v>
      </c>
      <c r="W7" s="11">
        <f>INDEX(Raw!$B$5:$AO$30, MATCH(W$1, Raw!$A$5:$A$30, 0), MATCH($C7, Raw!$B$3:$AO$3, 0))</f>
        <v>1.8</v>
      </c>
      <c r="X7" s="11">
        <f>INDEX(Raw!$B$5:$AO$30, MATCH(X$1, Raw!$A$5:$A$30, 0), MATCH($C7, Raw!$B$3:$AO$3, 0))</f>
        <v>1.79</v>
      </c>
    </row>
    <row r="8" spans="1:24" x14ac:dyDescent="0.25">
      <c r="A8" s="11" t="s">
        <v>25</v>
      </c>
      <c r="B8" s="12">
        <f t="shared" ca="1" si="0"/>
        <v>46088</v>
      </c>
      <c r="C8" s="11">
        <v>2019</v>
      </c>
      <c r="D8" s="11">
        <f>INDEX(Raw!$B$5:$AO$30, MATCH(D$1, Raw!$A$5:$A$30, 0), MATCH($C8, Raw!$B$3:$AO$3, 0))</f>
        <v>37266000000</v>
      </c>
      <c r="E8" s="11">
        <f>INDEX(Raw!$B$5:$AO$30, MATCH(E$1, Raw!$A$5:$A$30, 0), MATCH($C8, Raw!$B$3:$AO$3, 0))</f>
        <v>14619000000</v>
      </c>
      <c r="F8" s="11">
        <f>INDEX(Raw!$B$5:$AO$30, MATCH(F$1, Raw!$A$5:$A$30, 0), MATCH($C8, Raw!$B$3:$AO$3, 0))</f>
        <v>22647000000</v>
      </c>
      <c r="G8" s="11">
        <f>INDEX(Raw!$B$5:$AO$30, MATCH(G$1, Raw!$A$5:$A$30, 0), MATCH($C8, Raw!$B$3:$AO$3, 0))</f>
        <v>12103000000</v>
      </c>
      <c r="H8" s="11">
        <f>INDEX(Raw!$B$5:$AO$30, MATCH(H$1, Raw!$A$5:$A$30, 0), MATCH($C8, Raw!$B$3:$AO$3, 0))</f>
        <v>-458000000</v>
      </c>
      <c r="I8" s="11">
        <f>INDEX(Raw!$B$5:$AO$30, MATCH(I$1, Raw!$A$5:$A$30, 0), MATCH($C8, Raw!$B$3:$AO$3, 0))</f>
        <v>12561000000</v>
      </c>
      <c r="J8" s="11">
        <f>INDEX(Raw!$B$5:$AO$30, MATCH(J$1, Raw!$A$5:$A$30, 0), MATCH($C8, Raw!$B$3:$AO$3, 0))</f>
        <v>10086000000</v>
      </c>
      <c r="K8" s="11">
        <f>INDEX(Raw!$B$5:$AO$30, MATCH(K$1, Raw!$A$5:$A$30, 0), MATCH($C8, Raw!$B$3:$AO$3, 0))</f>
        <v>700000000</v>
      </c>
      <c r="L8" s="11">
        <f>INDEX(Raw!$B$5:$AO$30, MATCH(L$1, Raw!$A$5:$A$30, 0), MATCH($C8, Raw!$B$3:$AO$3, 0))</f>
        <v>10786000000</v>
      </c>
      <c r="M8" s="11">
        <f>INDEX(Raw!$B$5:$AO$30, MATCH(M$1, Raw!$A$5:$A$30, 0), MATCH($C8, Raw!$B$3:$AO$3, 0))</f>
        <v>1801000000</v>
      </c>
      <c r="N8" s="11">
        <f>INDEX(Raw!$B$5:$AO$30, MATCH(N$1, Raw!$A$5:$A$30, 0), MATCH($C8, Raw!$B$3:$AO$3, 0))</f>
        <v>8985000000</v>
      </c>
      <c r="O8" s="11">
        <f>INDEX(Raw!$B$5:$AO$30, MATCH(O$1, Raw!$A$5:$A$30, 0), MATCH($C8, Raw!$B$3:$AO$3, 0))</f>
        <v>0</v>
      </c>
      <c r="P8" s="11">
        <f>INDEX(Raw!$B$5:$AO$30, MATCH(P$1, Raw!$A$5:$A$30, 0), MATCH($C8, Raw!$B$3:$AO$3, 0))</f>
        <v>8985000000</v>
      </c>
      <c r="Q8" s="11">
        <f>INDEX(Raw!$B$5:$AO$30, MATCH(Q$1, Raw!$A$5:$A$30, 0), MATCH($C8, Raw!$B$3:$AO$3, 0))</f>
        <v>0</v>
      </c>
      <c r="R8" s="11">
        <f>INDEX(Raw!$B$5:$AO$30, MATCH(R$1, Raw!$A$5:$A$30, 0), MATCH($C8, Raw!$B$3:$AO$3, 0))</f>
        <v>8920</v>
      </c>
      <c r="S8" s="11">
        <f>INDEX(Raw!$B$5:$AO$30, MATCH(S$1, Raw!$A$5:$A$30, 0), MATCH($C8, Raw!$B$3:$AO$3, 0))</f>
        <v>11451000000</v>
      </c>
      <c r="T8" s="11">
        <f>INDEX(Raw!$B$5:$AO$30, MATCH(T$1, Raw!$A$5:$A$30, 0), MATCH($C8, Raw!$B$3:$AO$3, 0))</f>
        <v>10086000000</v>
      </c>
      <c r="U8" s="11">
        <f>INDEX(Raw!$B$5:$AO$30, MATCH(U$1, Raw!$A$5:$A$30, 0), MATCH($C8, Raw!$B$3:$AO$3, 0))</f>
        <v>4276000000</v>
      </c>
      <c r="V8" s="11">
        <f>INDEX(Raw!$B$5:$AO$30, MATCH(V$1, Raw!$A$5:$A$30, 0), MATCH($C8, Raw!$B$3:$AO$3, 0))</f>
        <v>4314000000</v>
      </c>
      <c r="W8" s="11">
        <f>INDEX(Raw!$B$5:$AO$30, MATCH(W$1, Raw!$A$5:$A$30, 0), MATCH($C8, Raw!$B$3:$AO$3, 0))</f>
        <v>2.09</v>
      </c>
      <c r="X8" s="11">
        <f>INDEX(Raw!$B$5:$AO$30, MATCH(X$1, Raw!$A$5:$A$30, 0), MATCH($C8, Raw!$B$3:$AO$3, 0))</f>
        <v>2.0699999999999998</v>
      </c>
    </row>
    <row r="9" spans="1:24" x14ac:dyDescent="0.25">
      <c r="A9" s="11" t="s">
        <v>25</v>
      </c>
      <c r="B9" s="12">
        <f t="shared" ca="1" si="0"/>
        <v>46088</v>
      </c>
      <c r="C9" s="11">
        <v>2018</v>
      </c>
      <c r="D9" s="11">
        <f>INDEX(Raw!$B$5:$AO$30, MATCH(D$1, Raw!$A$5:$A$30, 0), MATCH($C9, Raw!$B$3:$AO$3, 0))</f>
        <v>34300000000</v>
      </c>
      <c r="E9" s="11">
        <f>INDEX(Raw!$B$5:$AO$30, MATCH(E$1, Raw!$A$5:$A$30, 0), MATCH($C9, Raw!$B$3:$AO$3, 0))</f>
        <v>13067000000</v>
      </c>
      <c r="F9" s="11">
        <f>INDEX(Raw!$B$5:$AO$30, MATCH(F$1, Raw!$A$5:$A$30, 0), MATCH($C9, Raw!$B$3:$AO$3, 0))</f>
        <v>21233000000</v>
      </c>
      <c r="G9" s="11">
        <f>INDEX(Raw!$B$5:$AO$30, MATCH(G$1, Raw!$A$5:$A$30, 0), MATCH($C9, Raw!$B$3:$AO$3, 0))</f>
        <v>11002000000</v>
      </c>
      <c r="H9" s="11">
        <f>INDEX(Raw!$B$5:$AO$30, MATCH(H$1, Raw!$A$5:$A$30, 0), MATCH($C9, Raw!$B$3:$AO$3, 0))</f>
        <v>-1079000000</v>
      </c>
      <c r="I9" s="11">
        <f>INDEX(Raw!$B$5:$AO$30, MATCH(I$1, Raw!$A$5:$A$30, 0), MATCH($C9, Raw!$B$3:$AO$3, 0))</f>
        <v>12081000000</v>
      </c>
      <c r="J9" s="11">
        <f>INDEX(Raw!$B$5:$AO$30, MATCH(J$1, Raw!$A$5:$A$30, 0), MATCH($C9, Raw!$B$3:$AO$3, 0))</f>
        <v>9152000000</v>
      </c>
      <c r="K9" s="11">
        <f>INDEX(Raw!$B$5:$AO$30, MATCH(K$1, Raw!$A$5:$A$30, 0), MATCH($C9, Raw!$B$3:$AO$3, 0))</f>
        <v>-927000000</v>
      </c>
      <c r="L9" s="11">
        <f>INDEX(Raw!$B$5:$AO$30, MATCH(L$1, Raw!$A$5:$A$30, 0), MATCH($C9, Raw!$B$3:$AO$3, 0))</f>
        <v>8225000000</v>
      </c>
      <c r="M9" s="11">
        <f>INDEX(Raw!$B$5:$AO$30, MATCH(M$1, Raw!$A$5:$A$30, 0), MATCH($C9, Raw!$B$3:$AO$3, 0))</f>
        <v>1749000000</v>
      </c>
      <c r="N9" s="11">
        <f>INDEX(Raw!$B$5:$AO$30, MATCH(N$1, Raw!$A$5:$A$30, 0), MATCH($C9, Raw!$B$3:$AO$3, 0))</f>
        <v>6476000000</v>
      </c>
      <c r="O9" s="11">
        <f>INDEX(Raw!$B$5:$AO$30, MATCH(O$1, Raw!$A$5:$A$30, 0), MATCH($C9, Raw!$B$3:$AO$3, 0))</f>
        <v>0</v>
      </c>
      <c r="P9" s="11">
        <f>INDEX(Raw!$B$5:$AO$30, MATCH(P$1, Raw!$A$5:$A$30, 0), MATCH($C9, Raw!$B$3:$AO$3, 0))</f>
        <v>6476000000</v>
      </c>
      <c r="Q9" s="11">
        <f>INDEX(Raw!$B$5:$AO$30, MATCH(Q$1, Raw!$A$5:$A$30, 0), MATCH($C9, Raw!$B$3:$AO$3, 0))</f>
        <v>0</v>
      </c>
      <c r="R9" s="11">
        <f>INDEX(Raw!$B$5:$AO$30, MATCH(R$1, Raw!$A$5:$A$30, 0), MATCH($C9, Raw!$B$3:$AO$3, 0))</f>
        <v>6434</v>
      </c>
      <c r="S9" s="11">
        <f>INDEX(Raw!$B$5:$AO$30, MATCH(S$1, Raw!$A$5:$A$30, 0), MATCH($C9, Raw!$B$3:$AO$3, 0))</f>
        <v>10238000000</v>
      </c>
      <c r="T9" s="11">
        <f>INDEX(Raw!$B$5:$AO$30, MATCH(T$1, Raw!$A$5:$A$30, 0), MATCH($C9, Raw!$B$3:$AO$3, 0))</f>
        <v>9152000000</v>
      </c>
      <c r="U9" s="11">
        <f>INDEX(Raw!$B$5:$AO$30, MATCH(U$1, Raw!$A$5:$A$30, 0), MATCH($C9, Raw!$B$3:$AO$3, 0))</f>
        <v>4259000000</v>
      </c>
      <c r="V9" s="11">
        <f>INDEX(Raw!$B$5:$AO$30, MATCH(V$1, Raw!$A$5:$A$30, 0), MATCH($C9, Raw!$B$3:$AO$3, 0))</f>
        <v>4299000000</v>
      </c>
      <c r="W9" s="11">
        <f>INDEX(Raw!$B$5:$AO$30, MATCH(W$1, Raw!$A$5:$A$30, 0), MATCH($C9, Raw!$B$3:$AO$3, 0))</f>
        <v>1.51</v>
      </c>
      <c r="X9" s="11">
        <f>INDEX(Raw!$B$5:$AO$30, MATCH(X$1, Raw!$A$5:$A$30, 0), MATCH($C9, Raw!$B$3:$AO$3, 0))</f>
        <v>1.5</v>
      </c>
    </row>
    <row r="10" spans="1:24" x14ac:dyDescent="0.25">
      <c r="A10" s="11" t="s">
        <v>25</v>
      </c>
      <c r="B10" s="12">
        <f t="shared" ca="1" si="0"/>
        <v>46088</v>
      </c>
      <c r="C10" s="11">
        <v>2017</v>
      </c>
      <c r="D10" s="11">
        <f>INDEX(Raw!$B$5:$AO$30, MATCH(D$1, Raw!$A$5:$A$30, 0), MATCH($C10, Raw!$B$3:$AO$3, 0))</f>
        <v>36212000000</v>
      </c>
      <c r="E10" s="11">
        <f>INDEX(Raw!$B$5:$AO$30, MATCH(E$1, Raw!$A$5:$A$30, 0), MATCH($C10, Raw!$B$3:$AO$3, 0))</f>
        <v>13721000000</v>
      </c>
      <c r="F10" s="11">
        <f>INDEX(Raw!$B$5:$AO$30, MATCH(F$1, Raw!$A$5:$A$30, 0), MATCH($C10, Raw!$B$3:$AO$3, 0))</f>
        <v>22491000000</v>
      </c>
      <c r="G10" s="11">
        <f>INDEX(Raw!$B$5:$AO$30, MATCH(G$1, Raw!$A$5:$A$30, 0), MATCH($C10, Raw!$B$3:$AO$3, 0))</f>
        <v>12834000000</v>
      </c>
      <c r="H10" s="11">
        <f>INDEX(Raw!$B$5:$AO$30, MATCH(H$1, Raw!$A$5:$A$30, 0), MATCH($C10, Raw!$B$3:$AO$3, 0))</f>
        <v>-1902000000</v>
      </c>
      <c r="I10" s="11">
        <f>INDEX(Raw!$B$5:$AO$30, MATCH(I$1, Raw!$A$5:$A$30, 0), MATCH($C10, Raw!$B$3:$AO$3, 0))</f>
        <v>14736000000</v>
      </c>
      <c r="J10" s="11">
        <f>INDEX(Raw!$B$5:$AO$30, MATCH(J$1, Raw!$A$5:$A$30, 0), MATCH($C10, Raw!$B$3:$AO$3, 0))</f>
        <v>7755000000</v>
      </c>
      <c r="K10" s="11">
        <f>INDEX(Raw!$B$5:$AO$30, MATCH(K$1, Raw!$A$5:$A$30, 0), MATCH($C10, Raw!$B$3:$AO$3, 0))</f>
        <v>-865000000</v>
      </c>
      <c r="L10" s="11">
        <f>INDEX(Raw!$B$5:$AO$30, MATCH(L$1, Raw!$A$5:$A$30, 0), MATCH($C10, Raw!$B$3:$AO$3, 0))</f>
        <v>6890000000</v>
      </c>
      <c r="M10" s="11">
        <f>INDEX(Raw!$B$5:$AO$30, MATCH(M$1, Raw!$A$5:$A$30, 0), MATCH($C10, Raw!$B$3:$AO$3, 0))</f>
        <v>5607000000</v>
      </c>
      <c r="N10" s="11">
        <f>INDEX(Raw!$B$5:$AO$30, MATCH(N$1, Raw!$A$5:$A$30, 0), MATCH($C10, Raw!$B$3:$AO$3, 0))</f>
        <v>1283000000</v>
      </c>
      <c r="O10" s="11">
        <f>INDEX(Raw!$B$5:$AO$30, MATCH(O$1, Raw!$A$5:$A$30, 0), MATCH($C10, Raw!$B$3:$AO$3, 0))</f>
        <v>0</v>
      </c>
      <c r="P10" s="11">
        <f>INDEX(Raw!$B$5:$AO$30, MATCH(P$1, Raw!$A$5:$A$30, 0), MATCH($C10, Raw!$B$3:$AO$3, 0))</f>
        <v>1283000000</v>
      </c>
      <c r="Q10" s="11">
        <f>INDEX(Raw!$B$5:$AO$30, MATCH(Q$1, Raw!$A$5:$A$30, 0), MATCH($C10, Raw!$B$3:$AO$3, 0))</f>
        <v>0</v>
      </c>
      <c r="R10" s="11">
        <f>INDEX(Raw!$B$5:$AO$30, MATCH(R$1, Raw!$A$5:$A$30, 0), MATCH($C10, Raw!$B$3:$AO$3, 0))</f>
        <v>1248</v>
      </c>
      <c r="S10" s="11">
        <f>INDEX(Raw!$B$5:$AO$30, MATCH(S$1, Raw!$A$5:$A$30, 0), MATCH($C10, Raw!$B$3:$AO$3, 0))</f>
        <v>9015000000</v>
      </c>
      <c r="T10" s="11">
        <f>INDEX(Raw!$B$5:$AO$30, MATCH(T$1, Raw!$A$5:$A$30, 0), MATCH($C10, Raw!$B$3:$AO$3, 0))</f>
        <v>7755000000</v>
      </c>
      <c r="U10" s="11">
        <f>INDEX(Raw!$B$5:$AO$30, MATCH(U$1, Raw!$A$5:$A$30, 0), MATCH($C10, Raw!$B$3:$AO$3, 0))</f>
        <v>4272000000</v>
      </c>
      <c r="V10" s="11">
        <f>INDEX(Raw!$B$5:$AO$30, MATCH(V$1, Raw!$A$5:$A$30, 0), MATCH($C10, Raw!$B$3:$AO$3, 0))</f>
        <v>4324000000</v>
      </c>
      <c r="W10" s="11">
        <f>INDEX(Raw!$B$5:$AO$30, MATCH(W$1, Raw!$A$5:$A$30, 0), MATCH($C10, Raw!$B$3:$AO$3, 0))</f>
        <v>0.28999999999999998</v>
      </c>
      <c r="X10" s="11">
        <f>INDEX(Raw!$B$5:$AO$30, MATCH(X$1, Raw!$A$5:$A$30, 0), MATCH($C10, Raw!$B$3:$AO$3, 0))</f>
        <v>0.28999999999999998</v>
      </c>
    </row>
    <row r="11" spans="1:24" x14ac:dyDescent="0.25">
      <c r="A11" s="11" t="s">
        <v>25</v>
      </c>
      <c r="B11" s="12">
        <f t="shared" ca="1" si="0"/>
        <v>46088</v>
      </c>
      <c r="C11" s="11">
        <v>2016</v>
      </c>
      <c r="D11" s="11">
        <f>INDEX(Raw!$B$5:$AO$30, MATCH(D$1, Raw!$A$5:$A$30, 0), MATCH($C11, Raw!$B$3:$AO$3, 0))</f>
        <v>41863000000</v>
      </c>
      <c r="E11" s="11">
        <f>INDEX(Raw!$B$5:$AO$30, MATCH(E$1, Raw!$A$5:$A$30, 0), MATCH($C11, Raw!$B$3:$AO$3, 0))</f>
        <v>16465000000</v>
      </c>
      <c r="F11" s="11">
        <f>INDEX(Raw!$B$5:$AO$30, MATCH(F$1, Raw!$A$5:$A$30, 0), MATCH($C11, Raw!$B$3:$AO$3, 0))</f>
        <v>25398000000</v>
      </c>
      <c r="G11" s="11">
        <f>INDEX(Raw!$B$5:$AO$30, MATCH(G$1, Raw!$A$5:$A$30, 0), MATCH($C11, Raw!$B$3:$AO$3, 0))</f>
        <v>15370000000</v>
      </c>
      <c r="H11" s="11">
        <f>INDEX(Raw!$B$5:$AO$30, MATCH(H$1, Raw!$A$5:$A$30, 0), MATCH($C11, Raw!$B$3:$AO$3, 0))</f>
        <v>-1371000000</v>
      </c>
      <c r="I11" s="11">
        <f>INDEX(Raw!$B$5:$AO$30, MATCH(I$1, Raw!$A$5:$A$30, 0), MATCH($C11, Raw!$B$3:$AO$3, 0))</f>
        <v>16741000000</v>
      </c>
      <c r="J11" s="11">
        <f>INDEX(Raw!$B$5:$AO$30, MATCH(J$1, Raw!$A$5:$A$30, 0), MATCH($C11, Raw!$B$3:$AO$3, 0))</f>
        <v>8657000000</v>
      </c>
      <c r="K11" s="11">
        <f>INDEX(Raw!$B$5:$AO$30, MATCH(K$1, Raw!$A$5:$A$30, 0), MATCH($C11, Raw!$B$3:$AO$3, 0))</f>
        <v>-521000000</v>
      </c>
      <c r="L11" s="11">
        <f>INDEX(Raw!$B$5:$AO$30, MATCH(L$1, Raw!$A$5:$A$30, 0), MATCH($C11, Raw!$B$3:$AO$3, 0))</f>
        <v>8136000000</v>
      </c>
      <c r="M11" s="11">
        <f>INDEX(Raw!$B$5:$AO$30, MATCH(M$1, Raw!$A$5:$A$30, 0), MATCH($C11, Raw!$B$3:$AO$3, 0))</f>
        <v>1586000000</v>
      </c>
      <c r="N11" s="11">
        <f>INDEX(Raw!$B$5:$AO$30, MATCH(N$1, Raw!$A$5:$A$30, 0), MATCH($C11, Raw!$B$3:$AO$3, 0))</f>
        <v>6550000000</v>
      </c>
      <c r="O11" s="11">
        <f>INDEX(Raw!$B$5:$AO$30, MATCH(O$1, Raw!$A$5:$A$30, 0), MATCH($C11, Raw!$B$3:$AO$3, 0))</f>
        <v>0</v>
      </c>
      <c r="P11" s="11">
        <f>INDEX(Raw!$B$5:$AO$30, MATCH(P$1, Raw!$A$5:$A$30, 0), MATCH($C11, Raw!$B$3:$AO$3, 0))</f>
        <v>6550000000</v>
      </c>
      <c r="Q11" s="11">
        <f>INDEX(Raw!$B$5:$AO$30, MATCH(Q$1, Raw!$A$5:$A$30, 0), MATCH($C11, Raw!$B$3:$AO$3, 0))</f>
        <v>0</v>
      </c>
      <c r="R11" s="11">
        <f>INDEX(Raw!$B$5:$AO$30, MATCH(R$1, Raw!$A$5:$A$30, 0), MATCH($C11, Raw!$B$3:$AO$3, 0))</f>
        <v>6527</v>
      </c>
      <c r="S11" s="11">
        <f>INDEX(Raw!$B$5:$AO$30, MATCH(S$1, Raw!$A$5:$A$30, 0), MATCH($C11, Raw!$B$3:$AO$3, 0))</f>
        <v>10444000000</v>
      </c>
      <c r="T11" s="11">
        <f>INDEX(Raw!$B$5:$AO$30, MATCH(T$1, Raw!$A$5:$A$30, 0), MATCH($C11, Raw!$B$3:$AO$3, 0))</f>
        <v>8657000000</v>
      </c>
      <c r="U11" s="11">
        <f>INDEX(Raw!$B$5:$AO$30, MATCH(U$1, Raw!$A$5:$A$30, 0), MATCH($C11, Raw!$B$3:$AO$3, 0))</f>
        <v>4317000000</v>
      </c>
      <c r="V11" s="11">
        <f>INDEX(Raw!$B$5:$AO$30, MATCH(V$1, Raw!$A$5:$A$30, 0), MATCH($C11, Raw!$B$3:$AO$3, 0))</f>
        <v>4367000000</v>
      </c>
      <c r="W11" s="11">
        <f>INDEX(Raw!$B$5:$AO$30, MATCH(W$1, Raw!$A$5:$A$30, 0), MATCH($C11, Raw!$B$3:$AO$3, 0))</f>
        <v>1.51</v>
      </c>
      <c r="X11" s="11">
        <f>INDEX(Raw!$B$5:$AO$30, MATCH(X$1, Raw!$A$5:$A$30, 0), MATCH($C11, Raw!$B$3:$AO$3, 0))</f>
        <v>1.49</v>
      </c>
    </row>
    <row r="12" spans="1:24" x14ac:dyDescent="0.25">
      <c r="A12" s="11" t="s">
        <v>25</v>
      </c>
      <c r="B12" s="12">
        <f t="shared" ca="1" si="0"/>
        <v>46088</v>
      </c>
      <c r="C12" s="11">
        <v>2015</v>
      </c>
      <c r="D12" s="11">
        <f>INDEX(Raw!$B$5:$AO$30, MATCH(D$1, Raw!$A$5:$A$30, 0), MATCH($C12, Raw!$B$3:$AO$3, 0))</f>
        <v>44294000000</v>
      </c>
      <c r="E12" s="11">
        <f>INDEX(Raw!$B$5:$AO$30, MATCH(E$1, Raw!$A$5:$A$30, 0), MATCH($C12, Raw!$B$3:$AO$3, 0))</f>
        <v>17482000000</v>
      </c>
      <c r="F12" s="11">
        <f>INDEX(Raw!$B$5:$AO$30, MATCH(F$1, Raw!$A$5:$A$30, 0), MATCH($C12, Raw!$B$3:$AO$3, 0))</f>
        <v>26812000000</v>
      </c>
      <c r="G12" s="11">
        <f>INDEX(Raw!$B$5:$AO$30, MATCH(G$1, Raw!$A$5:$A$30, 0), MATCH($C12, Raw!$B$3:$AO$3, 0))</f>
        <v>16427000000</v>
      </c>
      <c r="H12" s="11">
        <f>INDEX(Raw!$B$5:$AO$30, MATCH(H$1, Raw!$A$5:$A$30, 0), MATCH($C12, Raw!$B$3:$AO$3, 0))</f>
        <v>-1657000000</v>
      </c>
      <c r="I12" s="11">
        <f>INDEX(Raw!$B$5:$AO$30, MATCH(I$1, Raw!$A$5:$A$30, 0), MATCH($C12, Raw!$B$3:$AO$3, 0))</f>
        <v>18084000000</v>
      </c>
      <c r="J12" s="11">
        <f>INDEX(Raw!$B$5:$AO$30, MATCH(J$1, Raw!$A$5:$A$30, 0), MATCH($C12, Raw!$B$3:$AO$3, 0))</f>
        <v>8728000000</v>
      </c>
      <c r="K12" s="11">
        <f>INDEX(Raw!$B$5:$AO$30, MATCH(K$1, Raw!$A$5:$A$30, 0), MATCH($C12, Raw!$B$3:$AO$3, 0))</f>
        <v>877000000</v>
      </c>
      <c r="L12" s="11">
        <f>INDEX(Raw!$B$5:$AO$30, MATCH(L$1, Raw!$A$5:$A$30, 0), MATCH($C12, Raw!$B$3:$AO$3, 0))</f>
        <v>9605000000</v>
      </c>
      <c r="M12" s="11">
        <f>INDEX(Raw!$B$5:$AO$30, MATCH(M$1, Raw!$A$5:$A$30, 0), MATCH($C12, Raw!$B$3:$AO$3, 0))</f>
        <v>2239000000</v>
      </c>
      <c r="N12" s="11">
        <f>INDEX(Raw!$B$5:$AO$30, MATCH(N$1, Raw!$A$5:$A$30, 0), MATCH($C12, Raw!$B$3:$AO$3, 0))</f>
        <v>7366000000</v>
      </c>
      <c r="O12" s="11">
        <f>INDEX(Raw!$B$5:$AO$30, MATCH(O$1, Raw!$A$5:$A$30, 0), MATCH($C12, Raw!$B$3:$AO$3, 0))</f>
        <v>0</v>
      </c>
      <c r="P12" s="11">
        <f>INDEX(Raw!$B$5:$AO$30, MATCH(P$1, Raw!$A$5:$A$30, 0), MATCH($C12, Raw!$B$3:$AO$3, 0))</f>
        <v>7366000000</v>
      </c>
      <c r="Q12" s="11">
        <f>INDEX(Raw!$B$5:$AO$30, MATCH(Q$1, Raw!$A$5:$A$30, 0), MATCH($C12, Raw!$B$3:$AO$3, 0))</f>
        <v>0</v>
      </c>
      <c r="R12" s="11">
        <f>INDEX(Raw!$B$5:$AO$30, MATCH(R$1, Raw!$A$5:$A$30, 0), MATCH($C12, Raw!$B$3:$AO$3, 0))</f>
        <v>7351</v>
      </c>
      <c r="S12" s="11">
        <f>INDEX(Raw!$B$5:$AO$30, MATCH(S$1, Raw!$A$5:$A$30, 0), MATCH($C12, Raw!$B$3:$AO$3, 0))</f>
        <v>10698000000</v>
      </c>
      <c r="T12" s="11">
        <f>INDEX(Raw!$B$5:$AO$30, MATCH(T$1, Raw!$A$5:$A$30, 0), MATCH($C12, Raw!$B$3:$AO$3, 0))</f>
        <v>8728000000</v>
      </c>
      <c r="U12" s="11">
        <f>INDEX(Raw!$B$5:$AO$30, MATCH(U$1, Raw!$A$5:$A$30, 0), MATCH($C12, Raw!$B$3:$AO$3, 0))</f>
        <v>4352000000</v>
      </c>
      <c r="V12" s="11">
        <f>INDEX(Raw!$B$5:$AO$30, MATCH(V$1, Raw!$A$5:$A$30, 0), MATCH($C12, Raw!$B$3:$AO$3, 0))</f>
        <v>4405000000</v>
      </c>
      <c r="W12" s="11">
        <f>INDEX(Raw!$B$5:$AO$30, MATCH(W$1, Raw!$A$5:$A$30, 0), MATCH($C12, Raw!$B$3:$AO$3, 0))</f>
        <v>1.69</v>
      </c>
      <c r="X12" s="11">
        <f>INDEX(Raw!$B$5:$AO$30, MATCH(X$1, Raw!$A$5:$A$30, 0), MATCH($C12, Raw!$B$3:$AO$3, 0))</f>
        <v>1.67</v>
      </c>
    </row>
    <row r="13" spans="1:24" x14ac:dyDescent="0.25">
      <c r="A13" s="11" t="s">
        <v>25</v>
      </c>
      <c r="B13" s="12">
        <f t="shared" ca="1" si="0"/>
        <v>46088</v>
      </c>
      <c r="C13" s="11">
        <v>2014</v>
      </c>
      <c r="D13" s="11">
        <f>INDEX(Raw!$B$5:$AO$30, MATCH(D$1, Raw!$A$5:$A$30, 0), MATCH($C13, Raw!$B$3:$AO$3, 0))</f>
        <v>45998000000</v>
      </c>
      <c r="E13" s="11">
        <f>INDEX(Raw!$B$5:$AO$30, MATCH(E$1, Raw!$A$5:$A$30, 0), MATCH($C13, Raw!$B$3:$AO$3, 0))</f>
        <v>17889000000</v>
      </c>
      <c r="F13" s="11">
        <f>INDEX(Raw!$B$5:$AO$30, MATCH(F$1, Raw!$A$5:$A$30, 0), MATCH($C13, Raw!$B$3:$AO$3, 0))</f>
        <v>28109000000</v>
      </c>
      <c r="G13" s="11">
        <f>INDEX(Raw!$B$5:$AO$30, MATCH(G$1, Raw!$A$5:$A$30, 0), MATCH($C13, Raw!$B$3:$AO$3, 0))</f>
        <v>17218000000</v>
      </c>
      <c r="H13" s="11">
        <f>INDEX(Raw!$B$5:$AO$30, MATCH(H$1, Raw!$A$5:$A$30, 0), MATCH($C13, Raw!$B$3:$AO$3, 0))</f>
        <v>-1183000000</v>
      </c>
      <c r="I13" s="11">
        <f>INDEX(Raw!$B$5:$AO$30, MATCH(I$1, Raw!$A$5:$A$30, 0), MATCH($C13, Raw!$B$3:$AO$3, 0))</f>
        <v>18401000000</v>
      </c>
      <c r="J13" s="11">
        <f>INDEX(Raw!$B$5:$AO$30, MATCH(J$1, Raw!$A$5:$A$30, 0), MATCH($C13, Raw!$B$3:$AO$3, 0))</f>
        <v>9708000000</v>
      </c>
      <c r="K13" s="11">
        <f>INDEX(Raw!$B$5:$AO$30, MATCH(K$1, Raw!$A$5:$A$30, 0), MATCH($C13, Raw!$B$3:$AO$3, 0))</f>
        <v>-383000000</v>
      </c>
      <c r="L13" s="11">
        <f>INDEX(Raw!$B$5:$AO$30, MATCH(L$1, Raw!$A$5:$A$30, 0), MATCH($C13, Raw!$B$3:$AO$3, 0))</f>
        <v>9325000000</v>
      </c>
      <c r="M13" s="11">
        <f>INDEX(Raw!$B$5:$AO$30, MATCH(M$1, Raw!$A$5:$A$30, 0), MATCH($C13, Raw!$B$3:$AO$3, 0))</f>
        <v>2201000000</v>
      </c>
      <c r="N13" s="11">
        <f>INDEX(Raw!$B$5:$AO$30, MATCH(N$1, Raw!$A$5:$A$30, 0), MATCH($C13, Raw!$B$3:$AO$3, 0))</f>
        <v>7124000000</v>
      </c>
      <c r="O13" s="11">
        <f>INDEX(Raw!$B$5:$AO$30, MATCH(O$1, Raw!$A$5:$A$30, 0), MATCH($C13, Raw!$B$3:$AO$3, 0))</f>
        <v>0</v>
      </c>
      <c r="P13" s="11">
        <f>INDEX(Raw!$B$5:$AO$30, MATCH(P$1, Raw!$A$5:$A$30, 0), MATCH($C13, Raw!$B$3:$AO$3, 0))</f>
        <v>7124000000</v>
      </c>
      <c r="Q13" s="11">
        <f>INDEX(Raw!$B$5:$AO$30, MATCH(Q$1, Raw!$A$5:$A$30, 0), MATCH($C13, Raw!$B$3:$AO$3, 0))</f>
        <v>0</v>
      </c>
      <c r="R13" s="11">
        <f>INDEX(Raw!$B$5:$AO$30, MATCH(R$1, Raw!$A$5:$A$30, 0), MATCH($C13, Raw!$B$3:$AO$3, 0))</f>
        <v>7098</v>
      </c>
      <c r="S13" s="11">
        <f>INDEX(Raw!$B$5:$AO$30, MATCH(S$1, Raw!$A$5:$A$30, 0), MATCH($C13, Raw!$B$3:$AO$3, 0))</f>
        <v>11684000000</v>
      </c>
      <c r="T13" s="11">
        <f>INDEX(Raw!$B$5:$AO$30, MATCH(T$1, Raw!$A$5:$A$30, 0), MATCH($C13, Raw!$B$3:$AO$3, 0))</f>
        <v>9708000000</v>
      </c>
      <c r="U13" s="11">
        <f>INDEX(Raw!$B$5:$AO$30, MATCH(U$1, Raw!$A$5:$A$30, 0), MATCH($C13, Raw!$B$3:$AO$3, 0))</f>
        <v>4387000000</v>
      </c>
      <c r="V13" s="11">
        <f>INDEX(Raw!$B$5:$AO$30, MATCH(V$1, Raw!$A$5:$A$30, 0), MATCH($C13, Raw!$B$3:$AO$3, 0))</f>
        <v>4450000000</v>
      </c>
      <c r="W13" s="11">
        <f>INDEX(Raw!$B$5:$AO$30, MATCH(W$1, Raw!$A$5:$A$30, 0), MATCH($C13, Raw!$B$3:$AO$3, 0))</f>
        <v>1.62</v>
      </c>
      <c r="X13" s="11">
        <f>INDEX(Raw!$B$5:$AO$30, MATCH(X$1, Raw!$A$5:$A$30, 0), MATCH($C13, Raw!$B$3:$AO$3, 0))</f>
        <v>1.6</v>
      </c>
    </row>
    <row r="14" spans="1:24" x14ac:dyDescent="0.25">
      <c r="A14" s="11" t="s">
        <v>25</v>
      </c>
      <c r="B14" s="12">
        <f t="shared" ca="1" si="0"/>
        <v>46088</v>
      </c>
      <c r="C14" s="11">
        <v>2013</v>
      </c>
      <c r="D14" s="11">
        <f>INDEX(Raw!$B$5:$AO$30, MATCH(D$1, Raw!$A$5:$A$30, 0), MATCH($C14, Raw!$B$3:$AO$3, 0))</f>
        <v>46854000000</v>
      </c>
      <c r="E14" s="11">
        <f>INDEX(Raw!$B$5:$AO$30, MATCH(E$1, Raw!$A$5:$A$30, 0), MATCH($C14, Raw!$B$3:$AO$3, 0))</f>
        <v>18421000000</v>
      </c>
      <c r="F14" s="11">
        <f>INDEX(Raw!$B$5:$AO$30, MATCH(F$1, Raw!$A$5:$A$30, 0), MATCH($C14, Raw!$B$3:$AO$3, 0))</f>
        <v>28433000000</v>
      </c>
      <c r="G14" s="11">
        <f>INDEX(Raw!$B$5:$AO$30, MATCH(G$1, Raw!$A$5:$A$30, 0), MATCH($C14, Raw!$B$3:$AO$3, 0))</f>
        <v>17310000000</v>
      </c>
      <c r="H14" s="11">
        <f>INDEX(Raw!$B$5:$AO$30, MATCH(H$1, Raw!$A$5:$A$30, 0), MATCH($C14, Raw!$B$3:$AO$3, 0))</f>
        <v>-895000000</v>
      </c>
      <c r="I14" s="11">
        <f>INDEX(Raw!$B$5:$AO$30, MATCH(I$1, Raw!$A$5:$A$30, 0), MATCH($C14, Raw!$B$3:$AO$3, 0))</f>
        <v>18205000000</v>
      </c>
      <c r="J14" s="11">
        <f>INDEX(Raw!$B$5:$AO$30, MATCH(J$1, Raw!$A$5:$A$30, 0), MATCH($C14, Raw!$B$3:$AO$3, 0))</f>
        <v>10228000000</v>
      </c>
      <c r="K14" s="11">
        <f>INDEX(Raw!$B$5:$AO$30, MATCH(K$1, Raw!$A$5:$A$30, 0), MATCH($C14, Raw!$B$3:$AO$3, 0))</f>
        <v>1249000000</v>
      </c>
      <c r="L14" s="11">
        <f>INDEX(Raw!$B$5:$AO$30, MATCH(L$1, Raw!$A$5:$A$30, 0), MATCH($C14, Raw!$B$3:$AO$3, 0))</f>
        <v>11477000000</v>
      </c>
      <c r="M14" s="11">
        <f>INDEX(Raw!$B$5:$AO$30, MATCH(M$1, Raw!$A$5:$A$30, 0), MATCH($C14, Raw!$B$3:$AO$3, 0))</f>
        <v>2851000000</v>
      </c>
      <c r="N14" s="11">
        <f>INDEX(Raw!$B$5:$AO$30, MATCH(N$1, Raw!$A$5:$A$30, 0), MATCH($C14, Raw!$B$3:$AO$3, 0))</f>
        <v>8626000000</v>
      </c>
      <c r="O14" s="11">
        <f>INDEX(Raw!$B$5:$AO$30, MATCH(O$1, Raw!$A$5:$A$30, 0), MATCH($C14, Raw!$B$3:$AO$3, 0))</f>
        <v>0</v>
      </c>
      <c r="P14" s="11">
        <f>INDEX(Raw!$B$5:$AO$30, MATCH(P$1, Raw!$A$5:$A$30, 0), MATCH($C14, Raw!$B$3:$AO$3, 0))</f>
        <v>8626000000</v>
      </c>
      <c r="Q14" s="11">
        <f>INDEX(Raw!$B$5:$AO$30, MATCH(Q$1, Raw!$A$5:$A$30, 0), MATCH($C14, Raw!$B$3:$AO$3, 0))</f>
        <v>0</v>
      </c>
      <c r="R14" s="11">
        <f>INDEX(Raw!$B$5:$AO$30, MATCH(R$1, Raw!$A$5:$A$30, 0), MATCH($C14, Raw!$B$3:$AO$3, 0))</f>
        <v>8584</v>
      </c>
      <c r="S14" s="11">
        <f>INDEX(Raw!$B$5:$AO$30, MATCH(S$1, Raw!$A$5:$A$30, 0), MATCH($C14, Raw!$B$3:$AO$3, 0))</f>
        <v>12205000000</v>
      </c>
      <c r="T14" s="11">
        <f>INDEX(Raw!$B$5:$AO$30, MATCH(T$1, Raw!$A$5:$A$30, 0), MATCH($C14, Raw!$B$3:$AO$3, 0))</f>
        <v>10228000000</v>
      </c>
      <c r="U14" s="11">
        <f>INDEX(Raw!$B$5:$AO$30, MATCH(U$1, Raw!$A$5:$A$30, 0), MATCH($C14, Raw!$B$3:$AO$3, 0))</f>
        <v>4434000000</v>
      </c>
      <c r="V14" s="11">
        <f>INDEX(Raw!$B$5:$AO$30, MATCH(V$1, Raw!$A$5:$A$30, 0), MATCH($C14, Raw!$B$3:$AO$3, 0))</f>
        <v>4509000000</v>
      </c>
      <c r="W14" s="11">
        <f>INDEX(Raw!$B$5:$AO$30, MATCH(W$1, Raw!$A$5:$A$30, 0), MATCH($C14, Raw!$B$3:$AO$3, 0))</f>
        <v>1.94</v>
      </c>
      <c r="X14" s="11">
        <f>INDEX(Raw!$B$5:$AO$30, MATCH(X$1, Raw!$A$5:$A$30, 0), MATCH($C14, Raw!$B$3:$AO$3, 0))</f>
        <v>1.9</v>
      </c>
    </row>
    <row r="15" spans="1:24" x14ac:dyDescent="0.25">
      <c r="A15" s="11" t="s">
        <v>25</v>
      </c>
      <c r="B15" s="12">
        <f t="shared" ca="1" si="0"/>
        <v>46088</v>
      </c>
      <c r="C15" s="11">
        <v>2012</v>
      </c>
      <c r="D15" s="11">
        <f>INDEX(Raw!$B$5:$AO$30, MATCH(D$1, Raw!$A$5:$A$30, 0), MATCH($C15, Raw!$B$3:$AO$3, 0))</f>
        <v>48017000000</v>
      </c>
      <c r="E15" s="11">
        <f>INDEX(Raw!$B$5:$AO$30, MATCH(E$1, Raw!$A$5:$A$30, 0), MATCH($C15, Raw!$B$3:$AO$3, 0))</f>
        <v>19053000000</v>
      </c>
      <c r="F15" s="11">
        <f>INDEX(Raw!$B$5:$AO$30, MATCH(F$1, Raw!$A$5:$A$30, 0), MATCH($C15, Raw!$B$3:$AO$3, 0))</f>
        <v>28964000000</v>
      </c>
      <c r="G15" s="11">
        <f>INDEX(Raw!$B$5:$AO$30, MATCH(G$1, Raw!$A$5:$A$30, 0), MATCH($C15, Raw!$B$3:$AO$3, 0))</f>
        <v>17738000000</v>
      </c>
      <c r="H15" s="11">
        <f>INDEX(Raw!$B$5:$AO$30, MATCH(H$1, Raw!$A$5:$A$30, 0), MATCH($C15, Raw!$B$3:$AO$3, 0))</f>
        <v>-447000000</v>
      </c>
      <c r="I15" s="11">
        <f>INDEX(Raw!$B$5:$AO$30, MATCH(I$1, Raw!$A$5:$A$30, 0), MATCH($C15, Raw!$B$3:$AO$3, 0))</f>
        <v>18185000000</v>
      </c>
      <c r="J15" s="11">
        <f>INDEX(Raw!$B$5:$AO$30, MATCH(J$1, Raw!$A$5:$A$30, 0), MATCH($C15, Raw!$B$3:$AO$3, 0))</f>
        <v>10779000000</v>
      </c>
      <c r="K15" s="11">
        <f>INDEX(Raw!$B$5:$AO$30, MATCH(K$1, Raw!$A$5:$A$30, 0), MATCH($C15, Raw!$B$3:$AO$3, 0))</f>
        <v>1030000000</v>
      </c>
      <c r="L15" s="11">
        <f>INDEX(Raw!$B$5:$AO$30, MATCH(L$1, Raw!$A$5:$A$30, 0), MATCH($C15, Raw!$B$3:$AO$3, 0))</f>
        <v>11809000000</v>
      </c>
      <c r="M15" s="11">
        <f>INDEX(Raw!$B$5:$AO$30, MATCH(M$1, Raw!$A$5:$A$30, 0), MATCH($C15, Raw!$B$3:$AO$3, 0))</f>
        <v>2723000000</v>
      </c>
      <c r="N15" s="11">
        <f>INDEX(Raw!$B$5:$AO$30, MATCH(N$1, Raw!$A$5:$A$30, 0), MATCH($C15, Raw!$B$3:$AO$3, 0))</f>
        <v>9086000000</v>
      </c>
      <c r="O15" s="11">
        <f>INDEX(Raw!$B$5:$AO$30, MATCH(O$1, Raw!$A$5:$A$30, 0), MATCH($C15, Raw!$B$3:$AO$3, 0))</f>
        <v>0</v>
      </c>
      <c r="P15" s="11">
        <f>INDEX(Raw!$B$5:$AO$30, MATCH(P$1, Raw!$A$5:$A$30, 0), MATCH($C15, Raw!$B$3:$AO$3, 0))</f>
        <v>9086000000</v>
      </c>
      <c r="Q15" s="11">
        <f>INDEX(Raw!$B$5:$AO$30, MATCH(Q$1, Raw!$A$5:$A$30, 0), MATCH($C15, Raw!$B$3:$AO$3, 0))</f>
        <v>0</v>
      </c>
      <c r="R15" s="11">
        <f>INDEX(Raw!$B$5:$AO$30, MATCH(R$1, Raw!$A$5:$A$30, 0), MATCH($C15, Raw!$B$3:$AO$3, 0))</f>
        <v>9019</v>
      </c>
      <c r="S15" s="11">
        <f>INDEX(Raw!$B$5:$AO$30, MATCH(S$1, Raw!$A$5:$A$30, 0), MATCH($C15, Raw!$B$3:$AO$3, 0))</f>
        <v>12761000000</v>
      </c>
      <c r="T15" s="11">
        <f>INDEX(Raw!$B$5:$AO$30, MATCH(T$1, Raw!$A$5:$A$30, 0), MATCH($C15, Raw!$B$3:$AO$3, 0))</f>
        <v>10779000000</v>
      </c>
      <c r="U15" s="11">
        <f>INDEX(Raw!$B$5:$AO$30, MATCH(U$1, Raw!$A$5:$A$30, 0), MATCH($C15, Raw!$B$3:$AO$3, 0))</f>
        <v>4504000000</v>
      </c>
      <c r="V15" s="11">
        <f>INDEX(Raw!$B$5:$AO$30, MATCH(V$1, Raw!$A$5:$A$30, 0), MATCH($C15, Raw!$B$3:$AO$3, 0))</f>
        <v>4584000000</v>
      </c>
      <c r="W15" s="11">
        <f>INDEX(Raw!$B$5:$AO$30, MATCH(W$1, Raw!$A$5:$A$30, 0), MATCH($C15, Raw!$B$3:$AO$3, 0))</f>
        <v>2</v>
      </c>
      <c r="X15" s="11">
        <f>INDEX(Raw!$B$5:$AO$30, MATCH(X$1, Raw!$A$5:$A$30, 0), MATCH($C15, Raw!$B$3:$AO$3, 0))</f>
        <v>1.97</v>
      </c>
    </row>
    <row r="16" spans="1:24" x14ac:dyDescent="0.25">
      <c r="A16" s="11" t="s">
        <v>25</v>
      </c>
      <c r="B16" s="12">
        <f t="shared" ca="1" si="0"/>
        <v>46088</v>
      </c>
      <c r="C16" s="11">
        <v>2011</v>
      </c>
      <c r="D16" s="11">
        <f>INDEX(Raw!$B$5:$AO$30, MATCH(D$1, Raw!$A$5:$A$30, 0), MATCH($C16, Raw!$B$3:$AO$3, 0))</f>
        <v>46542000000</v>
      </c>
      <c r="E16" s="11">
        <f>INDEX(Raw!$B$5:$AO$30, MATCH(E$1, Raw!$A$5:$A$30, 0), MATCH($C16, Raw!$B$3:$AO$3, 0))</f>
        <v>18215000000</v>
      </c>
      <c r="F16" s="11">
        <f>INDEX(Raw!$B$5:$AO$30, MATCH(F$1, Raw!$A$5:$A$30, 0), MATCH($C16, Raw!$B$3:$AO$3, 0))</f>
        <v>28327000000</v>
      </c>
      <c r="G16" s="11">
        <f>INDEX(Raw!$B$5:$AO$30, MATCH(G$1, Raw!$A$5:$A$30, 0), MATCH($C16, Raw!$B$3:$AO$3, 0))</f>
        <v>17422000000</v>
      </c>
      <c r="H16" s="11">
        <f>INDEX(Raw!$B$5:$AO$30, MATCH(H$1, Raw!$A$5:$A$30, 0), MATCH($C16, Raw!$B$3:$AO$3, 0))</f>
        <v>-732000000</v>
      </c>
      <c r="I16" s="11">
        <f>INDEX(Raw!$B$5:$AO$30, MATCH(I$1, Raw!$A$5:$A$30, 0), MATCH($C16, Raw!$B$3:$AO$3, 0))</f>
        <v>18154000000</v>
      </c>
      <c r="J16" s="11">
        <f>INDEX(Raw!$B$5:$AO$30, MATCH(J$1, Raw!$A$5:$A$30, 0), MATCH($C16, Raw!$B$3:$AO$3, 0))</f>
        <v>10173000000</v>
      </c>
      <c r="K16" s="11">
        <f>INDEX(Raw!$B$5:$AO$30, MATCH(K$1, Raw!$A$5:$A$30, 0), MATCH($C16, Raw!$B$3:$AO$3, 0))</f>
        <v>1285000000</v>
      </c>
      <c r="L16" s="11">
        <f>INDEX(Raw!$B$5:$AO$30, MATCH(L$1, Raw!$A$5:$A$30, 0), MATCH($C16, Raw!$B$3:$AO$3, 0))</f>
        <v>11458000000</v>
      </c>
      <c r="M16" s="11">
        <f>INDEX(Raw!$B$5:$AO$30, MATCH(M$1, Raw!$A$5:$A$30, 0), MATCH($C16, Raw!$B$3:$AO$3, 0))</f>
        <v>2812000000</v>
      </c>
      <c r="N16" s="11">
        <f>INDEX(Raw!$B$5:$AO$30, MATCH(N$1, Raw!$A$5:$A$30, 0), MATCH($C16, Raw!$B$3:$AO$3, 0))</f>
        <v>8646000000</v>
      </c>
      <c r="O16" s="11">
        <f>INDEX(Raw!$B$5:$AO$30, MATCH(O$1, Raw!$A$5:$A$30, 0), MATCH($C16, Raw!$B$3:$AO$3, 0))</f>
        <v>0</v>
      </c>
      <c r="P16" s="11">
        <f>INDEX(Raw!$B$5:$AO$30, MATCH(P$1, Raw!$A$5:$A$30, 0), MATCH($C16, Raw!$B$3:$AO$3, 0))</f>
        <v>8646000000</v>
      </c>
      <c r="Q16" s="11">
        <f>INDEX(Raw!$B$5:$AO$30, MATCH(Q$1, Raw!$A$5:$A$30, 0), MATCH($C16, Raw!$B$3:$AO$3, 0))</f>
        <v>0</v>
      </c>
      <c r="R16" s="11">
        <f>INDEX(Raw!$B$5:$AO$30, MATCH(R$1, Raw!$A$5:$A$30, 0), MATCH($C16, Raw!$B$3:$AO$3, 0))</f>
        <v>8584</v>
      </c>
      <c r="S16" s="11">
        <f>INDEX(Raw!$B$5:$AO$30, MATCH(S$1, Raw!$A$5:$A$30, 0), MATCH($C16, Raw!$B$3:$AO$3, 0))</f>
        <v>12127000000</v>
      </c>
      <c r="T16" s="11">
        <f>INDEX(Raw!$B$5:$AO$30, MATCH(T$1, Raw!$A$5:$A$30, 0), MATCH($C16, Raw!$B$3:$AO$3, 0))</f>
        <v>10173000000</v>
      </c>
      <c r="U16" s="11">
        <f>INDEX(Raw!$B$5:$AO$30, MATCH(U$1, Raw!$A$5:$A$30, 0), MATCH($C16, Raw!$B$3:$AO$3, 0))</f>
        <v>4568000000</v>
      </c>
      <c r="V16" s="11">
        <f>INDEX(Raw!$B$5:$AO$30, MATCH(V$1, Raw!$A$5:$A$30, 0), MATCH($C16, Raw!$B$3:$AO$3, 0))</f>
        <v>4646000000</v>
      </c>
      <c r="W16" s="11">
        <f>INDEX(Raw!$B$5:$AO$30, MATCH(W$1, Raw!$A$5:$A$30, 0), MATCH($C16, Raw!$B$3:$AO$3, 0))</f>
        <v>1.88</v>
      </c>
      <c r="X16" s="11">
        <f>INDEX(Raw!$B$5:$AO$30, MATCH(X$1, Raw!$A$5:$A$30, 0), MATCH($C16, Raw!$B$3:$AO$3, 0))</f>
        <v>1.85</v>
      </c>
    </row>
    <row r="17" spans="1:24" x14ac:dyDescent="0.25">
      <c r="A17" s="11" t="s">
        <v>25</v>
      </c>
      <c r="B17" s="12">
        <f t="shared" ca="1" si="0"/>
        <v>46088</v>
      </c>
      <c r="C17" s="11">
        <v>2010</v>
      </c>
      <c r="D17" s="11">
        <f>INDEX(Raw!$B$5:$AO$30, MATCH(D$1, Raw!$A$5:$A$30, 0), MATCH($C17, Raw!$B$3:$AO$3, 0))</f>
        <v>35119000000</v>
      </c>
      <c r="E17" s="11">
        <f>INDEX(Raw!$B$5:$AO$30, MATCH(E$1, Raw!$A$5:$A$30, 0), MATCH($C17, Raw!$B$3:$AO$3, 0))</f>
        <v>12693000000</v>
      </c>
      <c r="F17" s="11">
        <f>INDEX(Raw!$B$5:$AO$30, MATCH(F$1, Raw!$A$5:$A$30, 0), MATCH($C17, Raw!$B$3:$AO$3, 0))</f>
        <v>22426000000</v>
      </c>
      <c r="G17" s="11">
        <f>INDEX(Raw!$B$5:$AO$30, MATCH(G$1, Raw!$A$5:$A$30, 0), MATCH($C17, Raw!$B$3:$AO$3, 0))</f>
        <v>13194000000</v>
      </c>
      <c r="H17" s="11">
        <f>INDEX(Raw!$B$5:$AO$30, MATCH(H$1, Raw!$A$5:$A$30, 0), MATCH($C17, Raw!$B$3:$AO$3, 0))</f>
        <v>-819000000</v>
      </c>
      <c r="I17" s="11">
        <f>INDEX(Raw!$B$5:$AO$30, MATCH(I$1, Raw!$A$5:$A$30, 0), MATCH($C17, Raw!$B$3:$AO$3, 0))</f>
        <v>14013000000</v>
      </c>
      <c r="J17" s="11">
        <f>INDEX(Raw!$B$5:$AO$30, MATCH(J$1, Raw!$A$5:$A$30, 0), MATCH($C17, Raw!$B$3:$AO$3, 0))</f>
        <v>8413000000</v>
      </c>
      <c r="K17" s="11">
        <f>INDEX(Raw!$B$5:$AO$30, MATCH(K$1, Raw!$A$5:$A$30, 0), MATCH($C17, Raw!$B$3:$AO$3, 0))</f>
        <v>5794000000</v>
      </c>
      <c r="L17" s="11">
        <f>INDEX(Raw!$B$5:$AO$30, MATCH(L$1, Raw!$A$5:$A$30, 0), MATCH($C17, Raw!$B$3:$AO$3, 0))</f>
        <v>14207000000</v>
      </c>
      <c r="M17" s="11">
        <f>INDEX(Raw!$B$5:$AO$30, MATCH(M$1, Raw!$A$5:$A$30, 0), MATCH($C17, Raw!$B$3:$AO$3, 0))</f>
        <v>2370000000</v>
      </c>
      <c r="N17" s="11">
        <f>INDEX(Raw!$B$5:$AO$30, MATCH(N$1, Raw!$A$5:$A$30, 0), MATCH($C17, Raw!$B$3:$AO$3, 0))</f>
        <v>11837000000</v>
      </c>
      <c r="O17" s="11">
        <f>INDEX(Raw!$B$5:$AO$30, MATCH(O$1, Raw!$A$5:$A$30, 0), MATCH($C17, Raw!$B$3:$AO$3, 0))</f>
        <v>0</v>
      </c>
      <c r="P17" s="11">
        <f>INDEX(Raw!$B$5:$AO$30, MATCH(P$1, Raw!$A$5:$A$30, 0), MATCH($C17, Raw!$B$3:$AO$3, 0))</f>
        <v>11837000000</v>
      </c>
      <c r="Q17" s="11">
        <f>INDEX(Raw!$B$5:$AO$30, MATCH(Q$1, Raw!$A$5:$A$30, 0), MATCH($C17, Raw!$B$3:$AO$3, 0))</f>
        <v>0</v>
      </c>
      <c r="R17" s="11">
        <f>INDEX(Raw!$B$5:$AO$30, MATCH(R$1, Raw!$A$5:$A$30, 0), MATCH($C17, Raw!$B$3:$AO$3, 0))</f>
        <v>11787</v>
      </c>
      <c r="S17" s="11">
        <f>INDEX(Raw!$B$5:$AO$30, MATCH(S$1, Raw!$A$5:$A$30, 0), MATCH($C17, Raw!$B$3:$AO$3, 0))</f>
        <v>9856000000</v>
      </c>
      <c r="T17" s="11">
        <f>INDEX(Raw!$B$5:$AO$30, MATCH(T$1, Raw!$A$5:$A$30, 0), MATCH($C17, Raw!$B$3:$AO$3, 0))</f>
        <v>8413000000</v>
      </c>
      <c r="U17" s="11">
        <f>INDEX(Raw!$B$5:$AO$30, MATCH(U$1, Raw!$A$5:$A$30, 0), MATCH($C17, Raw!$B$3:$AO$3, 0))</f>
        <v>4616000000</v>
      </c>
      <c r="V17" s="11">
        <f>INDEX(Raw!$B$5:$AO$30, MATCH(V$1, Raw!$A$5:$A$30, 0), MATCH($C17, Raw!$B$3:$AO$3, 0))</f>
        <v>4667000000</v>
      </c>
      <c r="W17" s="11">
        <f>INDEX(Raw!$B$5:$AO$30, MATCH(W$1, Raw!$A$5:$A$30, 0), MATCH($C17, Raw!$B$3:$AO$3, 0))</f>
        <v>2.5499999999999998</v>
      </c>
      <c r="X17" s="11">
        <f>INDEX(Raw!$B$5:$AO$30, MATCH(X$1, Raw!$A$5:$A$30, 0), MATCH($C17, Raw!$B$3:$AO$3, 0))</f>
        <v>2.5299999999999998</v>
      </c>
    </row>
    <row r="18" spans="1:24" x14ac:dyDescent="0.25">
      <c r="A18" s="11" t="s">
        <v>25</v>
      </c>
      <c r="B18" s="12">
        <f t="shared" ca="1" si="0"/>
        <v>46088</v>
      </c>
      <c r="C18" s="11">
        <v>2009</v>
      </c>
      <c r="D18" s="11">
        <f>INDEX(Raw!$B$5:$AO$30, MATCH(D$1, Raw!$A$5:$A$30, 0), MATCH($C18, Raw!$B$3:$AO$3, 0))</f>
        <v>30990000000</v>
      </c>
      <c r="E18" s="11">
        <f>INDEX(Raw!$B$5:$AO$30, MATCH(E$1, Raw!$A$5:$A$30, 0), MATCH($C18, Raw!$B$3:$AO$3, 0))</f>
        <v>11088000000</v>
      </c>
      <c r="F18" s="11">
        <f>INDEX(Raw!$B$5:$AO$30, MATCH(F$1, Raw!$A$5:$A$30, 0), MATCH($C18, Raw!$B$3:$AO$3, 0))</f>
        <v>19902000000</v>
      </c>
      <c r="G18" s="11">
        <f>INDEX(Raw!$B$5:$AO$30, MATCH(G$1, Raw!$A$5:$A$30, 0), MATCH($C18, Raw!$B$3:$AO$3, 0))</f>
        <v>11358000000</v>
      </c>
      <c r="H18" s="11">
        <f>INDEX(Raw!$B$5:$AO$30, MATCH(H$1, Raw!$A$5:$A$30, 0), MATCH($C18, Raw!$B$3:$AO$3, 0))</f>
        <v>-313000000</v>
      </c>
      <c r="I18" s="11">
        <f>INDEX(Raw!$B$5:$AO$30, MATCH(I$1, Raw!$A$5:$A$30, 0), MATCH($C18, Raw!$B$3:$AO$3, 0))</f>
        <v>11671000000</v>
      </c>
      <c r="J18" s="11">
        <f>INDEX(Raw!$B$5:$AO$30, MATCH(J$1, Raw!$A$5:$A$30, 0), MATCH($C18, Raw!$B$3:$AO$3, 0))</f>
        <v>8231000000</v>
      </c>
      <c r="K18" s="11">
        <f>INDEX(Raw!$B$5:$AO$30, MATCH(K$1, Raw!$A$5:$A$30, 0), MATCH($C18, Raw!$B$3:$AO$3, 0))</f>
        <v>715000000</v>
      </c>
      <c r="L18" s="11">
        <f>INDEX(Raw!$B$5:$AO$30, MATCH(L$1, Raw!$A$5:$A$30, 0), MATCH($C18, Raw!$B$3:$AO$3, 0))</f>
        <v>8946000000</v>
      </c>
      <c r="M18" s="11">
        <f>INDEX(Raw!$B$5:$AO$30, MATCH(M$1, Raw!$A$5:$A$30, 0), MATCH($C18, Raw!$B$3:$AO$3, 0))</f>
        <v>2040000000</v>
      </c>
      <c r="N18" s="11">
        <f>INDEX(Raw!$B$5:$AO$30, MATCH(N$1, Raw!$A$5:$A$30, 0), MATCH($C18, Raw!$B$3:$AO$3, 0))</f>
        <v>6906000000</v>
      </c>
      <c r="O18" s="11">
        <f>INDEX(Raw!$B$5:$AO$30, MATCH(O$1, Raw!$A$5:$A$30, 0), MATCH($C18, Raw!$B$3:$AO$3, 0))</f>
        <v>0</v>
      </c>
      <c r="P18" s="11">
        <f>INDEX(Raw!$B$5:$AO$30, MATCH(P$1, Raw!$A$5:$A$30, 0), MATCH($C18, Raw!$B$3:$AO$3, 0))</f>
        <v>6906000000</v>
      </c>
      <c r="Q18" s="11">
        <f>INDEX(Raw!$B$5:$AO$30, MATCH(Q$1, Raw!$A$5:$A$30, 0), MATCH($C18, Raw!$B$3:$AO$3, 0))</f>
        <v>0</v>
      </c>
      <c r="R18" s="11">
        <f>INDEX(Raw!$B$5:$AO$30, MATCH(R$1, Raw!$A$5:$A$30, 0), MATCH($C18, Raw!$B$3:$AO$3, 0))</f>
        <v>6824</v>
      </c>
      <c r="S18" s="11">
        <f>INDEX(Raw!$B$5:$AO$30, MATCH(S$1, Raw!$A$5:$A$30, 0), MATCH($C18, Raw!$B$3:$AO$3, 0))</f>
        <v>9467000000</v>
      </c>
      <c r="T18" s="11">
        <f>INDEX(Raw!$B$5:$AO$30, MATCH(T$1, Raw!$A$5:$A$30, 0), MATCH($C18, Raw!$B$3:$AO$3, 0))</f>
        <v>8231000000</v>
      </c>
      <c r="U18" s="11">
        <f>INDEX(Raw!$B$5:$AO$30, MATCH(U$1, Raw!$A$5:$A$30, 0), MATCH($C18, Raw!$B$3:$AO$3, 0))</f>
        <v>4628000000</v>
      </c>
      <c r="V18" s="11">
        <f>INDEX(Raw!$B$5:$AO$30, MATCH(V$1, Raw!$A$5:$A$30, 0), MATCH($C18, Raw!$B$3:$AO$3, 0))</f>
        <v>4658000000</v>
      </c>
      <c r="W18" s="11">
        <f>INDEX(Raw!$B$5:$AO$30, MATCH(W$1, Raw!$A$5:$A$30, 0), MATCH($C18, Raw!$B$3:$AO$3, 0))</f>
        <v>1.4750000000000001</v>
      </c>
      <c r="X18" s="11">
        <f>INDEX(Raw!$B$5:$AO$30, MATCH(X$1, Raw!$A$5:$A$30, 0), MATCH($C18, Raw!$B$3:$AO$3, 0))</f>
        <v>1.4650000000000001</v>
      </c>
    </row>
    <row r="19" spans="1:24" x14ac:dyDescent="0.25">
      <c r="A19" s="11" t="s">
        <v>25</v>
      </c>
      <c r="B19" s="12">
        <f t="shared" ca="1" si="0"/>
        <v>46088</v>
      </c>
      <c r="C19" s="11">
        <v>2008</v>
      </c>
      <c r="D19" s="11">
        <f>INDEX(Raw!$B$5:$AO$30, MATCH(D$1, Raw!$A$5:$A$30, 0), MATCH($C19, Raw!$B$3:$AO$3, 0))</f>
        <v>31944000000</v>
      </c>
      <c r="E19" s="11">
        <f>INDEX(Raw!$B$5:$AO$30, MATCH(E$1, Raw!$A$5:$A$30, 0), MATCH($C19, Raw!$B$3:$AO$3, 0))</f>
        <v>11374000000</v>
      </c>
      <c r="F19" s="11">
        <f>INDEX(Raw!$B$5:$AO$30, MATCH(F$1, Raw!$A$5:$A$30, 0), MATCH($C19, Raw!$B$3:$AO$3, 0))</f>
        <v>20570000000</v>
      </c>
      <c r="G19" s="11">
        <f>INDEX(Raw!$B$5:$AO$30, MATCH(G$1, Raw!$A$5:$A$30, 0), MATCH($C19, Raw!$B$3:$AO$3, 0))</f>
        <v>11774000000</v>
      </c>
      <c r="H19" s="11">
        <f>INDEX(Raw!$B$5:$AO$30, MATCH(H$1, Raw!$A$5:$A$30, 0), MATCH($C19, Raw!$B$3:$AO$3, 0))</f>
        <v>-350000000</v>
      </c>
      <c r="I19" s="11">
        <f>INDEX(Raw!$B$5:$AO$30, MATCH(I$1, Raw!$A$5:$A$30, 0), MATCH($C19, Raw!$B$3:$AO$3, 0))</f>
        <v>12124000000</v>
      </c>
      <c r="J19" s="11">
        <f>INDEX(Raw!$B$5:$AO$30, MATCH(J$1, Raw!$A$5:$A$30, 0), MATCH($C19, Raw!$B$3:$AO$3, 0))</f>
        <v>8446000000</v>
      </c>
      <c r="K19" s="11">
        <f>INDEX(Raw!$B$5:$AO$30, MATCH(K$1, Raw!$A$5:$A$30, 0), MATCH($C19, Raw!$B$3:$AO$3, 0))</f>
        <v>-940000000</v>
      </c>
      <c r="L19" s="11">
        <f>INDEX(Raw!$B$5:$AO$30, MATCH(L$1, Raw!$A$5:$A$30, 0), MATCH($C19, Raw!$B$3:$AO$3, 0))</f>
        <v>7506000000</v>
      </c>
      <c r="M19" s="11">
        <f>INDEX(Raw!$B$5:$AO$30, MATCH(M$1, Raw!$A$5:$A$30, 0), MATCH($C19, Raw!$B$3:$AO$3, 0))</f>
        <v>1632000000</v>
      </c>
      <c r="N19" s="11">
        <f>INDEX(Raw!$B$5:$AO$30, MATCH(N$1, Raw!$A$5:$A$30, 0), MATCH($C19, Raw!$B$3:$AO$3, 0))</f>
        <v>5874000000</v>
      </c>
      <c r="O19" s="11">
        <f>INDEX(Raw!$B$5:$AO$30, MATCH(O$1, Raw!$A$5:$A$30, 0), MATCH($C19, Raw!$B$3:$AO$3, 0))</f>
        <v>0</v>
      </c>
      <c r="P19" s="11">
        <f>INDEX(Raw!$B$5:$AO$30, MATCH(P$1, Raw!$A$5:$A$30, 0), MATCH($C19, Raw!$B$3:$AO$3, 0))</f>
        <v>5874000000</v>
      </c>
      <c r="Q19" s="11">
        <f>INDEX(Raw!$B$5:$AO$30, MATCH(Q$1, Raw!$A$5:$A$30, 0), MATCH($C19, Raw!$B$3:$AO$3, 0))</f>
        <v>0</v>
      </c>
      <c r="R19" s="11">
        <f>INDEX(Raw!$B$5:$AO$30, MATCH(R$1, Raw!$A$5:$A$30, 0), MATCH($C19, Raw!$B$3:$AO$3, 0))</f>
        <v>5807</v>
      </c>
      <c r="S19" s="11">
        <f>INDEX(Raw!$B$5:$AO$30, MATCH(S$1, Raw!$A$5:$A$30, 0), MATCH($C19, Raw!$B$3:$AO$3, 0))</f>
        <v>9674000000</v>
      </c>
      <c r="T19" s="11">
        <f>INDEX(Raw!$B$5:$AO$30, MATCH(T$1, Raw!$A$5:$A$30, 0), MATCH($C19, Raw!$B$3:$AO$3, 0))</f>
        <v>8446000000</v>
      </c>
      <c r="U19" s="11">
        <f>INDEX(Raw!$B$5:$AO$30, MATCH(U$1, Raw!$A$5:$A$30, 0), MATCH($C19, Raw!$B$3:$AO$3, 0))</f>
        <v>4630000000</v>
      </c>
      <c r="V19" s="11">
        <f>INDEX(Raw!$B$5:$AO$30, MATCH(V$1, Raw!$A$5:$A$30, 0), MATCH($C19, Raw!$B$3:$AO$3, 0))</f>
        <v>4672000000</v>
      </c>
      <c r="W19" s="11">
        <f>INDEX(Raw!$B$5:$AO$30, MATCH(W$1, Raw!$A$5:$A$30, 0), MATCH($C19, Raw!$B$3:$AO$3, 0))</f>
        <v>1.2549999999999999</v>
      </c>
      <c r="X19" s="11">
        <f>INDEX(Raw!$B$5:$AO$30, MATCH(X$1, Raw!$A$5:$A$30, 0), MATCH($C19, Raw!$B$3:$AO$3, 0))</f>
        <v>1.2450000000000001</v>
      </c>
    </row>
    <row r="20" spans="1:24" x14ac:dyDescent="0.25">
      <c r="A20" s="11" t="s">
        <v>25</v>
      </c>
      <c r="B20" s="12">
        <f t="shared" ca="1" si="0"/>
        <v>46088</v>
      </c>
      <c r="C20" s="11">
        <v>2007</v>
      </c>
      <c r="D20" s="11">
        <f>INDEX(Raw!$B$5:$AO$30, MATCH(D$1, Raw!$A$5:$A$30, 0), MATCH($C20, Raw!$B$3:$AO$3, 0))</f>
        <v>28857000000</v>
      </c>
      <c r="E20" s="11">
        <f>INDEX(Raw!$B$5:$AO$30, MATCH(E$1, Raw!$A$5:$A$30, 0), MATCH($C20, Raw!$B$3:$AO$3, 0))</f>
        <v>10406000000</v>
      </c>
      <c r="F20" s="11">
        <f>INDEX(Raw!$B$5:$AO$30, MATCH(F$1, Raw!$A$5:$A$30, 0), MATCH($C20, Raw!$B$3:$AO$3, 0))</f>
        <v>18451000000</v>
      </c>
      <c r="G20" s="11">
        <f>INDEX(Raw!$B$5:$AO$30, MATCH(G$1, Raw!$A$5:$A$30, 0), MATCH($C20, Raw!$B$3:$AO$3, 0))</f>
        <v>10945000000</v>
      </c>
      <c r="H20" s="11">
        <f>INDEX(Raw!$B$5:$AO$30, MATCH(H$1, Raw!$A$5:$A$30, 0), MATCH($C20, Raw!$B$3:$AO$3, 0))</f>
        <v>-254000000</v>
      </c>
      <c r="I20" s="11">
        <f>INDEX(Raw!$B$5:$AO$30, MATCH(I$1, Raw!$A$5:$A$30, 0), MATCH($C20, Raw!$B$3:$AO$3, 0))</f>
        <v>11199000000</v>
      </c>
      <c r="J20" s="11">
        <f>INDEX(Raw!$B$5:$AO$30, MATCH(J$1, Raw!$A$5:$A$30, 0), MATCH($C20, Raw!$B$3:$AO$3, 0))</f>
        <v>7252000000</v>
      </c>
      <c r="K20" s="11">
        <f>INDEX(Raw!$B$5:$AO$30, MATCH(K$1, Raw!$A$5:$A$30, 0), MATCH($C20, Raw!$B$3:$AO$3, 0))</f>
        <v>667000000</v>
      </c>
      <c r="L20" s="11">
        <f>INDEX(Raw!$B$5:$AO$30, MATCH(L$1, Raw!$A$5:$A$30, 0), MATCH($C20, Raw!$B$3:$AO$3, 0))</f>
        <v>7919000000</v>
      </c>
      <c r="M20" s="11">
        <f>INDEX(Raw!$B$5:$AO$30, MATCH(M$1, Raw!$A$5:$A$30, 0), MATCH($C20, Raw!$B$3:$AO$3, 0))</f>
        <v>1892000000</v>
      </c>
      <c r="N20" s="11">
        <f>INDEX(Raw!$B$5:$AO$30, MATCH(N$1, Raw!$A$5:$A$30, 0), MATCH($C20, Raw!$B$3:$AO$3, 0))</f>
        <v>6027000000</v>
      </c>
      <c r="O20" s="11">
        <f>INDEX(Raw!$B$5:$AO$30, MATCH(O$1, Raw!$A$5:$A$30, 0), MATCH($C20, Raw!$B$3:$AO$3, 0))</f>
        <v>0</v>
      </c>
      <c r="P20" s="11">
        <f>INDEX(Raw!$B$5:$AO$30, MATCH(P$1, Raw!$A$5:$A$30, 0), MATCH($C20, Raw!$B$3:$AO$3, 0))</f>
        <v>6027000000</v>
      </c>
      <c r="Q20" s="11">
        <f>INDEX(Raw!$B$5:$AO$30, MATCH(Q$1, Raw!$A$5:$A$30, 0), MATCH($C20, Raw!$B$3:$AO$3, 0))</f>
        <v>0</v>
      </c>
      <c r="R20" s="11">
        <f>INDEX(Raw!$B$5:$AO$30, MATCH(R$1, Raw!$A$5:$A$30, 0), MATCH($C20, Raw!$B$3:$AO$3, 0))</f>
        <v>5981</v>
      </c>
      <c r="S20" s="11">
        <f>INDEX(Raw!$B$5:$AO$30, MATCH(S$1, Raw!$A$5:$A$30, 0), MATCH($C20, Raw!$B$3:$AO$3, 0))</f>
        <v>8415000000</v>
      </c>
      <c r="T20" s="11">
        <f>INDEX(Raw!$B$5:$AO$30, MATCH(T$1, Raw!$A$5:$A$30, 0), MATCH($C20, Raw!$B$3:$AO$3, 0))</f>
        <v>7252000000</v>
      </c>
      <c r="U20" s="11">
        <f>INDEX(Raw!$B$5:$AO$30, MATCH(U$1, Raw!$A$5:$A$30, 0), MATCH($C20, Raw!$B$3:$AO$3, 0))</f>
        <v>4626000000</v>
      </c>
      <c r="V20" s="11">
        <f>INDEX(Raw!$B$5:$AO$30, MATCH(V$1, Raw!$A$5:$A$30, 0), MATCH($C20, Raw!$B$3:$AO$3, 0))</f>
        <v>4662000000</v>
      </c>
      <c r="W20" s="11">
        <f>INDEX(Raw!$B$5:$AO$30, MATCH(W$1, Raw!$A$5:$A$30, 0), MATCH($C20, Raw!$B$3:$AO$3, 0))</f>
        <v>1.2949999999999999</v>
      </c>
      <c r="X20" s="11">
        <f>INDEX(Raw!$B$5:$AO$30, MATCH(X$1, Raw!$A$5:$A$30, 0), MATCH($C20, Raw!$B$3:$AO$3, 0))</f>
        <v>1.2849999999999999</v>
      </c>
    </row>
    <row r="21" spans="1:24" x14ac:dyDescent="0.25">
      <c r="A21" s="11" t="s">
        <v>25</v>
      </c>
      <c r="B21" s="12">
        <f t="shared" ca="1" si="0"/>
        <v>46088</v>
      </c>
      <c r="C21" s="11">
        <v>2006</v>
      </c>
      <c r="D21" s="11">
        <f>INDEX(Raw!$B$5:$AO$30, MATCH(D$1, Raw!$A$5:$A$30, 0), MATCH($C21, Raw!$B$3:$AO$3, 0))</f>
        <v>24088000000</v>
      </c>
      <c r="E21" s="11">
        <f>INDEX(Raw!$B$5:$AO$30, MATCH(E$1, Raw!$A$5:$A$30, 0), MATCH($C21, Raw!$B$3:$AO$3, 0))</f>
        <v>8164000000</v>
      </c>
      <c r="F21" s="11">
        <f>INDEX(Raw!$B$5:$AO$30, MATCH(F$1, Raw!$A$5:$A$30, 0), MATCH($C21, Raw!$B$3:$AO$3, 0))</f>
        <v>15924000000</v>
      </c>
      <c r="G21" s="11">
        <f>INDEX(Raw!$B$5:$AO$30, MATCH(G$1, Raw!$A$5:$A$30, 0), MATCH($C21, Raw!$B$3:$AO$3, 0))</f>
        <v>9431000000</v>
      </c>
      <c r="H21" s="11">
        <f>INDEX(Raw!$B$5:$AO$30, MATCH(H$1, Raw!$A$5:$A$30, 0), MATCH($C21, Raw!$B$3:$AO$3, 0))</f>
        <v>-185000000</v>
      </c>
      <c r="I21" s="11">
        <f>INDEX(Raw!$B$5:$AO$30, MATCH(I$1, Raw!$A$5:$A$30, 0), MATCH($C21, Raw!$B$3:$AO$3, 0))</f>
        <v>9616000000</v>
      </c>
      <c r="J21" s="11">
        <f>INDEX(Raw!$B$5:$AO$30, MATCH(J$1, Raw!$A$5:$A$30, 0), MATCH($C21, Raw!$B$3:$AO$3, 0))</f>
        <v>6308000000</v>
      </c>
      <c r="K21" s="11">
        <f>INDEX(Raw!$B$5:$AO$30, MATCH(K$1, Raw!$A$5:$A$30, 0), MATCH($C21, Raw!$B$3:$AO$3, 0))</f>
        <v>270000000</v>
      </c>
      <c r="L21" s="11">
        <f>INDEX(Raw!$B$5:$AO$30, MATCH(L$1, Raw!$A$5:$A$30, 0), MATCH($C21, Raw!$B$3:$AO$3, 0))</f>
        <v>6578000000</v>
      </c>
      <c r="M21" s="11">
        <f>INDEX(Raw!$B$5:$AO$30, MATCH(M$1, Raw!$A$5:$A$30, 0), MATCH($C21, Raw!$B$3:$AO$3, 0))</f>
        <v>1498000000</v>
      </c>
      <c r="N21" s="11">
        <f>INDEX(Raw!$B$5:$AO$30, MATCH(N$1, Raw!$A$5:$A$30, 0), MATCH($C21, Raw!$B$3:$AO$3, 0))</f>
        <v>5080000000</v>
      </c>
      <c r="O21" s="11">
        <f>INDEX(Raw!$B$5:$AO$30, MATCH(O$1, Raw!$A$5:$A$30, 0), MATCH($C21, Raw!$B$3:$AO$3, 0))</f>
        <v>0</v>
      </c>
      <c r="P21" s="11">
        <f>INDEX(Raw!$B$5:$AO$30, MATCH(P$1, Raw!$A$5:$A$30, 0), MATCH($C21, Raw!$B$3:$AO$3, 0))</f>
        <v>5080000000</v>
      </c>
      <c r="Q21" s="11">
        <f>INDEX(Raw!$B$5:$AO$30, MATCH(Q$1, Raw!$A$5:$A$30, 0), MATCH($C21, Raw!$B$3:$AO$3, 0))</f>
        <v>0</v>
      </c>
      <c r="R21" s="11">
        <f>INDEX(Raw!$B$5:$AO$30, MATCH(R$1, Raw!$A$5:$A$30, 0), MATCH($C21, Raw!$B$3:$AO$3, 0))</f>
        <v>5080</v>
      </c>
      <c r="S21" s="11">
        <f>INDEX(Raw!$B$5:$AO$30, MATCH(S$1, Raw!$A$5:$A$30, 0), MATCH($C21, Raw!$B$3:$AO$3, 0))</f>
        <v>7246000000</v>
      </c>
      <c r="T21" s="11">
        <f>INDEX(Raw!$B$5:$AO$30, MATCH(T$1, Raw!$A$5:$A$30, 0), MATCH($C21, Raw!$B$3:$AO$3, 0))</f>
        <v>6308000000</v>
      </c>
      <c r="U21" s="11">
        <f>INDEX(Raw!$B$5:$AO$30, MATCH(U$1, Raw!$A$5:$A$30, 0), MATCH($C21, Raw!$B$3:$AO$3, 0))</f>
        <v>4696000000</v>
      </c>
      <c r="V21" s="11">
        <f>INDEX(Raw!$B$5:$AO$30, MATCH(V$1, Raw!$A$5:$A$30, 0), MATCH($C21, Raw!$B$3:$AO$3, 0))</f>
        <v>4700000000</v>
      </c>
      <c r="W21" s="11">
        <f>INDEX(Raw!$B$5:$AO$30, MATCH(W$1, Raw!$A$5:$A$30, 0), MATCH($C21, Raw!$B$3:$AO$3, 0))</f>
        <v>1.08</v>
      </c>
      <c r="X21" s="11">
        <f>INDEX(Raw!$B$5:$AO$30, MATCH(X$1, Raw!$A$5:$A$30, 0), MATCH($C21, Raw!$B$3:$AO$3, 0))</f>
        <v>1.08</v>
      </c>
    </row>
    <row r="22" spans="1:24" x14ac:dyDescent="0.25">
      <c r="A22" s="11" t="s">
        <v>25</v>
      </c>
      <c r="B22" s="12">
        <f t="shared" ca="1" si="0"/>
        <v>46088</v>
      </c>
      <c r="C22" s="11">
        <v>2005</v>
      </c>
      <c r="D22" s="11">
        <f>INDEX(Raw!$B$5:$AO$30, MATCH(D$1, Raw!$A$5:$A$30, 0), MATCH($C22, Raw!$B$3:$AO$3, 0))</f>
        <v>23104000000</v>
      </c>
      <c r="E22" s="11">
        <f>INDEX(Raw!$B$5:$AO$30, MATCH(E$1, Raw!$A$5:$A$30, 0), MATCH($C22, Raw!$B$3:$AO$3, 0))</f>
        <v>8195000000</v>
      </c>
      <c r="F22" s="11">
        <f>INDEX(Raw!$B$5:$AO$30, MATCH(F$1, Raw!$A$5:$A$30, 0), MATCH($C22, Raw!$B$3:$AO$3, 0))</f>
        <v>14909000000</v>
      </c>
      <c r="G22" s="11">
        <f>INDEX(Raw!$B$5:$AO$30, MATCH(G$1, Raw!$A$5:$A$30, 0), MATCH($C22, Raw!$B$3:$AO$3, 0))</f>
        <v>8739000000</v>
      </c>
      <c r="H22" s="11">
        <f>INDEX(Raw!$B$5:$AO$30, MATCH(H$1, Raw!$A$5:$A$30, 0), MATCH($C22, Raw!$B$3:$AO$3, 0))</f>
        <v>-85000000</v>
      </c>
      <c r="I22" s="11">
        <f>INDEX(Raw!$B$5:$AO$30, MATCH(I$1, Raw!$A$5:$A$30, 0), MATCH($C22, Raw!$B$3:$AO$3, 0))</f>
        <v>8824000000</v>
      </c>
      <c r="J22" s="11">
        <f>INDEX(Raw!$B$5:$AO$30, MATCH(J$1, Raw!$A$5:$A$30, 0), MATCH($C22, Raw!$B$3:$AO$3, 0))</f>
        <v>6085000000</v>
      </c>
      <c r="K22" s="11">
        <f>INDEX(Raw!$B$5:$AO$30, MATCH(K$1, Raw!$A$5:$A$30, 0), MATCH($C22, Raw!$B$3:$AO$3, 0))</f>
        <v>605000000</v>
      </c>
      <c r="L22" s="11">
        <f>INDEX(Raw!$B$5:$AO$30, MATCH(L$1, Raw!$A$5:$A$30, 0), MATCH($C22, Raw!$B$3:$AO$3, 0))</f>
        <v>6690000000</v>
      </c>
      <c r="M22" s="11">
        <f>INDEX(Raw!$B$5:$AO$30, MATCH(M$1, Raw!$A$5:$A$30, 0), MATCH($C22, Raw!$B$3:$AO$3, 0))</f>
        <v>1818000000</v>
      </c>
      <c r="N22" s="11">
        <f>INDEX(Raw!$B$5:$AO$30, MATCH(N$1, Raw!$A$5:$A$30, 0), MATCH($C22, Raw!$B$3:$AO$3, 0))</f>
        <v>4872000000</v>
      </c>
      <c r="O22" s="11">
        <f>INDEX(Raw!$B$5:$AO$30, MATCH(O$1, Raw!$A$5:$A$30, 0), MATCH($C22, Raw!$B$3:$AO$3, 0))</f>
        <v>0</v>
      </c>
      <c r="P22" s="11">
        <f>INDEX(Raw!$B$5:$AO$30, MATCH(P$1, Raw!$A$5:$A$30, 0), MATCH($C22, Raw!$B$3:$AO$3, 0))</f>
        <v>4872000000</v>
      </c>
      <c r="Q22" s="11">
        <f>INDEX(Raw!$B$5:$AO$30, MATCH(Q$1, Raw!$A$5:$A$30, 0), MATCH($C22, Raw!$B$3:$AO$3, 0))</f>
        <v>0</v>
      </c>
      <c r="R22" s="11">
        <f>INDEX(Raw!$B$5:$AO$30, MATCH(R$1, Raw!$A$5:$A$30, 0), MATCH($C22, Raw!$B$3:$AO$3, 0))</f>
        <v>4872</v>
      </c>
      <c r="S22" s="11">
        <f>INDEX(Raw!$B$5:$AO$30, MATCH(S$1, Raw!$A$5:$A$30, 0), MATCH($C22, Raw!$B$3:$AO$3, 0))</f>
        <v>7017000000</v>
      </c>
      <c r="T22" s="11">
        <f>INDEX(Raw!$B$5:$AO$30, MATCH(T$1, Raw!$A$5:$A$30, 0), MATCH($C22, Raw!$B$3:$AO$3, 0))</f>
        <v>6085000000</v>
      </c>
      <c r="U22" s="11">
        <f>INDEX(Raw!$B$5:$AO$30, MATCH(U$1, Raw!$A$5:$A$30, 0), MATCH($C22, Raw!$B$3:$AO$3, 0))</f>
        <v>4784000000</v>
      </c>
      <c r="V22" s="11">
        <f>INDEX(Raw!$B$5:$AO$30, MATCH(V$1, Raw!$A$5:$A$30, 0), MATCH($C22, Raw!$B$3:$AO$3, 0))</f>
        <v>4786000000</v>
      </c>
      <c r="W22" s="11">
        <f>INDEX(Raw!$B$5:$AO$30, MATCH(W$1, Raw!$A$5:$A$30, 0), MATCH($C22, Raw!$B$3:$AO$3, 0))</f>
        <v>1.02</v>
      </c>
      <c r="X22" s="11">
        <f>INDEX(Raw!$B$5:$AO$30, MATCH(X$1, Raw!$A$5:$A$30, 0), MATCH($C22, Raw!$B$3:$AO$3, 0))</f>
        <v>1.02</v>
      </c>
    </row>
    <row r="23" spans="1:24" x14ac:dyDescent="0.25">
      <c r="A23" s="11" t="s">
        <v>25</v>
      </c>
      <c r="B23" s="12">
        <f t="shared" ca="1" si="0"/>
        <v>46088</v>
      </c>
      <c r="C23" s="11">
        <v>2004</v>
      </c>
      <c r="D23" s="11">
        <f>INDEX(Raw!$B$5:$AO$30, MATCH(D$1, Raw!$A$5:$A$30, 0), MATCH($C23, Raw!$B$3:$AO$3, 0))</f>
        <v>21742000000</v>
      </c>
      <c r="E23" s="11">
        <f>INDEX(Raw!$B$5:$AO$30, MATCH(E$1, Raw!$A$5:$A$30, 0), MATCH($C23, Raw!$B$3:$AO$3, 0))</f>
        <v>7674000000</v>
      </c>
      <c r="F23" s="11">
        <f>INDEX(Raw!$B$5:$AO$30, MATCH(F$1, Raw!$A$5:$A$30, 0), MATCH($C23, Raw!$B$3:$AO$3, 0))</f>
        <v>14068000000</v>
      </c>
      <c r="G23" s="11">
        <f>INDEX(Raw!$B$5:$AO$30, MATCH(G$1, Raw!$A$5:$A$30, 0), MATCH($C23, Raw!$B$3:$AO$3, 0))</f>
        <v>7890000000</v>
      </c>
      <c r="H23" s="11">
        <f>INDEX(Raw!$B$5:$AO$30, MATCH(H$1, Raw!$A$5:$A$30, 0), MATCH($C23, Raw!$B$3:$AO$3, 0))</f>
        <v>-480000000</v>
      </c>
      <c r="I23" s="11">
        <f>INDEX(Raw!$B$5:$AO$30, MATCH(I$1, Raw!$A$5:$A$30, 0), MATCH($C23, Raw!$B$3:$AO$3, 0))</f>
        <v>8370000000</v>
      </c>
      <c r="J23" s="11">
        <f>INDEX(Raw!$B$5:$AO$30, MATCH(J$1, Raw!$A$5:$A$30, 0), MATCH($C23, Raw!$B$3:$AO$3, 0))</f>
        <v>5698000000</v>
      </c>
      <c r="K23" s="11">
        <f>INDEX(Raw!$B$5:$AO$30, MATCH(K$1, Raw!$A$5:$A$30, 0), MATCH($C23, Raw!$B$3:$AO$3, 0))</f>
        <v>524000000</v>
      </c>
      <c r="L23" s="11">
        <f>INDEX(Raw!$B$5:$AO$30, MATCH(L$1, Raw!$A$5:$A$30, 0), MATCH($C23, Raw!$B$3:$AO$3, 0))</f>
        <v>6222000000</v>
      </c>
      <c r="M23" s="11">
        <f>INDEX(Raw!$B$5:$AO$30, MATCH(M$1, Raw!$A$5:$A$30, 0), MATCH($C23, Raw!$B$3:$AO$3, 0))</f>
        <v>1375000000</v>
      </c>
      <c r="N23" s="11">
        <f>INDEX(Raw!$B$5:$AO$30, MATCH(N$1, Raw!$A$5:$A$30, 0), MATCH($C23, Raw!$B$3:$AO$3, 0))</f>
        <v>4847000000</v>
      </c>
      <c r="O23" s="11">
        <f>INDEX(Raw!$B$5:$AO$30, MATCH(O$1, Raw!$A$5:$A$30, 0), MATCH($C23, Raw!$B$3:$AO$3, 0))</f>
        <v>0</v>
      </c>
      <c r="P23" s="11">
        <f>INDEX(Raw!$B$5:$AO$30, MATCH(P$1, Raw!$A$5:$A$30, 0), MATCH($C23, Raw!$B$3:$AO$3, 0))</f>
        <v>4847000000</v>
      </c>
      <c r="Q23" s="11">
        <f>INDEX(Raw!$B$5:$AO$30, MATCH(Q$1, Raw!$A$5:$A$30, 0), MATCH($C23, Raw!$B$3:$AO$3, 0))</f>
        <v>0</v>
      </c>
      <c r="R23" s="11">
        <f>INDEX(Raw!$B$5:$AO$30, MATCH(R$1, Raw!$A$5:$A$30, 0), MATCH($C23, Raw!$B$3:$AO$3, 0))</f>
        <v>4847</v>
      </c>
      <c r="S23" s="11">
        <f>INDEX(Raw!$B$5:$AO$30, MATCH(S$1, Raw!$A$5:$A$30, 0), MATCH($C23, Raw!$B$3:$AO$3, 0))</f>
        <v>6591000000</v>
      </c>
      <c r="T23" s="11">
        <f>INDEX(Raw!$B$5:$AO$30, MATCH(T$1, Raw!$A$5:$A$30, 0), MATCH($C23, Raw!$B$3:$AO$3, 0))</f>
        <v>5698000000</v>
      </c>
      <c r="U23" s="11">
        <f>INDEX(Raw!$B$5:$AO$30, MATCH(U$1, Raw!$A$5:$A$30, 0), MATCH($C23, Raw!$B$3:$AO$3, 0))</f>
        <v>4852000000</v>
      </c>
      <c r="V23" s="11">
        <f>INDEX(Raw!$B$5:$AO$30, MATCH(V$1, Raw!$A$5:$A$30, 0), MATCH($C23, Raw!$B$3:$AO$3, 0))</f>
        <v>4858000000</v>
      </c>
      <c r="W23" s="11">
        <f>INDEX(Raw!$B$5:$AO$30, MATCH(W$1, Raw!$A$5:$A$30, 0), MATCH($C23, Raw!$B$3:$AO$3, 0))</f>
        <v>1</v>
      </c>
      <c r="X23" s="11">
        <f>INDEX(Raw!$B$5:$AO$30, MATCH(X$1, Raw!$A$5:$A$30, 0), MATCH($C23, Raw!$B$3:$AO$3, 0))</f>
        <v>1</v>
      </c>
    </row>
    <row r="24" spans="1:24" x14ac:dyDescent="0.25">
      <c r="A24" s="11" t="s">
        <v>25</v>
      </c>
      <c r="B24" s="12">
        <f t="shared" ca="1" si="0"/>
        <v>46088</v>
      </c>
      <c r="C24" s="11">
        <v>2003</v>
      </c>
      <c r="D24" s="11">
        <f>INDEX(Raw!$B$5:$AO$30, MATCH(D$1, Raw!$A$5:$A$30, 0), MATCH($C24, Raw!$B$3:$AO$3, 0))</f>
        <v>20857000000</v>
      </c>
      <c r="E24" s="11">
        <f>INDEX(Raw!$B$5:$AO$30, MATCH(E$1, Raw!$A$5:$A$30, 0), MATCH($C24, Raw!$B$3:$AO$3, 0))</f>
        <v>7776000000</v>
      </c>
      <c r="F24" s="11">
        <f>INDEX(Raw!$B$5:$AO$30, MATCH(F$1, Raw!$A$5:$A$30, 0), MATCH($C24, Raw!$B$3:$AO$3, 0))</f>
        <v>13081000000</v>
      </c>
      <c r="G24" s="11">
        <f>INDEX(Raw!$B$5:$AO$30, MATCH(G$1, Raw!$A$5:$A$30, 0), MATCH($C24, Raw!$B$3:$AO$3, 0))</f>
        <v>7287000000</v>
      </c>
      <c r="H24" s="11">
        <f>INDEX(Raw!$B$5:$AO$30, MATCH(H$1, Raw!$A$5:$A$30, 0), MATCH($C24, Raw!$B$3:$AO$3, 0))</f>
        <v>-573000000</v>
      </c>
      <c r="I24" s="11">
        <f>INDEX(Raw!$B$5:$AO$30, MATCH(I$1, Raw!$A$5:$A$30, 0), MATCH($C24, Raw!$B$3:$AO$3, 0))</f>
        <v>7860000000</v>
      </c>
      <c r="J24" s="11">
        <f>INDEX(Raw!$B$5:$AO$30, MATCH(J$1, Raw!$A$5:$A$30, 0), MATCH($C24, Raw!$B$3:$AO$3, 0))</f>
        <v>5221000000</v>
      </c>
      <c r="K24" s="11">
        <f>INDEX(Raw!$B$5:$AO$30, MATCH(K$1, Raw!$A$5:$A$30, 0), MATCH($C24, Raw!$B$3:$AO$3, 0))</f>
        <v>274000000</v>
      </c>
      <c r="L24" s="11">
        <f>INDEX(Raw!$B$5:$AO$30, MATCH(L$1, Raw!$A$5:$A$30, 0), MATCH($C24, Raw!$B$3:$AO$3, 0))</f>
        <v>5495000000</v>
      </c>
      <c r="M24" s="11">
        <f>INDEX(Raw!$B$5:$AO$30, MATCH(M$1, Raw!$A$5:$A$30, 0), MATCH($C24, Raw!$B$3:$AO$3, 0))</f>
        <v>1148000000</v>
      </c>
      <c r="N24" s="11">
        <f>INDEX(Raw!$B$5:$AO$30, MATCH(N$1, Raw!$A$5:$A$30, 0), MATCH($C24, Raw!$B$3:$AO$3, 0))</f>
        <v>4347000000</v>
      </c>
      <c r="O24" s="11">
        <f>INDEX(Raw!$B$5:$AO$30, MATCH(O$1, Raw!$A$5:$A$30, 0), MATCH($C24, Raw!$B$3:$AO$3, 0))</f>
        <v>0</v>
      </c>
      <c r="P24" s="11">
        <f>INDEX(Raw!$B$5:$AO$30, MATCH(P$1, Raw!$A$5:$A$30, 0), MATCH($C24, Raw!$B$3:$AO$3, 0))</f>
        <v>4347000000</v>
      </c>
      <c r="Q24" s="11">
        <f>INDEX(Raw!$B$5:$AO$30, MATCH(Q$1, Raw!$A$5:$A$30, 0), MATCH($C24, Raw!$B$3:$AO$3, 0))</f>
        <v>0</v>
      </c>
      <c r="R24" s="11">
        <f>INDEX(Raw!$B$5:$AO$30, MATCH(R$1, Raw!$A$5:$A$30, 0), MATCH($C24, Raw!$B$3:$AO$3, 0))</f>
        <v>4347</v>
      </c>
      <c r="S24" s="11">
        <f>INDEX(Raw!$B$5:$AO$30, MATCH(S$1, Raw!$A$5:$A$30, 0), MATCH($C24, Raw!$B$3:$AO$3, 0))</f>
        <v>6071000000</v>
      </c>
      <c r="T24" s="11">
        <f>INDEX(Raw!$B$5:$AO$30, MATCH(T$1, Raw!$A$5:$A$30, 0), MATCH($C24, Raw!$B$3:$AO$3, 0))</f>
        <v>5221000000</v>
      </c>
      <c r="U24" s="11">
        <f>INDEX(Raw!$B$5:$AO$30, MATCH(U$1, Raw!$A$5:$A$30, 0), MATCH($C24, Raw!$B$3:$AO$3, 0))</f>
        <v>4918000000</v>
      </c>
      <c r="V24" s="11">
        <f>INDEX(Raw!$B$5:$AO$30, MATCH(V$1, Raw!$A$5:$A$30, 0), MATCH($C24, Raw!$B$3:$AO$3, 0))</f>
        <v>4924000000</v>
      </c>
      <c r="W24" s="11">
        <f>INDEX(Raw!$B$5:$AO$30, MATCH(W$1, Raw!$A$5:$A$30, 0), MATCH($C24, Raw!$B$3:$AO$3, 0))</f>
        <v>0.88500000000000001</v>
      </c>
      <c r="X24" s="11">
        <f>INDEX(Raw!$B$5:$AO$30, MATCH(X$1, Raw!$A$5:$A$30, 0), MATCH($C24, Raw!$B$3:$AO$3, 0))</f>
        <v>0.88500000000000001</v>
      </c>
    </row>
    <row r="25" spans="1:24" x14ac:dyDescent="0.25">
      <c r="A25" s="11" t="s">
        <v>25</v>
      </c>
      <c r="B25" s="12">
        <f t="shared" ca="1" si="0"/>
        <v>46088</v>
      </c>
      <c r="C25" s="11">
        <v>2002</v>
      </c>
      <c r="D25" s="11">
        <f>INDEX(Raw!$B$5:$AO$30, MATCH(D$1, Raw!$A$5:$A$30, 0), MATCH($C25, Raw!$B$3:$AO$3, 0))</f>
        <v>19564000000</v>
      </c>
      <c r="E25" s="11">
        <f>INDEX(Raw!$B$5:$AO$30, MATCH(E$1, Raw!$A$5:$A$30, 0), MATCH($C25, Raw!$B$3:$AO$3, 0))</f>
        <v>7105000000</v>
      </c>
      <c r="F25" s="11">
        <f>INDEX(Raw!$B$5:$AO$30, MATCH(F$1, Raw!$A$5:$A$30, 0), MATCH($C25, Raw!$B$3:$AO$3, 0))</f>
        <v>12459000000</v>
      </c>
      <c r="G25" s="11">
        <f>INDEX(Raw!$B$5:$AO$30, MATCH(G$1, Raw!$A$5:$A$30, 0), MATCH($C25, Raw!$B$3:$AO$3, 0))</f>
        <v>7001000000</v>
      </c>
      <c r="H25" s="11">
        <f>INDEX(Raw!$B$5:$AO$30, MATCH(H$1, Raw!$A$5:$A$30, 0), MATCH($C25, Raw!$B$3:$AO$3, 0))</f>
        <v>0</v>
      </c>
      <c r="I25" s="11">
        <f>INDEX(Raw!$B$5:$AO$30, MATCH(I$1, Raw!$A$5:$A$30, 0), MATCH($C25, Raw!$B$3:$AO$3, 0))</f>
        <v>7001000000</v>
      </c>
      <c r="J25" s="11">
        <f>INDEX(Raw!$B$5:$AO$30, MATCH(J$1, Raw!$A$5:$A$30, 0), MATCH($C25, Raw!$B$3:$AO$3, 0))</f>
        <v>5458000000</v>
      </c>
      <c r="K25" s="11">
        <f>INDEX(Raw!$B$5:$AO$30, MATCH(K$1, Raw!$A$5:$A$30, 0), MATCH($C25, Raw!$B$3:$AO$3, 0))</f>
        <v>41000000</v>
      </c>
      <c r="L25" s="11">
        <f>INDEX(Raw!$B$5:$AO$30, MATCH(L$1, Raw!$A$5:$A$30, 0), MATCH($C25, Raw!$B$3:$AO$3, 0))</f>
        <v>5499000000</v>
      </c>
      <c r="M25" s="11">
        <f>INDEX(Raw!$B$5:$AO$30, MATCH(M$1, Raw!$A$5:$A$30, 0), MATCH($C25, Raw!$B$3:$AO$3, 0))</f>
        <v>1523000000</v>
      </c>
      <c r="N25" s="11">
        <f>INDEX(Raw!$B$5:$AO$30, MATCH(N$1, Raw!$A$5:$A$30, 0), MATCH($C25, Raw!$B$3:$AO$3, 0))</f>
        <v>3976000000</v>
      </c>
      <c r="O25" s="11">
        <f>INDEX(Raw!$B$5:$AO$30, MATCH(O$1, Raw!$A$5:$A$30, 0), MATCH($C25, Raw!$B$3:$AO$3, 0))</f>
        <v>0</v>
      </c>
      <c r="P25" s="11">
        <f>INDEX(Raw!$B$5:$AO$30, MATCH(P$1, Raw!$A$5:$A$30, 0), MATCH($C25, Raw!$B$3:$AO$3, 0))</f>
        <v>3976000000</v>
      </c>
      <c r="Q25" s="11">
        <f>INDEX(Raw!$B$5:$AO$30, MATCH(Q$1, Raw!$A$5:$A$30, 0), MATCH($C25, Raw!$B$3:$AO$3, 0))</f>
        <v>0</v>
      </c>
      <c r="R25" s="11">
        <f>INDEX(Raw!$B$5:$AO$30, MATCH(R$1, Raw!$A$5:$A$30, 0), MATCH($C25, Raw!$B$3:$AO$3, 0))</f>
        <v>3050</v>
      </c>
      <c r="S25" s="11">
        <f>INDEX(Raw!$B$5:$AO$30, MATCH(S$1, Raw!$A$5:$A$30, 0), MATCH($C25, Raw!$B$3:$AO$3, 0))</f>
        <v>6264000000</v>
      </c>
      <c r="T25" s="11">
        <f>INDEX(Raw!$B$5:$AO$30, MATCH(T$1, Raw!$A$5:$A$30, 0), MATCH($C25, Raw!$B$3:$AO$3, 0))</f>
        <v>5458000000</v>
      </c>
      <c r="U25" s="11">
        <f>INDEX(Raw!$B$5:$AO$30, MATCH(U$1, Raw!$A$5:$A$30, 0), MATCH($C25, Raw!$B$3:$AO$3, 0))</f>
        <v>4956000000</v>
      </c>
      <c r="V25" s="11">
        <f>INDEX(Raw!$B$5:$AO$30, MATCH(V$1, Raw!$A$5:$A$30, 0), MATCH($C25, Raw!$B$3:$AO$3, 0))</f>
        <v>4966000000</v>
      </c>
      <c r="W25" s="11">
        <f>INDEX(Raw!$B$5:$AO$30, MATCH(W$1, Raw!$A$5:$A$30, 0), MATCH($C25, Raw!$B$3:$AO$3, 0))</f>
        <v>0.61499999999999999</v>
      </c>
      <c r="X25" s="11">
        <f>INDEX(Raw!$B$5:$AO$30, MATCH(X$1, Raw!$A$5:$A$30, 0), MATCH($C25, Raw!$B$3:$AO$3, 0))</f>
        <v>0.61499999999999999</v>
      </c>
    </row>
    <row r="26" spans="1:24" x14ac:dyDescent="0.25">
      <c r="A26" s="11" t="s">
        <v>25</v>
      </c>
      <c r="B26" s="12">
        <f t="shared" ca="1" si="0"/>
        <v>46088</v>
      </c>
      <c r="C26" s="11">
        <v>2001</v>
      </c>
      <c r="D26" s="11">
        <f>INDEX(Raw!$B$5:$AO$30, MATCH(D$1, Raw!$A$5:$A$30, 0), MATCH($C26, Raw!$B$3:$AO$3, 0))</f>
        <v>17545000000</v>
      </c>
      <c r="E26" s="11">
        <f>INDEX(Raw!$B$5:$AO$30, MATCH(E$1, Raw!$A$5:$A$30, 0), MATCH($C26, Raw!$B$3:$AO$3, 0))</f>
        <v>6044000000</v>
      </c>
      <c r="F26" s="11">
        <f>INDEX(Raw!$B$5:$AO$30, MATCH(F$1, Raw!$A$5:$A$30, 0), MATCH($C26, Raw!$B$3:$AO$3, 0))</f>
        <v>11501000000</v>
      </c>
      <c r="G26" s="11">
        <f>INDEX(Raw!$B$5:$AO$30, MATCH(G$1, Raw!$A$5:$A$30, 0), MATCH($C26, Raw!$B$3:$AO$3, 0))</f>
        <v>6149000000</v>
      </c>
      <c r="H26" s="11">
        <f>INDEX(Raw!$B$5:$AO$30, MATCH(H$1, Raw!$A$5:$A$30, 0), MATCH($C26, Raw!$B$3:$AO$3, 0))</f>
        <v>0</v>
      </c>
      <c r="I26" s="11">
        <f>INDEX(Raw!$B$5:$AO$30, MATCH(I$1, Raw!$A$5:$A$30, 0), MATCH($C26, Raw!$B$3:$AO$3, 0))</f>
        <v>6149000000</v>
      </c>
      <c r="J26" s="11">
        <f>INDEX(Raw!$B$5:$AO$30, MATCH(J$1, Raw!$A$5:$A$30, 0), MATCH($C26, Raw!$B$3:$AO$3, 0))</f>
        <v>5352000000</v>
      </c>
      <c r="K26" s="11">
        <f>INDEX(Raw!$B$5:$AO$30, MATCH(K$1, Raw!$A$5:$A$30, 0), MATCH($C26, Raw!$B$3:$AO$3, 0))</f>
        <v>318000000</v>
      </c>
      <c r="L26" s="11">
        <f>INDEX(Raw!$B$5:$AO$30, MATCH(L$1, Raw!$A$5:$A$30, 0), MATCH($C26, Raw!$B$3:$AO$3, 0))</f>
        <v>5670000000</v>
      </c>
      <c r="M26" s="11">
        <f>INDEX(Raw!$B$5:$AO$30, MATCH(M$1, Raw!$A$5:$A$30, 0), MATCH($C26, Raw!$B$3:$AO$3, 0))</f>
        <v>1691000000</v>
      </c>
      <c r="N26" s="11">
        <f>INDEX(Raw!$B$5:$AO$30, MATCH(N$1, Raw!$A$5:$A$30, 0), MATCH($C26, Raw!$B$3:$AO$3, 0))</f>
        <v>3979000000</v>
      </c>
      <c r="O26" s="11">
        <f>INDEX(Raw!$B$5:$AO$30, MATCH(O$1, Raw!$A$5:$A$30, 0), MATCH($C26, Raw!$B$3:$AO$3, 0))</f>
        <v>0</v>
      </c>
      <c r="P26" s="11">
        <f>INDEX(Raw!$B$5:$AO$30, MATCH(P$1, Raw!$A$5:$A$30, 0), MATCH($C26, Raw!$B$3:$AO$3, 0))</f>
        <v>3979000000</v>
      </c>
      <c r="Q26" s="11">
        <f>INDEX(Raw!$B$5:$AO$30, MATCH(Q$1, Raw!$A$5:$A$30, 0), MATCH($C26, Raw!$B$3:$AO$3, 0))</f>
        <v>0</v>
      </c>
      <c r="R26" s="11">
        <f>INDEX(Raw!$B$5:$AO$30, MATCH(R$1, Raw!$A$5:$A$30, 0), MATCH($C26, Raw!$B$3:$AO$3, 0))</f>
        <v>3969</v>
      </c>
      <c r="S26" s="11">
        <f>INDEX(Raw!$B$5:$AO$30, MATCH(S$1, Raw!$A$5:$A$30, 0), MATCH($C26, Raw!$B$3:$AO$3, 0))</f>
        <v>6155000000</v>
      </c>
      <c r="T26" s="11">
        <f>INDEX(Raw!$B$5:$AO$30, MATCH(T$1, Raw!$A$5:$A$30, 0), MATCH($C26, Raw!$B$3:$AO$3, 0))</f>
        <v>5352000000</v>
      </c>
      <c r="U26" s="11">
        <f>INDEX(Raw!$B$5:$AO$30, MATCH(U$1, Raw!$A$5:$A$30, 0), MATCH($C26, Raw!$B$3:$AO$3, 0))</f>
        <v>4974000000</v>
      </c>
      <c r="V26" s="11">
        <f>INDEX(Raw!$B$5:$AO$30, MATCH(V$1, Raw!$A$5:$A$30, 0), MATCH($C26, Raw!$B$3:$AO$3, 0))</f>
        <v>4974000000</v>
      </c>
      <c r="W26" s="11">
        <f>INDEX(Raw!$B$5:$AO$30, MATCH(W$1, Raw!$A$5:$A$30, 0), MATCH($C26, Raw!$B$3:$AO$3, 0))</f>
        <v>0.8</v>
      </c>
      <c r="X26" s="11">
        <f>INDEX(Raw!$B$5:$AO$30, MATCH(X$1, Raw!$A$5:$A$30, 0), MATCH($C26, Raw!$B$3:$AO$3, 0))</f>
        <v>0.8</v>
      </c>
    </row>
    <row r="27" spans="1:24" x14ac:dyDescent="0.25">
      <c r="A27" s="11" t="s">
        <v>25</v>
      </c>
      <c r="B27" s="12">
        <f t="shared" ca="1" si="0"/>
        <v>46088</v>
      </c>
      <c r="C27" s="11">
        <v>2000</v>
      </c>
      <c r="D27" s="11">
        <f>INDEX(Raw!$B$5:$AO$30, MATCH(D$1, Raw!$A$5:$A$30, 0), MATCH($C27, Raw!$B$3:$AO$3, 0))</f>
        <v>17354000000</v>
      </c>
      <c r="E27" s="11">
        <f>INDEX(Raw!$B$5:$AO$30, MATCH(E$1, Raw!$A$5:$A$30, 0), MATCH($C27, Raw!$B$3:$AO$3, 0))</f>
        <v>6204000000</v>
      </c>
      <c r="F27" s="11">
        <f>INDEX(Raw!$B$5:$AO$30, MATCH(F$1, Raw!$A$5:$A$30, 0), MATCH($C27, Raw!$B$3:$AO$3, 0))</f>
        <v>11150000000</v>
      </c>
      <c r="G27" s="11">
        <f>INDEX(Raw!$B$5:$AO$30, MATCH(G$1, Raw!$A$5:$A$30, 0), MATCH($C27, Raw!$B$3:$AO$3, 0))</f>
        <v>6016000000</v>
      </c>
      <c r="H27" s="11">
        <f>INDEX(Raw!$B$5:$AO$30, MATCH(H$1, Raw!$A$5:$A$30, 0), MATCH($C27, Raw!$B$3:$AO$3, 0))</f>
        <v>-1443000000</v>
      </c>
      <c r="I27" s="11">
        <f>INDEX(Raw!$B$5:$AO$30, MATCH(I$1, Raw!$A$5:$A$30, 0), MATCH($C27, Raw!$B$3:$AO$3, 0))</f>
        <v>7459000000</v>
      </c>
      <c r="J27" s="11">
        <f>INDEX(Raw!$B$5:$AO$30, MATCH(J$1, Raw!$A$5:$A$30, 0), MATCH($C27, Raw!$B$3:$AO$3, 0))</f>
        <v>3691000000</v>
      </c>
      <c r="K27" s="11">
        <f>INDEX(Raw!$B$5:$AO$30, MATCH(K$1, Raw!$A$5:$A$30, 0), MATCH($C27, Raw!$B$3:$AO$3, 0))</f>
        <v>-292000000</v>
      </c>
      <c r="L27" s="11">
        <f>INDEX(Raw!$B$5:$AO$30, MATCH(L$1, Raw!$A$5:$A$30, 0), MATCH($C27, Raw!$B$3:$AO$3, 0))</f>
        <v>3399000000</v>
      </c>
      <c r="M27" s="11">
        <f>INDEX(Raw!$B$5:$AO$30, MATCH(M$1, Raw!$A$5:$A$30, 0), MATCH($C27, Raw!$B$3:$AO$3, 0))</f>
        <v>1222000000</v>
      </c>
      <c r="N27" s="11">
        <f>INDEX(Raw!$B$5:$AO$30, MATCH(N$1, Raw!$A$5:$A$30, 0), MATCH($C27, Raw!$B$3:$AO$3, 0))</f>
        <v>2177000000</v>
      </c>
      <c r="O27" s="11">
        <f>INDEX(Raw!$B$5:$AO$30, MATCH(O$1, Raw!$A$5:$A$30, 0), MATCH($C27, Raw!$B$3:$AO$3, 0))</f>
        <v>0</v>
      </c>
      <c r="P27" s="11">
        <f>INDEX(Raw!$B$5:$AO$30, MATCH(P$1, Raw!$A$5:$A$30, 0), MATCH($C27, Raw!$B$3:$AO$3, 0))</f>
        <v>2177000000</v>
      </c>
      <c r="Q27" s="11">
        <f>INDEX(Raw!$B$5:$AO$30, MATCH(Q$1, Raw!$A$5:$A$30, 0), MATCH($C27, Raw!$B$3:$AO$3, 0))</f>
        <v>0</v>
      </c>
      <c r="R27" s="11">
        <f>INDEX(Raw!$B$5:$AO$30, MATCH(R$1, Raw!$A$5:$A$30, 0), MATCH($C27, Raw!$B$3:$AO$3, 0))</f>
        <v>2177</v>
      </c>
      <c r="S27" s="11">
        <f>INDEX(Raw!$B$5:$AO$30, MATCH(S$1, Raw!$A$5:$A$30, 0), MATCH($C27, Raw!$B$3:$AO$3, 0))</f>
        <v>4464000000</v>
      </c>
      <c r="T27" s="11">
        <f>INDEX(Raw!$B$5:$AO$30, MATCH(T$1, Raw!$A$5:$A$30, 0), MATCH($C27, Raw!$B$3:$AO$3, 0))</f>
        <v>3691000000</v>
      </c>
      <c r="U27" s="11">
        <f>INDEX(Raw!$B$5:$AO$30, MATCH(U$1, Raw!$A$5:$A$30, 0), MATCH($C27, Raw!$B$3:$AO$3, 0))</f>
        <v>4954000000</v>
      </c>
      <c r="V27" s="11">
        <f>INDEX(Raw!$B$5:$AO$30, MATCH(V$1, Raw!$A$5:$A$30, 0), MATCH($C27, Raw!$B$3:$AO$3, 0))</f>
        <v>4974000000</v>
      </c>
      <c r="W27" s="11">
        <f>INDEX(Raw!$B$5:$AO$30, MATCH(W$1, Raw!$A$5:$A$30, 0), MATCH($C27, Raw!$B$3:$AO$3, 0))</f>
        <v>0.44</v>
      </c>
      <c r="X27" s="11">
        <f>INDEX(Raw!$B$5:$AO$30, MATCH(X$1, Raw!$A$5:$A$30, 0), MATCH($C27, Raw!$B$3:$AO$3, 0))</f>
        <v>0.44</v>
      </c>
    </row>
    <row r="28" spans="1:24" x14ac:dyDescent="0.25">
      <c r="A28" s="11" t="s">
        <v>25</v>
      </c>
      <c r="B28" s="12">
        <f t="shared" ca="1" si="0"/>
        <v>46088</v>
      </c>
      <c r="C28" s="11">
        <v>1999</v>
      </c>
      <c r="D28" s="11">
        <f>INDEX(Raw!$B$5:$AO$30, MATCH(D$1, Raw!$A$5:$A$30, 0), MATCH($C28, Raw!$B$3:$AO$3, 0))</f>
        <v>0</v>
      </c>
      <c r="E28" s="11">
        <f>INDEX(Raw!$B$5:$AO$30, MATCH(E$1, Raw!$A$5:$A$30, 0), MATCH($C28, Raw!$B$3:$AO$3, 0))</f>
        <v>0</v>
      </c>
      <c r="F28" s="11">
        <f>INDEX(Raw!$B$5:$AO$30, MATCH(F$1, Raw!$A$5:$A$30, 0), MATCH($C28, Raw!$B$3:$AO$3, 0))</f>
        <v>0</v>
      </c>
      <c r="G28" s="11">
        <f>INDEX(Raw!$B$5:$AO$30, MATCH(G$1, Raw!$A$5:$A$30, 0), MATCH($C28, Raw!$B$3:$AO$3, 0))</f>
        <v>0</v>
      </c>
      <c r="H28" s="11">
        <f>INDEX(Raw!$B$5:$AO$30, MATCH(H$1, Raw!$A$5:$A$30, 0), MATCH($C28, Raw!$B$3:$AO$3, 0))</f>
        <v>0</v>
      </c>
      <c r="I28" s="11">
        <f>INDEX(Raw!$B$5:$AO$30, MATCH(I$1, Raw!$A$5:$A$30, 0), MATCH($C28, Raw!$B$3:$AO$3, 0))</f>
        <v>0</v>
      </c>
      <c r="J28" s="11">
        <f>INDEX(Raw!$B$5:$AO$30, MATCH(J$1, Raw!$A$5:$A$30, 0), MATCH($C28, Raw!$B$3:$AO$3, 0))</f>
        <v>3982000000</v>
      </c>
      <c r="K28" s="11">
        <f>INDEX(Raw!$B$5:$AO$30, MATCH(K$1, Raw!$A$5:$A$30, 0), MATCH($C28, Raw!$B$3:$AO$3, 0))</f>
        <v>0</v>
      </c>
      <c r="L28" s="11">
        <f>INDEX(Raw!$B$5:$AO$30, MATCH(L$1, Raw!$A$5:$A$30, 0), MATCH($C28, Raw!$B$3:$AO$3, 0))</f>
        <v>0</v>
      </c>
      <c r="M28" s="11">
        <f>INDEX(Raw!$B$5:$AO$30, MATCH(M$1, Raw!$A$5:$A$30, 0), MATCH($C28, Raw!$B$3:$AO$3, 0))</f>
        <v>0</v>
      </c>
      <c r="N28" s="11">
        <f>INDEX(Raw!$B$5:$AO$30, MATCH(N$1, Raw!$A$5:$A$30, 0), MATCH($C28, Raw!$B$3:$AO$3, 0))</f>
        <v>0</v>
      </c>
      <c r="O28" s="11">
        <f>INDEX(Raw!$B$5:$AO$30, MATCH(O$1, Raw!$A$5:$A$30, 0), MATCH($C28, Raw!$B$3:$AO$3, 0))</f>
        <v>0</v>
      </c>
      <c r="P28" s="11">
        <f>INDEX(Raw!$B$5:$AO$30, MATCH(P$1, Raw!$A$5:$A$30, 0), MATCH($C28, Raw!$B$3:$AO$3, 0))</f>
        <v>0</v>
      </c>
      <c r="Q28" s="11">
        <f>INDEX(Raw!$B$5:$AO$30, MATCH(Q$1, Raw!$A$5:$A$30, 0), MATCH($C28, Raw!$B$3:$AO$3, 0))</f>
        <v>0</v>
      </c>
      <c r="R28" s="11">
        <f>INDEX(Raw!$B$5:$AO$30, MATCH(R$1, Raw!$A$5:$A$30, 0), MATCH($C28, Raw!$B$3:$AO$3, 0))</f>
        <v>0</v>
      </c>
      <c r="S28" s="11">
        <f>INDEX(Raw!$B$5:$AO$30, MATCH(S$1, Raw!$A$5:$A$30, 0), MATCH($C28, Raw!$B$3:$AO$3, 0))</f>
        <v>792000000</v>
      </c>
      <c r="T28" s="11">
        <f>INDEX(Raw!$B$5:$AO$30, MATCH(T$1, Raw!$A$5:$A$30, 0), MATCH($C28, Raw!$B$3:$AO$3, 0))</f>
        <v>0</v>
      </c>
      <c r="U28" s="11">
        <f>INDEX(Raw!$B$5:$AO$30, MATCH(U$1, Raw!$A$5:$A$30, 0), MATCH($C28, Raw!$B$3:$AO$3, 0))</f>
        <v>0</v>
      </c>
      <c r="V28" s="11">
        <f>INDEX(Raw!$B$5:$AO$30, MATCH(V$1, Raw!$A$5:$A$30, 0), MATCH($C28, Raw!$B$3:$AO$3, 0))</f>
        <v>0</v>
      </c>
      <c r="W28" s="11">
        <f>INDEX(Raw!$B$5:$AO$30, MATCH(W$1, Raw!$A$5:$A$30, 0), MATCH($C28, Raw!$B$3:$AO$3, 0))</f>
        <v>0</v>
      </c>
      <c r="X28" s="11">
        <f>INDEX(Raw!$B$5:$AO$30, MATCH(X$1, Raw!$A$5:$A$30, 0), MATCH($C28, Raw!$B$3:$AO$3, 0))</f>
        <v>0</v>
      </c>
    </row>
    <row r="29" spans="1:24" x14ac:dyDescent="0.25">
      <c r="A29" s="11" t="s">
        <v>25</v>
      </c>
      <c r="B29" s="12">
        <f t="shared" ca="1" si="0"/>
        <v>46088</v>
      </c>
      <c r="C29" s="11">
        <v>1998</v>
      </c>
      <c r="D29" s="11">
        <f>INDEX(Raw!$B$5:$AO$30, MATCH(D$1, Raw!$A$5:$A$30, 0), MATCH($C29, Raw!$B$3:$AO$3, 0))</f>
        <v>18813000000</v>
      </c>
      <c r="E29" s="11">
        <f>INDEX(Raw!$B$5:$AO$30, MATCH(E$1, Raw!$A$5:$A$30, 0), MATCH($C29, Raw!$B$3:$AO$3, 0))</f>
        <v>5562000000</v>
      </c>
      <c r="F29" s="11">
        <f>INDEX(Raw!$B$5:$AO$30, MATCH(F$1, Raw!$A$5:$A$30, 0), MATCH($C29, Raw!$B$3:$AO$3, 0))</f>
        <v>13251000000</v>
      </c>
      <c r="G29" s="11">
        <f>INDEX(Raw!$B$5:$AO$30, MATCH(G$1, Raw!$A$5:$A$30, 0), MATCH($C29, Raw!$B$3:$AO$3, 0))</f>
        <v>8284000000</v>
      </c>
      <c r="H29" s="11">
        <f>INDEX(Raw!$B$5:$AO$30, MATCH(H$1, Raw!$A$5:$A$30, 0), MATCH($C29, Raw!$B$3:$AO$3, 0))</f>
        <v>0</v>
      </c>
      <c r="I29" s="11">
        <f>INDEX(Raw!$B$5:$AO$30, MATCH(I$1, Raw!$A$5:$A$30, 0), MATCH($C29, Raw!$B$3:$AO$3, 0))</f>
        <v>8284000000</v>
      </c>
      <c r="J29" s="11">
        <f>INDEX(Raw!$B$5:$AO$30, MATCH(J$1, Raw!$A$5:$A$30, 0), MATCH($C29, Raw!$B$3:$AO$3, 0))</f>
        <v>4967000000</v>
      </c>
      <c r="K29" s="11">
        <f>INDEX(Raw!$B$5:$AO$30, MATCH(K$1, Raw!$A$5:$A$30, 0), MATCH($C29, Raw!$B$3:$AO$3, 0))</f>
        <v>231000000</v>
      </c>
      <c r="L29" s="11">
        <f>INDEX(Raw!$B$5:$AO$30, MATCH(L$1, Raw!$A$5:$A$30, 0), MATCH($C29, Raw!$B$3:$AO$3, 0))</f>
        <v>5198000000</v>
      </c>
      <c r="M29" s="11">
        <f>INDEX(Raw!$B$5:$AO$30, MATCH(M$1, Raw!$A$5:$A$30, 0), MATCH($C29, Raw!$B$3:$AO$3, 0))</f>
        <v>1665000000</v>
      </c>
      <c r="N29" s="11">
        <f>INDEX(Raw!$B$5:$AO$30, MATCH(N$1, Raw!$A$5:$A$30, 0), MATCH($C29, Raw!$B$3:$AO$3, 0))</f>
        <v>3533000000</v>
      </c>
      <c r="O29" s="11">
        <f>INDEX(Raw!$B$5:$AO$30, MATCH(O$1, Raw!$A$5:$A$30, 0), MATCH($C29, Raw!$B$3:$AO$3, 0))</f>
        <v>0</v>
      </c>
      <c r="P29" s="11">
        <f>INDEX(Raw!$B$5:$AO$30, MATCH(P$1, Raw!$A$5:$A$30, 0), MATCH($C29, Raw!$B$3:$AO$3, 0))</f>
        <v>3483670000</v>
      </c>
      <c r="Q29" s="11">
        <f>INDEX(Raw!$B$5:$AO$30, MATCH(Q$1, Raw!$A$5:$A$30, 0), MATCH($C29, Raw!$B$3:$AO$3, 0))</f>
        <v>0</v>
      </c>
      <c r="R29" s="11">
        <f>INDEX(Raw!$B$5:$AO$30, MATCH(R$1, Raw!$A$5:$A$30, 0), MATCH($C29, Raw!$B$3:$AO$3, 0))</f>
        <v>3533</v>
      </c>
      <c r="S29" s="11">
        <f>INDEX(Raw!$B$5:$AO$30, MATCH(S$1, Raw!$A$5:$A$30, 0), MATCH($C29, Raw!$B$3:$AO$3, 0))</f>
        <v>5612000000</v>
      </c>
      <c r="T29" s="11">
        <f>INDEX(Raw!$B$5:$AO$30, MATCH(T$1, Raw!$A$5:$A$30, 0), MATCH($C29, Raw!$B$3:$AO$3, 0))</f>
        <v>4967000000</v>
      </c>
      <c r="U29" s="11">
        <f>INDEX(Raw!$B$5:$AO$30, MATCH(U$1, Raw!$A$5:$A$30, 0), MATCH($C29, Raw!$B$3:$AO$3, 0))</f>
        <v>4934000000</v>
      </c>
      <c r="V29" s="11">
        <f>INDEX(Raw!$B$5:$AO$30, MATCH(V$1, Raw!$A$5:$A$30, 0), MATCH($C29, Raw!$B$3:$AO$3, 0))</f>
        <v>4992000000</v>
      </c>
      <c r="W29" s="11">
        <f>INDEX(Raw!$B$5:$AO$30, MATCH(W$1, Raw!$A$5:$A$30, 0), MATCH($C29, Raw!$B$3:$AO$3, 0))</f>
        <v>0.71499999999999997</v>
      </c>
      <c r="X29" s="11">
        <f>INDEX(Raw!$B$5:$AO$30, MATCH(X$1, Raw!$A$5:$A$30, 0), MATCH($C29, Raw!$B$3:$AO$3, 0))</f>
        <v>0.71</v>
      </c>
    </row>
    <row r="30" spans="1:24" x14ac:dyDescent="0.25">
      <c r="A30" s="11" t="s">
        <v>25</v>
      </c>
      <c r="B30" s="12">
        <f t="shared" ca="1" si="0"/>
        <v>46088</v>
      </c>
      <c r="C30" s="11">
        <v>1997</v>
      </c>
      <c r="D30" s="11">
        <f>INDEX(Raw!$B$5:$AO$30, MATCH(D$1, Raw!$A$5:$A$30, 0), MATCH($C30, Raw!$B$3:$AO$3, 0))</f>
        <v>18868000000</v>
      </c>
      <c r="E30" s="11">
        <f>INDEX(Raw!$B$5:$AO$30, MATCH(E$1, Raw!$A$5:$A$30, 0), MATCH($C30, Raw!$B$3:$AO$3, 0))</f>
        <v>6015000000</v>
      </c>
      <c r="F30" s="11">
        <f>INDEX(Raw!$B$5:$AO$30, MATCH(F$1, Raw!$A$5:$A$30, 0), MATCH($C30, Raw!$B$3:$AO$3, 0))</f>
        <v>12853000000</v>
      </c>
      <c r="G30" s="11">
        <f>INDEX(Raw!$B$5:$AO$30, MATCH(G$1, Raw!$A$5:$A$30, 0), MATCH($C30, Raw!$B$3:$AO$3, 0))</f>
        <v>7852000000</v>
      </c>
      <c r="H30" s="11">
        <f>INDEX(Raw!$B$5:$AO$30, MATCH(H$1, Raw!$A$5:$A$30, 0), MATCH($C30, Raw!$B$3:$AO$3, 0))</f>
        <v>0</v>
      </c>
      <c r="I30" s="11">
        <f>INDEX(Raw!$B$5:$AO$30, MATCH(I$1, Raw!$A$5:$A$30, 0), MATCH($C30, Raw!$B$3:$AO$3, 0))</f>
        <v>7852000000</v>
      </c>
      <c r="J30" s="11">
        <f>INDEX(Raw!$B$5:$AO$30, MATCH(J$1, Raw!$A$5:$A$30, 0), MATCH($C30, Raw!$B$3:$AO$3, 0))</f>
        <v>5001000000</v>
      </c>
      <c r="K30" s="11">
        <f>INDEX(Raw!$B$5:$AO$30, MATCH(K$1, Raw!$A$5:$A$30, 0), MATCH($C30, Raw!$B$3:$AO$3, 0))</f>
        <v>1054000000</v>
      </c>
      <c r="L30" s="11">
        <f>INDEX(Raw!$B$5:$AO$30, MATCH(L$1, Raw!$A$5:$A$30, 0), MATCH($C30, Raw!$B$3:$AO$3, 0))</f>
        <v>6055000000</v>
      </c>
      <c r="M30" s="11">
        <f>INDEX(Raw!$B$5:$AO$30, MATCH(M$1, Raw!$A$5:$A$30, 0), MATCH($C30, Raw!$B$3:$AO$3, 0))</f>
        <v>1926000000</v>
      </c>
      <c r="N30" s="11">
        <f>INDEX(Raw!$B$5:$AO$30, MATCH(N$1, Raw!$A$5:$A$30, 0), MATCH($C30, Raw!$B$3:$AO$3, 0))</f>
        <v>4129000000</v>
      </c>
      <c r="O30" s="11">
        <f>INDEX(Raw!$B$5:$AO$30, MATCH(O$1, Raw!$A$5:$A$30, 0), MATCH($C30, Raw!$B$3:$AO$3, 0))</f>
        <v>0</v>
      </c>
      <c r="P30" s="11">
        <f>INDEX(Raw!$B$5:$AO$30, MATCH(P$1, Raw!$A$5:$A$30, 0), MATCH($C30, Raw!$B$3:$AO$3, 0))</f>
        <v>4129000000</v>
      </c>
      <c r="Q30" s="11">
        <f>INDEX(Raw!$B$5:$AO$30, MATCH(Q$1, Raw!$A$5:$A$30, 0), MATCH($C30, Raw!$B$3:$AO$3, 0))</f>
        <v>0</v>
      </c>
      <c r="R30" s="11">
        <f>INDEX(Raw!$B$5:$AO$30, MATCH(R$1, Raw!$A$5:$A$30, 0), MATCH($C30, Raw!$B$3:$AO$3, 0))</f>
        <v>4129</v>
      </c>
      <c r="S30" s="11">
        <f>INDEX(Raw!$B$5:$AO$30, MATCH(S$1, Raw!$A$5:$A$30, 0), MATCH($C30, Raw!$B$3:$AO$3, 0))</f>
        <v>5627000000</v>
      </c>
      <c r="T30" s="11">
        <f>INDEX(Raw!$B$5:$AO$30, MATCH(T$1, Raw!$A$5:$A$30, 0), MATCH($C30, Raw!$B$3:$AO$3, 0))</f>
        <v>5001000000</v>
      </c>
      <c r="U30" s="11">
        <f>INDEX(Raw!$B$5:$AO$30, MATCH(U$1, Raw!$A$5:$A$30, 0), MATCH($C30, Raw!$B$3:$AO$3, 0))</f>
        <v>4954000000</v>
      </c>
      <c r="V30" s="11">
        <f>INDEX(Raw!$B$5:$AO$30, MATCH(V$1, Raw!$A$5:$A$30, 0), MATCH($C30, Raw!$B$3:$AO$3, 0))</f>
        <v>5030000000</v>
      </c>
      <c r="W30" s="11">
        <f>INDEX(Raw!$B$5:$AO$30, MATCH(W$1, Raw!$A$5:$A$30, 0), MATCH($C30, Raw!$B$3:$AO$3, 0))</f>
        <v>0.83499999999999996</v>
      </c>
      <c r="X30" s="11">
        <f>INDEX(Raw!$B$5:$AO$30, MATCH(X$1, Raw!$A$5:$A$30, 0), MATCH($C30, Raw!$B$3:$AO$3, 0))</f>
        <v>0.82</v>
      </c>
    </row>
    <row r="31" spans="1:24" x14ac:dyDescent="0.25">
      <c r="A31" s="11" t="s">
        <v>25</v>
      </c>
      <c r="B31" s="12">
        <f t="shared" ca="1" si="0"/>
        <v>46088</v>
      </c>
      <c r="C31" s="11">
        <v>1996</v>
      </c>
      <c r="D31" s="11">
        <f>INDEX(Raw!$B$5:$AO$30, MATCH(D$1, Raw!$A$5:$A$30, 0), MATCH($C31, Raw!$B$3:$AO$3, 0))</f>
        <v>18546000000</v>
      </c>
      <c r="E31" s="11">
        <f>INDEX(Raw!$B$5:$AO$30, MATCH(E$1, Raw!$A$5:$A$30, 0), MATCH($C31, Raw!$B$3:$AO$3, 0))</f>
        <v>6738000000</v>
      </c>
      <c r="F31" s="11">
        <f>INDEX(Raw!$B$5:$AO$30, MATCH(F$1, Raw!$A$5:$A$30, 0), MATCH($C31, Raw!$B$3:$AO$3, 0))</f>
        <v>11808000000</v>
      </c>
      <c r="G31" s="11">
        <f>INDEX(Raw!$B$5:$AO$30, MATCH(G$1, Raw!$A$5:$A$30, 0), MATCH($C31, Raw!$B$3:$AO$3, 0))</f>
        <v>7893000000</v>
      </c>
      <c r="H31" s="11">
        <f>INDEX(Raw!$B$5:$AO$30, MATCH(H$1, Raw!$A$5:$A$30, 0), MATCH($C31, Raw!$B$3:$AO$3, 0))</f>
        <v>0</v>
      </c>
      <c r="I31" s="11">
        <f>INDEX(Raw!$B$5:$AO$30, MATCH(I$1, Raw!$A$5:$A$30, 0), MATCH($C31, Raw!$B$3:$AO$3, 0))</f>
        <v>7893000000</v>
      </c>
      <c r="J31" s="11">
        <f>INDEX(Raw!$B$5:$AO$30, MATCH(J$1, Raw!$A$5:$A$30, 0), MATCH($C31, Raw!$B$3:$AO$3, 0))</f>
        <v>3915000000</v>
      </c>
      <c r="K31" s="11">
        <f>INDEX(Raw!$B$5:$AO$30, MATCH(K$1, Raw!$A$5:$A$30, 0), MATCH($C31, Raw!$B$3:$AO$3, 0))</f>
        <v>681000000</v>
      </c>
      <c r="L31" s="11">
        <f>INDEX(Raw!$B$5:$AO$30, MATCH(L$1, Raw!$A$5:$A$30, 0), MATCH($C31, Raw!$B$3:$AO$3, 0))</f>
        <v>4596000000</v>
      </c>
      <c r="M31" s="11">
        <f>INDEX(Raw!$B$5:$AO$30, MATCH(M$1, Raw!$A$5:$A$30, 0), MATCH($C31, Raw!$B$3:$AO$3, 0))</f>
        <v>1104000000</v>
      </c>
      <c r="N31" s="11">
        <f>INDEX(Raw!$B$5:$AO$30, MATCH(N$1, Raw!$A$5:$A$30, 0), MATCH($C31, Raw!$B$3:$AO$3, 0))</f>
        <v>3492000000</v>
      </c>
      <c r="O31" s="11">
        <f>INDEX(Raw!$B$5:$AO$30, MATCH(O$1, Raw!$A$5:$A$30, 0), MATCH($C31, Raw!$B$3:$AO$3, 0))</f>
        <v>0</v>
      </c>
      <c r="P31" s="11">
        <f>INDEX(Raw!$B$5:$AO$30, MATCH(P$1, Raw!$A$5:$A$30, 0), MATCH($C31, Raw!$B$3:$AO$3, 0))</f>
        <v>3492000000</v>
      </c>
      <c r="Q31" s="11">
        <f>INDEX(Raw!$B$5:$AO$30, MATCH(Q$1, Raw!$A$5:$A$30, 0), MATCH($C31, Raw!$B$3:$AO$3, 0))</f>
        <v>0</v>
      </c>
      <c r="R31" s="11">
        <f>INDEX(Raw!$B$5:$AO$30, MATCH(R$1, Raw!$A$5:$A$30, 0), MATCH($C31, Raw!$B$3:$AO$3, 0))</f>
        <v>3492</v>
      </c>
      <c r="S31" s="11">
        <f>INDEX(Raw!$B$5:$AO$30, MATCH(S$1, Raw!$A$5:$A$30, 0), MATCH($C31, Raw!$B$3:$AO$3, 0))</f>
        <v>4394000000</v>
      </c>
      <c r="T31" s="11">
        <f>INDEX(Raw!$B$5:$AO$30, MATCH(T$1, Raw!$A$5:$A$30, 0), MATCH($C31, Raw!$B$3:$AO$3, 0))</f>
        <v>3915000000</v>
      </c>
      <c r="U31" s="11">
        <f>INDEX(Raw!$B$5:$AO$30, MATCH(U$1, Raw!$A$5:$A$30, 0), MATCH($C31, Raw!$B$3:$AO$3, 0))</f>
        <v>4988000000</v>
      </c>
      <c r="V31" s="11">
        <f>INDEX(Raw!$B$5:$AO$30, MATCH(V$1, Raw!$A$5:$A$30, 0), MATCH($C31, Raw!$B$3:$AO$3, 0))</f>
        <v>4988000000</v>
      </c>
      <c r="W31" s="11">
        <f>INDEX(Raw!$B$5:$AO$30, MATCH(W$1, Raw!$A$5:$A$30, 0), MATCH($C31, Raw!$B$3:$AO$3, 0))</f>
        <v>0.7</v>
      </c>
      <c r="X31" s="11">
        <f>INDEX(Raw!$B$5:$AO$30, MATCH(X$1, Raw!$A$5:$A$30, 0), MATCH($C31, Raw!$B$3:$AO$3, 0))</f>
        <v>0.7</v>
      </c>
    </row>
    <row r="32" spans="1:24" x14ac:dyDescent="0.25">
      <c r="A32" s="11" t="s">
        <v>25</v>
      </c>
      <c r="B32" s="12">
        <f t="shared" ca="1" si="0"/>
        <v>46088</v>
      </c>
      <c r="C32" s="11">
        <v>1995</v>
      </c>
      <c r="D32" s="11">
        <f>INDEX(Raw!$B$5:$AO$30, MATCH(D$1, Raw!$A$5:$A$30, 0), MATCH($C32, Raw!$B$3:$AO$3, 0))</f>
        <v>18018000000</v>
      </c>
      <c r="E32" s="11">
        <f>INDEX(Raw!$B$5:$AO$30, MATCH(E$1, Raw!$A$5:$A$30, 0), MATCH($C32, Raw!$B$3:$AO$3, 0))</f>
        <v>6940000000</v>
      </c>
      <c r="F32" s="11">
        <f>INDEX(Raw!$B$5:$AO$30, MATCH(F$1, Raw!$A$5:$A$30, 0), MATCH($C32, Raw!$B$3:$AO$3, 0))</f>
        <v>11078000000</v>
      </c>
      <c r="G32" s="11">
        <f>INDEX(Raw!$B$5:$AO$30, MATCH(G$1, Raw!$A$5:$A$30, 0), MATCH($C32, Raw!$B$3:$AO$3, 0))</f>
        <v>6986000000</v>
      </c>
      <c r="H32" s="11">
        <f>INDEX(Raw!$B$5:$AO$30, MATCH(H$1, Raw!$A$5:$A$30, 0), MATCH($C32, Raw!$B$3:$AO$3, 0))</f>
        <v>0</v>
      </c>
      <c r="I32" s="11">
        <f>INDEX(Raw!$B$5:$AO$30, MATCH(I$1, Raw!$A$5:$A$30, 0), MATCH($C32, Raw!$B$3:$AO$3, 0))</f>
        <v>6986000000</v>
      </c>
      <c r="J32" s="11">
        <f>INDEX(Raw!$B$5:$AO$30, MATCH(J$1, Raw!$A$5:$A$30, 0), MATCH($C32, Raw!$B$3:$AO$3, 0))</f>
        <v>4092000000</v>
      </c>
      <c r="K32" s="11">
        <f>INDEX(Raw!$B$5:$AO$30, MATCH(K$1, Raw!$A$5:$A$30, 0), MATCH($C32, Raw!$B$3:$AO$3, 0))</f>
        <v>236000000</v>
      </c>
      <c r="L32" s="11">
        <f>INDEX(Raw!$B$5:$AO$30, MATCH(L$1, Raw!$A$5:$A$30, 0), MATCH($C32, Raw!$B$3:$AO$3, 0))</f>
        <v>4328000000</v>
      </c>
      <c r="M32" s="11">
        <f>INDEX(Raw!$B$5:$AO$30, MATCH(M$1, Raw!$A$5:$A$30, 0), MATCH($C32, Raw!$B$3:$AO$3, 0))</f>
        <v>1342000000</v>
      </c>
      <c r="N32" s="11">
        <f>INDEX(Raw!$B$5:$AO$30, MATCH(N$1, Raw!$A$5:$A$30, 0), MATCH($C32, Raw!$B$3:$AO$3, 0))</f>
        <v>2986000000</v>
      </c>
      <c r="O32" s="11">
        <f>INDEX(Raw!$B$5:$AO$30, MATCH(O$1, Raw!$A$5:$A$30, 0), MATCH($C32, Raw!$B$3:$AO$3, 0))</f>
        <v>0</v>
      </c>
      <c r="P32" s="11">
        <f>INDEX(Raw!$B$5:$AO$30, MATCH(P$1, Raw!$A$5:$A$30, 0), MATCH($C32, Raw!$B$3:$AO$3, 0))</f>
        <v>3001600000</v>
      </c>
      <c r="Q32" s="11">
        <f>INDEX(Raw!$B$5:$AO$30, MATCH(Q$1, Raw!$A$5:$A$30, 0), MATCH($C32, Raw!$B$3:$AO$3, 0))</f>
        <v>0</v>
      </c>
      <c r="R32" s="11">
        <f>INDEX(Raw!$B$5:$AO$30, MATCH(R$1, Raw!$A$5:$A$30, 0), MATCH($C32, Raw!$B$3:$AO$3, 0))</f>
        <v>2986</v>
      </c>
      <c r="S32" s="11">
        <f>INDEX(Raw!$B$5:$AO$30, MATCH(S$1, Raw!$A$5:$A$30, 0), MATCH($C32, Raw!$B$3:$AO$3, 0))</f>
        <v>4546000000</v>
      </c>
      <c r="T32" s="11">
        <f>INDEX(Raw!$B$5:$AO$30, MATCH(T$1, Raw!$A$5:$A$30, 0), MATCH($C32, Raw!$B$3:$AO$3, 0))</f>
        <v>4092000000</v>
      </c>
      <c r="U32" s="11">
        <f>INDEX(Raw!$B$5:$AO$30, MATCH(U$1, Raw!$A$5:$A$30, 0), MATCH($C32, Raw!$B$3:$AO$3, 0))</f>
        <v>5049000000</v>
      </c>
      <c r="V32" s="11">
        <f>INDEX(Raw!$B$5:$AO$30, MATCH(V$1, Raw!$A$5:$A$30, 0), MATCH($C32, Raw!$B$3:$AO$3, 0))</f>
        <v>5049000000</v>
      </c>
      <c r="W32" s="11">
        <f>INDEX(Raw!$B$5:$AO$30, MATCH(W$1, Raw!$A$5:$A$30, 0), MATCH($C32, Raw!$B$3:$AO$3, 0))</f>
        <v>0.59250000000000003</v>
      </c>
      <c r="X32" s="11">
        <f>INDEX(Raw!$B$5:$AO$30, MATCH(X$1, Raw!$A$5:$A$30, 0), MATCH($C32, Raw!$B$3:$AO$3, 0))</f>
        <v>0.59250000000000003</v>
      </c>
    </row>
    <row r="33" spans="1:24" x14ac:dyDescent="0.25">
      <c r="A33" s="11" t="s">
        <v>25</v>
      </c>
      <c r="B33" s="12">
        <f t="shared" ca="1" si="0"/>
        <v>46088</v>
      </c>
      <c r="C33" s="11">
        <v>1994</v>
      </c>
      <c r="D33" s="11">
        <f>INDEX(Raw!$B$5:$AO$30, MATCH(D$1, Raw!$A$5:$A$30, 0), MATCH($C33, Raw!$B$3:$AO$3, 0))</f>
        <v>16172000000</v>
      </c>
      <c r="E33" s="11">
        <f>INDEX(Raw!$B$5:$AO$30, MATCH(E$1, Raw!$A$5:$A$30, 0), MATCH($C33, Raw!$B$3:$AO$3, 0))</f>
        <v>6167000000</v>
      </c>
      <c r="F33" s="11">
        <f>INDEX(Raw!$B$5:$AO$30, MATCH(F$1, Raw!$A$5:$A$30, 0), MATCH($C33, Raw!$B$3:$AO$3, 0))</f>
        <v>10005000000</v>
      </c>
      <c r="G33" s="11">
        <f>INDEX(Raw!$B$5:$AO$30, MATCH(G$1, Raw!$A$5:$A$30, 0), MATCH($C33, Raw!$B$3:$AO$3, 0))</f>
        <v>6297000000</v>
      </c>
      <c r="H33" s="11">
        <f>INDEX(Raw!$B$5:$AO$30, MATCH(H$1, Raw!$A$5:$A$30, 0), MATCH($C33, Raw!$B$3:$AO$3, 0))</f>
        <v>0</v>
      </c>
      <c r="I33" s="11">
        <f>INDEX(Raw!$B$5:$AO$30, MATCH(I$1, Raw!$A$5:$A$30, 0), MATCH($C33, Raw!$B$3:$AO$3, 0))</f>
        <v>6297000000</v>
      </c>
      <c r="J33" s="11">
        <f>INDEX(Raw!$B$5:$AO$30, MATCH(J$1, Raw!$A$5:$A$30, 0), MATCH($C33, Raw!$B$3:$AO$3, 0))</f>
        <v>3708000000</v>
      </c>
      <c r="K33" s="11">
        <f>INDEX(Raw!$B$5:$AO$30, MATCH(K$1, Raw!$A$5:$A$30, 0), MATCH($C33, Raw!$B$3:$AO$3, 0))</f>
        <v>20000000</v>
      </c>
      <c r="L33" s="11">
        <f>INDEX(Raw!$B$5:$AO$30, MATCH(L$1, Raw!$A$5:$A$30, 0), MATCH($C33, Raw!$B$3:$AO$3, 0))</f>
        <v>3728000000</v>
      </c>
      <c r="M33" s="11">
        <f>INDEX(Raw!$B$5:$AO$30, MATCH(M$1, Raw!$A$5:$A$30, 0), MATCH($C33, Raw!$B$3:$AO$3, 0))</f>
        <v>1174000000</v>
      </c>
      <c r="N33" s="11">
        <f>INDEX(Raw!$B$5:$AO$30, MATCH(N$1, Raw!$A$5:$A$30, 0), MATCH($C33, Raw!$B$3:$AO$3, 0))</f>
        <v>2554000000</v>
      </c>
      <c r="O33" s="11">
        <f>INDEX(Raw!$B$5:$AO$30, MATCH(O$1, Raw!$A$5:$A$30, 0), MATCH($C33, Raw!$B$3:$AO$3, 0))</f>
        <v>0</v>
      </c>
      <c r="P33" s="11">
        <f>INDEX(Raw!$B$5:$AO$30, MATCH(P$1, Raw!$A$5:$A$30, 0), MATCH($C33, Raw!$B$3:$AO$3, 0))</f>
        <v>2554000000</v>
      </c>
      <c r="Q33" s="11">
        <f>INDEX(Raw!$B$5:$AO$30, MATCH(Q$1, Raw!$A$5:$A$30, 0), MATCH($C33, Raw!$B$3:$AO$3, 0))</f>
        <v>0</v>
      </c>
      <c r="R33" s="11">
        <f>INDEX(Raw!$B$5:$AO$30, MATCH(R$1, Raw!$A$5:$A$30, 0), MATCH($C33, Raw!$B$3:$AO$3, 0))</f>
        <v>2554</v>
      </c>
      <c r="S33" s="11">
        <f>INDEX(Raw!$B$5:$AO$30, MATCH(S$1, Raw!$A$5:$A$30, 0), MATCH($C33, Raw!$B$3:$AO$3, 0))</f>
        <v>4119000000</v>
      </c>
      <c r="T33" s="11">
        <f>INDEX(Raw!$B$5:$AO$30, MATCH(T$1, Raw!$A$5:$A$30, 0), MATCH($C33, Raw!$B$3:$AO$3, 0))</f>
        <v>3708000000</v>
      </c>
      <c r="U33" s="11">
        <f>INDEX(Raw!$B$5:$AO$30, MATCH(U$1, Raw!$A$5:$A$30, 0), MATCH($C33, Raw!$B$3:$AO$3, 0))</f>
        <v>5160000000</v>
      </c>
      <c r="V33" s="11">
        <f>INDEX(Raw!$B$5:$AO$30, MATCH(V$1, Raw!$A$5:$A$30, 0), MATCH($C33, Raw!$B$3:$AO$3, 0))</f>
        <v>5160000000</v>
      </c>
      <c r="W33" s="11">
        <f>INDEX(Raw!$B$5:$AO$30, MATCH(W$1, Raw!$A$5:$A$30, 0), MATCH($C33, Raw!$B$3:$AO$3, 0))</f>
        <v>0.495</v>
      </c>
      <c r="X33" s="11">
        <f>INDEX(Raw!$B$5:$AO$30, MATCH(X$1, Raw!$A$5:$A$30, 0), MATCH($C33, Raw!$B$3:$AO$3, 0))</f>
        <v>0.495</v>
      </c>
    </row>
    <row r="34" spans="1:24" x14ac:dyDescent="0.25">
      <c r="A34" s="11" t="s">
        <v>25</v>
      </c>
      <c r="B34" s="12">
        <f t="shared" ca="1" si="0"/>
        <v>46088</v>
      </c>
      <c r="C34" s="11">
        <v>1993</v>
      </c>
      <c r="D34" s="11">
        <f>INDEX(Raw!$B$5:$AO$30, MATCH(D$1, Raw!$A$5:$A$30, 0), MATCH($C34, Raw!$B$3:$AO$3, 0))</f>
        <v>13957000000</v>
      </c>
      <c r="E34" s="11">
        <f>INDEX(Raw!$B$5:$AO$30, MATCH(E$1, Raw!$A$5:$A$30, 0), MATCH($C34, Raw!$B$3:$AO$3, 0))</f>
        <v>5160000000</v>
      </c>
      <c r="F34" s="11">
        <f>INDEX(Raw!$B$5:$AO$30, MATCH(F$1, Raw!$A$5:$A$30, 0), MATCH($C34, Raw!$B$3:$AO$3, 0))</f>
        <v>8797000000</v>
      </c>
      <c r="G34" s="11">
        <f>INDEX(Raw!$B$5:$AO$30, MATCH(G$1, Raw!$A$5:$A$30, 0), MATCH($C34, Raw!$B$3:$AO$3, 0))</f>
        <v>5695000000</v>
      </c>
      <c r="H34" s="11">
        <f>INDEX(Raw!$B$5:$AO$30, MATCH(H$1, Raw!$A$5:$A$30, 0), MATCH($C34, Raw!$B$3:$AO$3, 0))</f>
        <v>0</v>
      </c>
      <c r="I34" s="11">
        <f>INDEX(Raw!$B$5:$AO$30, MATCH(I$1, Raw!$A$5:$A$30, 0), MATCH($C34, Raw!$B$3:$AO$3, 0))</f>
        <v>5695000000</v>
      </c>
      <c r="J34" s="11">
        <f>INDEX(Raw!$B$5:$AO$30, MATCH(J$1, Raw!$A$5:$A$30, 0), MATCH($C34, Raw!$B$3:$AO$3, 0))</f>
        <v>3102000000</v>
      </c>
      <c r="K34" s="11">
        <f>INDEX(Raw!$B$5:$AO$30, MATCH(K$1, Raw!$A$5:$A$30, 0), MATCH($C34, Raw!$B$3:$AO$3, 0))</f>
        <v>83000000</v>
      </c>
      <c r="L34" s="11">
        <f>INDEX(Raw!$B$5:$AO$30, MATCH(L$1, Raw!$A$5:$A$30, 0), MATCH($C34, Raw!$B$3:$AO$3, 0))</f>
        <v>3185000000</v>
      </c>
      <c r="M34" s="11">
        <f>INDEX(Raw!$B$5:$AO$30, MATCH(M$1, Raw!$A$5:$A$30, 0), MATCH($C34, Raw!$B$3:$AO$3, 0))</f>
        <v>997000000</v>
      </c>
      <c r="N34" s="11">
        <f>INDEX(Raw!$B$5:$AO$30, MATCH(N$1, Raw!$A$5:$A$30, 0), MATCH($C34, Raw!$B$3:$AO$3, 0))</f>
        <v>2188000000</v>
      </c>
      <c r="O34" s="11">
        <f>INDEX(Raw!$B$5:$AO$30, MATCH(O$1, Raw!$A$5:$A$30, 0), MATCH($C34, Raw!$B$3:$AO$3, 0))</f>
        <v>0</v>
      </c>
      <c r="P34" s="11">
        <f>INDEX(Raw!$B$5:$AO$30, MATCH(P$1, Raw!$A$5:$A$30, 0), MATCH($C34, Raw!$B$3:$AO$3, 0))</f>
        <v>2232000000</v>
      </c>
      <c r="Q34" s="11">
        <f>INDEX(Raw!$B$5:$AO$30, MATCH(Q$1, Raw!$A$5:$A$30, 0), MATCH($C34, Raw!$B$3:$AO$3, 0))</f>
        <v>-12000000</v>
      </c>
      <c r="R34" s="11">
        <f>INDEX(Raw!$B$5:$AO$30, MATCH(R$1, Raw!$A$5:$A$30, 0), MATCH($C34, Raw!$B$3:$AO$3, 0))</f>
        <v>2176</v>
      </c>
      <c r="S34" s="11">
        <f>INDEX(Raw!$B$5:$AO$30, MATCH(S$1, Raw!$A$5:$A$30, 0), MATCH($C34, Raw!$B$3:$AO$3, 0))</f>
        <v>3462000000</v>
      </c>
      <c r="T34" s="11">
        <f>INDEX(Raw!$B$5:$AO$30, MATCH(T$1, Raw!$A$5:$A$30, 0), MATCH($C34, Raw!$B$3:$AO$3, 0))</f>
        <v>3102000000</v>
      </c>
      <c r="U34" s="11">
        <f>INDEX(Raw!$B$5:$AO$30, MATCH(U$1, Raw!$A$5:$A$30, 0), MATCH($C34, Raw!$B$3:$AO$3, 0))</f>
        <v>5208000000</v>
      </c>
      <c r="V34" s="11">
        <f>INDEX(Raw!$B$5:$AO$30, MATCH(V$1, Raw!$A$5:$A$30, 0), MATCH($C34, Raw!$B$3:$AO$3, 0))</f>
        <v>5208000000</v>
      </c>
      <c r="W34" s="11">
        <f>INDEX(Raw!$B$5:$AO$30, MATCH(W$1, Raw!$A$5:$A$30, 0), MATCH($C34, Raw!$B$3:$AO$3, 0))</f>
        <v>0.41749999999999998</v>
      </c>
      <c r="X34" s="11">
        <f>INDEX(Raw!$B$5:$AO$30, MATCH(X$1, Raw!$A$5:$A$30, 0), MATCH($C34, Raw!$B$3:$AO$3, 0))</f>
        <v>0.41749999999999998</v>
      </c>
    </row>
    <row r="35" spans="1:24" x14ac:dyDescent="0.25">
      <c r="A35" s="11" t="s">
        <v>25</v>
      </c>
      <c r="B35" s="12">
        <f t="shared" ca="1" si="0"/>
        <v>46088</v>
      </c>
      <c r="C35" s="11">
        <v>1992</v>
      </c>
      <c r="D35" s="11">
        <f>INDEX(Raw!$B$5:$AO$30, MATCH(D$1, Raw!$A$5:$A$30, 0), MATCH($C35, Raw!$B$3:$AO$3, 0))</f>
        <v>13073860000</v>
      </c>
      <c r="E35" s="11">
        <f>INDEX(Raw!$B$5:$AO$30, MATCH(E$1, Raw!$A$5:$A$30, 0), MATCH($C35, Raw!$B$3:$AO$3, 0))</f>
        <v>5054377000</v>
      </c>
      <c r="F35" s="11">
        <f>INDEX(Raw!$B$5:$AO$30, MATCH(F$1, Raw!$A$5:$A$30, 0), MATCH($C35, Raw!$B$3:$AO$3, 0))</f>
        <v>8019483000</v>
      </c>
      <c r="G35" s="11">
        <f>INDEX(Raw!$B$5:$AO$30, MATCH(G$1, Raw!$A$5:$A$30, 0), MATCH($C35, Raw!$B$3:$AO$3, 0))</f>
        <v>5249392000</v>
      </c>
      <c r="H35" s="11">
        <f>INDEX(Raw!$B$5:$AO$30, MATCH(H$1, Raw!$A$5:$A$30, 0), MATCH($C35, Raw!$B$3:$AO$3, 0))</f>
        <v>0</v>
      </c>
      <c r="I35" s="11">
        <f>INDEX(Raw!$B$5:$AO$30, MATCH(I$1, Raw!$A$5:$A$30, 0), MATCH($C35, Raw!$B$3:$AO$3, 0))</f>
        <v>5249393000</v>
      </c>
      <c r="J35" s="11">
        <f>INDEX(Raw!$B$5:$AO$30, MATCH(J$1, Raw!$A$5:$A$30, 0), MATCH($C35, Raw!$B$3:$AO$3, 0))</f>
        <v>2770091000</v>
      </c>
      <c r="K35" s="11">
        <f>INDEX(Raw!$B$5:$AO$30, MATCH(K$1, Raw!$A$5:$A$30, 0), MATCH($C35, Raw!$B$3:$AO$3, 0))</f>
        <v>-24003000</v>
      </c>
      <c r="L35" s="11">
        <f>INDEX(Raw!$B$5:$AO$30, MATCH(L$1, Raw!$A$5:$A$30, 0), MATCH($C35, Raw!$B$3:$AO$3, 0))</f>
        <v>2746088000</v>
      </c>
      <c r="M35" s="11">
        <f>INDEX(Raw!$B$5:$AO$30, MATCH(M$1, Raw!$A$5:$A$30, 0), MATCH($C35, Raw!$B$3:$AO$3, 0))</f>
        <v>862273000</v>
      </c>
      <c r="N35" s="11">
        <f>INDEX(Raw!$B$5:$AO$30, MATCH(N$1, Raw!$A$5:$A$30, 0), MATCH($C35, Raw!$B$3:$AO$3, 0))</f>
        <v>1883815000</v>
      </c>
      <c r="O35" s="11">
        <f>INDEX(Raw!$B$5:$AO$30, MATCH(O$1, Raw!$A$5:$A$30, 0), MATCH($C35, Raw!$B$3:$AO$3, 0))</f>
        <v>0</v>
      </c>
      <c r="P35" s="11">
        <f>INDEX(Raw!$B$5:$AO$30, MATCH(P$1, Raw!$A$5:$A$30, 0), MATCH($C35, Raw!$B$3:$AO$3, 0))</f>
        <v>1897273000</v>
      </c>
      <c r="Q35" s="11">
        <f>INDEX(Raw!$B$5:$AO$30, MATCH(Q$1, Raw!$A$5:$A$30, 0), MATCH($C35, Raw!$B$3:$AO$3, 0))</f>
        <v>-219433000</v>
      </c>
      <c r="R35" s="11">
        <f>INDEX(Raw!$B$5:$AO$30, MATCH(R$1, Raw!$A$5:$A$30, 0), MATCH($C35, Raw!$B$3:$AO$3, 0))</f>
        <v>1664.3820000000001</v>
      </c>
      <c r="S35" s="11">
        <f>INDEX(Raw!$B$5:$AO$30, MATCH(S$1, Raw!$A$5:$A$30, 0), MATCH($C35, Raw!$B$3:$AO$3, 0))</f>
        <v>3092013000</v>
      </c>
      <c r="T35" s="11">
        <f>INDEX(Raw!$B$5:$AO$30, MATCH(T$1, Raw!$A$5:$A$30, 0), MATCH($C35, Raw!$B$3:$AO$3, 0))</f>
        <v>2770091000</v>
      </c>
      <c r="U35" s="11">
        <f>INDEX(Raw!$B$5:$AO$30, MATCH(U$1, Raw!$A$5:$A$30, 0), MATCH($C35, Raw!$B$3:$AO$3, 0))</f>
        <v>5227084000</v>
      </c>
      <c r="V35" s="11">
        <f>INDEX(Raw!$B$5:$AO$30, MATCH(V$1, Raw!$A$5:$A$30, 0), MATCH($C35, Raw!$B$3:$AO$3, 0))</f>
        <v>5227084000</v>
      </c>
      <c r="W35" s="11">
        <f>INDEX(Raw!$B$5:$AO$30, MATCH(W$1, Raw!$A$5:$A$30, 0), MATCH($C35, Raw!$B$3:$AO$3, 0))</f>
        <v>0.31709999999999999</v>
      </c>
      <c r="X35" s="11">
        <f>INDEX(Raw!$B$5:$AO$30, MATCH(X$1, Raw!$A$5:$A$30, 0), MATCH($C35, Raw!$B$3:$AO$3, 0))</f>
        <v>0.31840000000000002</v>
      </c>
    </row>
    <row r="36" spans="1:24" x14ac:dyDescent="0.25">
      <c r="A36" s="11" t="s">
        <v>25</v>
      </c>
      <c r="B36" s="12">
        <f t="shared" ca="1" si="0"/>
        <v>46088</v>
      </c>
      <c r="C36" s="11">
        <v>1991</v>
      </c>
      <c r="D36" s="11">
        <f>INDEX(Raw!$B$5:$AO$30, MATCH(D$1, Raw!$A$5:$A$30, 0), MATCH($C36, Raw!$B$3:$AO$3, 0))</f>
        <v>11571610000</v>
      </c>
      <c r="E36" s="11">
        <f>INDEX(Raw!$B$5:$AO$30, MATCH(E$1, Raw!$A$5:$A$30, 0), MATCH($C36, Raw!$B$3:$AO$3, 0))</f>
        <v>4648385000</v>
      </c>
      <c r="F36" s="11">
        <f>INDEX(Raw!$B$5:$AO$30, MATCH(F$1, Raw!$A$5:$A$30, 0), MATCH($C36, Raw!$B$3:$AO$3, 0))</f>
        <v>6923226000</v>
      </c>
      <c r="G36" s="11">
        <f>INDEX(Raw!$B$5:$AO$30, MATCH(G$1, Raw!$A$5:$A$30, 0), MATCH($C36, Raw!$B$3:$AO$3, 0))</f>
        <v>4604184000</v>
      </c>
      <c r="H36" s="11">
        <f>INDEX(Raw!$B$5:$AO$30, MATCH(H$1, Raw!$A$5:$A$30, 0), MATCH($C36, Raw!$B$3:$AO$3, 0))</f>
        <v>0</v>
      </c>
      <c r="I36" s="11">
        <f>INDEX(Raw!$B$5:$AO$30, MATCH(I$1, Raw!$A$5:$A$30, 0), MATCH($C36, Raw!$B$3:$AO$3, 0))</f>
        <v>4604183000</v>
      </c>
      <c r="J36" s="11">
        <f>INDEX(Raw!$B$5:$AO$30, MATCH(J$1, Raw!$A$5:$A$30, 0), MATCH($C36, Raw!$B$3:$AO$3, 0))</f>
        <v>2319042000</v>
      </c>
      <c r="K36" s="11">
        <f>INDEX(Raw!$B$5:$AO$30, MATCH(K$1, Raw!$A$5:$A$30, 0), MATCH($C36, Raw!$B$3:$AO$3, 0))</f>
        <v>64233999.999999993</v>
      </c>
      <c r="L36" s="11">
        <f>INDEX(Raw!$B$5:$AO$30, MATCH(L$1, Raw!$A$5:$A$30, 0), MATCH($C36, Raw!$B$3:$AO$3, 0))</f>
        <v>2383279000</v>
      </c>
      <c r="M36" s="11">
        <f>INDEX(Raw!$B$5:$AO$30, MATCH(M$1, Raw!$A$5:$A$30, 0), MATCH($C36, Raw!$B$3:$AO$3, 0))</f>
        <v>765277000</v>
      </c>
      <c r="N36" s="11">
        <f>INDEX(Raw!$B$5:$AO$30, MATCH(N$1, Raw!$A$5:$A$30, 0), MATCH($C36, Raw!$B$3:$AO$3, 0))</f>
        <v>1618002000</v>
      </c>
      <c r="O36" s="11">
        <f>INDEX(Raw!$B$5:$AO$30, MATCH(O$1, Raw!$A$5:$A$30, 0), MATCH($C36, Raw!$B$3:$AO$3, 0))</f>
        <v>0</v>
      </c>
      <c r="P36" s="11">
        <f>INDEX(Raw!$B$5:$AO$30, MATCH(P$1, Raw!$A$5:$A$30, 0), MATCH($C36, Raw!$B$3:$AO$3, 0))</f>
        <v>1613410000</v>
      </c>
      <c r="Q36" s="11">
        <f>INDEX(Raw!$B$5:$AO$30, MATCH(Q$1, Raw!$A$5:$A$30, 0), MATCH($C36, Raw!$B$3:$AO$3, 0))</f>
        <v>0</v>
      </c>
      <c r="R36" s="11">
        <f>INDEX(Raw!$B$5:$AO$30, MATCH(R$1, Raw!$A$5:$A$30, 0), MATCH($C36, Raw!$B$3:$AO$3, 0))</f>
        <v>1618.002</v>
      </c>
      <c r="S36" s="11">
        <f>INDEX(Raw!$B$5:$AO$30, MATCH(S$1, Raw!$A$5:$A$30, 0), MATCH($C36, Raw!$B$3:$AO$3, 0))</f>
        <v>2580469000</v>
      </c>
      <c r="T36" s="11">
        <f>INDEX(Raw!$B$5:$AO$30, MATCH(T$1, Raw!$A$5:$A$30, 0), MATCH($C36, Raw!$B$3:$AO$3, 0))</f>
        <v>2319042000</v>
      </c>
      <c r="U36" s="11">
        <f>INDEX(Raw!$B$5:$AO$30, MATCH(U$1, Raw!$A$5:$A$30, 0), MATCH($C36, Raw!$B$3:$AO$3, 0))</f>
        <v>5315840000</v>
      </c>
      <c r="V36" s="11">
        <f>INDEX(Raw!$B$5:$AO$30, MATCH(V$1, Raw!$A$5:$A$30, 0), MATCH($C36, Raw!$B$3:$AO$3, 0))</f>
        <v>10631680000</v>
      </c>
      <c r="W36" s="11">
        <f>INDEX(Raw!$B$5:$AO$30, MATCH(W$1, Raw!$A$5:$A$30, 0), MATCH($C36, Raw!$B$3:$AO$3, 0))</f>
        <v>0.30380000000000001</v>
      </c>
      <c r="X36" s="11">
        <f>INDEX(Raw!$B$5:$AO$30, MATCH(X$1, Raw!$A$5:$A$30, 0), MATCH($C36, Raw!$B$3:$AO$3, 0))</f>
        <v>0.1522</v>
      </c>
    </row>
    <row r="37" spans="1:24" x14ac:dyDescent="0.25">
      <c r="A37" s="11" t="s">
        <v>25</v>
      </c>
      <c r="B37" s="12">
        <f t="shared" ca="1" si="0"/>
        <v>46088</v>
      </c>
      <c r="C37" s="11">
        <v>1990</v>
      </c>
      <c r="D37" s="11">
        <f>INDEX(Raw!$B$5:$AO$30, MATCH(D$1, Raw!$A$5:$A$30, 0), MATCH($C37, Raw!$B$3:$AO$3, 0))</f>
        <v>10236350000</v>
      </c>
      <c r="E37" s="11">
        <f>INDEX(Raw!$B$5:$AO$30, MATCH(E$1, Raw!$A$5:$A$30, 0), MATCH($C37, Raw!$B$3:$AO$3, 0))</f>
        <v>4208850000.0000005</v>
      </c>
      <c r="F37" s="11">
        <f>INDEX(Raw!$B$5:$AO$30, MATCH(F$1, Raw!$A$5:$A$30, 0), MATCH($C37, Raw!$B$3:$AO$3, 0))</f>
        <v>6027500000</v>
      </c>
      <c r="G37" s="11">
        <f>INDEX(Raw!$B$5:$AO$30, MATCH(G$1, Raw!$A$5:$A$30, 0), MATCH($C37, Raw!$B$3:$AO$3, 0))</f>
        <v>4075936000</v>
      </c>
      <c r="H37" s="11">
        <f>INDEX(Raw!$B$5:$AO$30, MATCH(H$1, Raw!$A$5:$A$30, 0), MATCH($C37, Raw!$B$3:$AO$3, 0))</f>
        <v>0</v>
      </c>
      <c r="I37" s="11">
        <f>INDEX(Raw!$B$5:$AO$30, MATCH(I$1, Raw!$A$5:$A$30, 0), MATCH($C37, Raw!$B$3:$AO$3, 0))</f>
        <v>4075936000</v>
      </c>
      <c r="J37" s="11">
        <f>INDEX(Raw!$B$5:$AO$30, MATCH(J$1, Raw!$A$5:$A$30, 0), MATCH($C37, Raw!$B$3:$AO$3, 0))</f>
        <v>1951563000</v>
      </c>
      <c r="K37" s="11">
        <f>INDEX(Raw!$B$5:$AO$30, MATCH(K$1, Raw!$A$5:$A$30, 0), MATCH($C37, Raw!$B$3:$AO$3, 0))</f>
        <v>62872000</v>
      </c>
      <c r="L37" s="11">
        <f>INDEX(Raw!$B$5:$AO$30, MATCH(L$1, Raw!$A$5:$A$30, 0), MATCH($C37, Raw!$B$3:$AO$3, 0))</f>
        <v>2014436000</v>
      </c>
      <c r="M37" s="11">
        <f>INDEX(Raw!$B$5:$AO$30, MATCH(M$1, Raw!$A$5:$A$30, 0), MATCH($C37, Raw!$B$3:$AO$3, 0))</f>
        <v>632532000</v>
      </c>
      <c r="N37" s="11">
        <f>INDEX(Raw!$B$5:$AO$30, MATCH(N$1, Raw!$A$5:$A$30, 0), MATCH($C37, Raw!$B$3:$AO$3, 0))</f>
        <v>1381904000</v>
      </c>
      <c r="O37" s="11">
        <f>INDEX(Raw!$B$5:$AO$30, MATCH(O$1, Raw!$A$5:$A$30, 0), MATCH($C37, Raw!$B$3:$AO$3, 0))</f>
        <v>0</v>
      </c>
      <c r="P37" s="11">
        <f>INDEX(Raw!$B$5:$AO$30, MATCH(P$1, Raw!$A$5:$A$30, 0), MATCH($C37, Raw!$B$3:$AO$3, 0))</f>
        <v>1381904000</v>
      </c>
      <c r="Q37" s="11">
        <f>INDEX(Raw!$B$5:$AO$30, MATCH(Q$1, Raw!$A$5:$A$30, 0), MATCH($C37, Raw!$B$3:$AO$3, 0))</f>
        <v>0</v>
      </c>
      <c r="R37" s="11">
        <f>INDEX(Raw!$B$5:$AO$30, MATCH(R$1, Raw!$A$5:$A$30, 0), MATCH($C37, Raw!$B$3:$AO$3, 0))</f>
        <v>1381.904</v>
      </c>
      <c r="S37" s="11">
        <f>INDEX(Raw!$B$5:$AO$30, MATCH(S$1, Raw!$A$5:$A$30, 0), MATCH($C37, Raw!$B$3:$AO$3, 0))</f>
        <v>2195451000</v>
      </c>
      <c r="T37" s="11">
        <f>INDEX(Raw!$B$5:$AO$30, MATCH(T$1, Raw!$A$5:$A$30, 0), MATCH($C37, Raw!$B$3:$AO$3, 0))</f>
        <v>1951563000</v>
      </c>
      <c r="U37" s="11">
        <f>INDEX(Raw!$B$5:$AO$30, MATCH(U$1, Raw!$A$5:$A$30, 0), MATCH($C37, Raw!$B$3:$AO$3, 0))</f>
        <v>5345914000</v>
      </c>
      <c r="V37" s="11">
        <f>INDEX(Raw!$B$5:$AO$30, MATCH(V$1, Raw!$A$5:$A$30, 0), MATCH($C37, Raw!$B$3:$AO$3, 0))</f>
        <v>5345914000</v>
      </c>
      <c r="W37" s="11">
        <f>INDEX(Raw!$B$5:$AO$30, MATCH(W$1, Raw!$A$5:$A$30, 0), MATCH($C37, Raw!$B$3:$AO$3, 0))</f>
        <v>0.25869999999999999</v>
      </c>
      <c r="X37" s="11">
        <f>INDEX(Raw!$B$5:$AO$30, MATCH(X$1, Raw!$A$5:$A$30, 0), MATCH($C37, Raw!$B$3:$AO$3, 0))</f>
        <v>0.25850000000000001</v>
      </c>
    </row>
    <row r="38" spans="1:24" x14ac:dyDescent="0.25">
      <c r="A38" s="11" t="s">
        <v>25</v>
      </c>
      <c r="B38" s="12">
        <f t="shared" ca="1" si="0"/>
        <v>46088</v>
      </c>
      <c r="C38" s="11">
        <v>1989</v>
      </c>
      <c r="D38" s="11">
        <f>INDEX(Raw!$B$5:$AO$30, MATCH(D$1, Raw!$A$5:$A$30, 0), MATCH($C38, Raw!$B$3:$AO$3, 0))</f>
        <v>8965786000</v>
      </c>
      <c r="E38" s="11">
        <f>INDEX(Raw!$B$5:$AO$30, MATCH(E$1, Raw!$A$5:$A$30, 0), MATCH($C38, Raw!$B$3:$AO$3, 0))</f>
        <v>3892069000</v>
      </c>
      <c r="F38" s="11">
        <f>INDEX(Raw!$B$5:$AO$30, MATCH(F$1, Raw!$A$5:$A$30, 0), MATCH($C38, Raw!$B$3:$AO$3, 0))</f>
        <v>5073717000</v>
      </c>
      <c r="G38" s="11">
        <f>INDEX(Raw!$B$5:$AO$30, MATCH(G$1, Raw!$A$5:$A$30, 0), MATCH($C38, Raw!$B$3:$AO$3, 0))</f>
        <v>3347932000</v>
      </c>
      <c r="H38" s="11">
        <f>INDEX(Raw!$B$5:$AO$30, MATCH(H$1, Raw!$A$5:$A$30, 0), MATCH($C38, Raw!$B$3:$AO$3, 0))</f>
        <v>0</v>
      </c>
      <c r="I38" s="11">
        <f>INDEX(Raw!$B$5:$AO$30, MATCH(I$1, Raw!$A$5:$A$30, 0), MATCH($C38, Raw!$B$3:$AO$3, 0))</f>
        <v>3347932000</v>
      </c>
      <c r="J38" s="11">
        <f>INDEX(Raw!$B$5:$AO$30, MATCH(J$1, Raw!$A$5:$A$30, 0), MATCH($C38, Raw!$B$3:$AO$3, 0))</f>
        <v>1725785000</v>
      </c>
      <c r="K38" s="11">
        <f>INDEX(Raw!$B$5:$AO$30, MATCH(K$1, Raw!$A$5:$A$30, 0), MATCH($C38, Raw!$B$3:$AO$3, 0))</f>
        <v>38525000</v>
      </c>
      <c r="L38" s="11">
        <f>INDEX(Raw!$B$5:$AO$30, MATCH(L$1, Raw!$A$5:$A$30, 0), MATCH($C38, Raw!$B$3:$AO$3, 0))</f>
        <v>1764310000</v>
      </c>
      <c r="M38" s="11">
        <f>INDEX(Raw!$B$5:$AO$30, MATCH(M$1, Raw!$A$5:$A$30, 0), MATCH($C38, Raw!$B$3:$AO$3, 0))</f>
        <v>571471000</v>
      </c>
      <c r="N38" s="11">
        <f>INDEX(Raw!$B$5:$AO$30, MATCH(N$1, Raw!$A$5:$A$30, 0), MATCH($C38, Raw!$B$3:$AO$3, 0))</f>
        <v>1192839000</v>
      </c>
      <c r="O38" s="11">
        <f>INDEX(Raw!$B$5:$AO$30, MATCH(O$1, Raw!$A$5:$A$30, 0), MATCH($C38, Raw!$B$3:$AO$3, 0))</f>
        <v>0</v>
      </c>
      <c r="P38" s="11">
        <f>INDEX(Raw!$B$5:$AO$30, MATCH(P$1, Raw!$A$5:$A$30, 0), MATCH($C38, Raw!$B$3:$AO$3, 0))</f>
        <v>1192839000</v>
      </c>
      <c r="Q38" s="11">
        <f>INDEX(Raw!$B$5:$AO$30, MATCH(Q$1, Raw!$A$5:$A$30, 0), MATCH($C38, Raw!$B$3:$AO$3, 0))</f>
        <v>530986000</v>
      </c>
      <c r="R38" s="11">
        <f>INDEX(Raw!$B$5:$AO$30, MATCH(R$1, Raw!$A$5:$A$30, 0), MATCH($C38, Raw!$B$3:$AO$3, 0))</f>
        <v>1723.825</v>
      </c>
      <c r="S38" s="11">
        <f>INDEX(Raw!$B$5:$AO$30, MATCH(S$1, Raw!$A$5:$A$30, 0), MATCH($C38, Raw!$B$3:$AO$3, 0))</f>
        <v>1909550000</v>
      </c>
      <c r="T38" s="11">
        <f>INDEX(Raw!$B$5:$AO$30, MATCH(T$1, Raw!$A$5:$A$30, 0), MATCH($C38, Raw!$B$3:$AO$3, 0))</f>
        <v>1725785000</v>
      </c>
      <c r="U38" s="11">
        <f>INDEX(Raw!$B$5:$AO$30, MATCH(U$1, Raw!$A$5:$A$30, 0), MATCH($C38, Raw!$B$3:$AO$3, 0))</f>
        <v>5392238000</v>
      </c>
      <c r="V38" s="11">
        <f>INDEX(Raw!$B$5:$AO$30, MATCH(V$1, Raw!$A$5:$A$30, 0), MATCH($C38, Raw!$B$3:$AO$3, 0))</f>
        <v>5392238000</v>
      </c>
      <c r="W38" s="11">
        <f>INDEX(Raw!$B$5:$AO$30, MATCH(W$1, Raw!$A$5:$A$30, 0), MATCH($C38, Raw!$B$3:$AO$3, 0))</f>
        <v>0.31359999999999999</v>
      </c>
      <c r="X38" s="11">
        <f>INDEX(Raw!$B$5:$AO$30, MATCH(X$1, Raw!$A$5:$A$30, 0), MATCH($C38, Raw!$B$3:$AO$3, 0))</f>
        <v>0.31969999999999998</v>
      </c>
    </row>
    <row r="39" spans="1:24" x14ac:dyDescent="0.25">
      <c r="A39" s="11" t="s">
        <v>25</v>
      </c>
      <c r="B39" s="12">
        <f t="shared" ca="1" si="0"/>
        <v>46088</v>
      </c>
      <c r="C39" s="11">
        <v>1988</v>
      </c>
      <c r="D39" s="11">
        <f>INDEX(Raw!$B$5:$AO$30, MATCH(D$1, Raw!$A$5:$A$30, 0), MATCH($C39, Raw!$B$3:$AO$3, 0))</f>
        <v>8337831000</v>
      </c>
      <c r="E39" s="11">
        <f>INDEX(Raw!$B$5:$AO$30, MATCH(E$1, Raw!$A$5:$A$30, 0), MATCH($C39, Raw!$B$3:$AO$3, 0))</f>
        <v>3701472000</v>
      </c>
      <c r="F39" s="11">
        <f>INDEX(Raw!$B$5:$AO$30, MATCH(F$1, Raw!$A$5:$A$30, 0), MATCH($C39, Raw!$B$3:$AO$3, 0))</f>
        <v>4636359000</v>
      </c>
      <c r="G39" s="11">
        <f>INDEX(Raw!$B$5:$AO$30, MATCH(G$1, Raw!$A$5:$A$30, 0), MATCH($C39, Raw!$B$3:$AO$3, 0))</f>
        <v>3038058000</v>
      </c>
      <c r="H39" s="11">
        <f>INDEX(Raw!$B$5:$AO$30, MATCH(H$1, Raw!$A$5:$A$30, 0), MATCH($C39, Raw!$B$3:$AO$3, 0))</f>
        <v>0</v>
      </c>
      <c r="I39" s="11">
        <f>INDEX(Raw!$B$5:$AO$30, MATCH(I$1, Raw!$A$5:$A$30, 0), MATCH($C39, Raw!$B$3:$AO$3, 0))</f>
        <v>3038058000</v>
      </c>
      <c r="J39" s="11">
        <f>INDEX(Raw!$B$5:$AO$30, MATCH(J$1, Raw!$A$5:$A$30, 0), MATCH($C39, Raw!$B$3:$AO$3, 0))</f>
        <v>1598301000</v>
      </c>
      <c r="K39" s="11">
        <f>INDEX(Raw!$B$5:$AO$30, MATCH(K$1, Raw!$A$5:$A$30, 0), MATCH($C39, Raw!$B$3:$AO$3, 0))</f>
        <v>-16164000.000000002</v>
      </c>
      <c r="L39" s="11">
        <f>INDEX(Raw!$B$5:$AO$30, MATCH(L$1, Raw!$A$5:$A$30, 0), MATCH($C39, Raw!$B$3:$AO$3, 0))</f>
        <v>1582137000</v>
      </c>
      <c r="M39" s="11">
        <f>INDEX(Raw!$B$5:$AO$30, MATCH(M$1, Raw!$A$5:$A$30, 0), MATCH($C39, Raw!$B$3:$AO$3, 0))</f>
        <v>537434000</v>
      </c>
      <c r="N39" s="11">
        <f>INDEX(Raw!$B$5:$AO$30, MATCH(N$1, Raw!$A$5:$A$30, 0), MATCH($C39, Raw!$B$3:$AO$3, 0))</f>
        <v>1044703000</v>
      </c>
      <c r="O39" s="11">
        <f>INDEX(Raw!$B$5:$AO$30, MATCH(O$1, Raw!$A$5:$A$30, 0), MATCH($C39, Raw!$B$3:$AO$3, 0))</f>
        <v>0</v>
      </c>
      <c r="P39" s="11">
        <f>INDEX(Raw!$B$5:$AO$30, MATCH(P$1, Raw!$A$5:$A$30, 0), MATCH($C39, Raw!$B$3:$AO$3, 0))</f>
        <v>1044703000</v>
      </c>
      <c r="Q39" s="11">
        <f>INDEX(Raw!$B$5:$AO$30, MATCH(Q$1, Raw!$A$5:$A$30, 0), MATCH($C39, Raw!$B$3:$AO$3, 0))</f>
        <v>0</v>
      </c>
      <c r="R39" s="11">
        <f>INDEX(Raw!$B$5:$AO$30, MATCH(R$1, Raw!$A$5:$A$30, 0), MATCH($C39, Raw!$B$3:$AO$3, 0))</f>
        <v>1044.703</v>
      </c>
      <c r="S39" s="11">
        <f>INDEX(Raw!$B$5:$AO$30, MATCH(S$1, Raw!$A$5:$A$30, 0), MATCH($C39, Raw!$B$3:$AO$3, 0))</f>
        <v>1768069000</v>
      </c>
      <c r="T39" s="11">
        <f>INDEX(Raw!$B$5:$AO$30, MATCH(T$1, Raw!$A$5:$A$30, 0), MATCH($C39, Raw!$B$3:$AO$3, 0))</f>
        <v>1598301000</v>
      </c>
      <c r="U39" s="11">
        <f>INDEX(Raw!$B$5:$AO$30, MATCH(U$1, Raw!$A$5:$A$30, 0), MATCH($C39, Raw!$B$3:$AO$3, 0))</f>
        <v>5676616000</v>
      </c>
      <c r="V39" s="11">
        <f>INDEX(Raw!$B$5:$AO$30, MATCH(V$1, Raw!$A$5:$A$30, 0), MATCH($C39, Raw!$B$3:$AO$3, 0))</f>
        <v>5676616000</v>
      </c>
      <c r="W39" s="11">
        <f>INDEX(Raw!$B$5:$AO$30, MATCH(W$1, Raw!$A$5:$A$30, 0), MATCH($C39, Raw!$B$3:$AO$3, 0))</f>
        <v>0.18029999999999999</v>
      </c>
      <c r="X39" s="11">
        <f>INDEX(Raw!$B$5:$AO$30, MATCH(X$1, Raw!$A$5:$A$30, 0), MATCH($C39, Raw!$B$3:$AO$3, 0))</f>
        <v>0.184</v>
      </c>
    </row>
    <row r="40" spans="1:24" x14ac:dyDescent="0.25">
      <c r="A40" s="11" t="s">
        <v>25</v>
      </c>
      <c r="B40" s="12">
        <f t="shared" ca="1" si="0"/>
        <v>46088</v>
      </c>
      <c r="C40" s="11">
        <v>1987</v>
      </c>
      <c r="D40" s="11">
        <f>INDEX(Raw!$B$5:$AO$30, MATCH(D$1, Raw!$A$5:$A$30, 0), MATCH($C40, Raw!$B$3:$AO$3, 0))</f>
        <v>7658341000</v>
      </c>
      <c r="E40" s="11">
        <f>INDEX(Raw!$B$5:$AO$30, MATCH(E$1, Raw!$A$5:$A$30, 0), MATCH($C40, Raw!$B$3:$AO$3, 0))</f>
        <v>3633159000</v>
      </c>
      <c r="F40" s="11">
        <f>INDEX(Raw!$B$5:$AO$30, MATCH(F$1, Raw!$A$5:$A$30, 0), MATCH($C40, Raw!$B$3:$AO$3, 0))</f>
        <v>4025182000</v>
      </c>
      <c r="G40" s="11">
        <f>INDEX(Raw!$B$5:$AO$30, MATCH(G$1, Raw!$A$5:$A$30, 0), MATCH($C40, Raw!$B$3:$AO$3, 0))</f>
        <v>2701392000</v>
      </c>
      <c r="H40" s="11">
        <f>INDEX(Raw!$B$5:$AO$30, MATCH(H$1, Raw!$A$5:$A$30, 0), MATCH($C40, Raw!$B$3:$AO$3, 0))</f>
        <v>0</v>
      </c>
      <c r="I40" s="11">
        <f>INDEX(Raw!$B$5:$AO$30, MATCH(I$1, Raw!$A$5:$A$30, 0), MATCH($C40, Raw!$B$3:$AO$3, 0))</f>
        <v>2701392000</v>
      </c>
      <c r="J40" s="11">
        <f>INDEX(Raw!$B$5:$AO$30, MATCH(J$1, Raw!$A$5:$A$30, 0), MATCH($C40, Raw!$B$3:$AO$3, 0))</f>
        <v>1323790000</v>
      </c>
      <c r="K40" s="11">
        <f>INDEX(Raw!$B$5:$AO$30, MATCH(K$1, Raw!$A$5:$A$30, 0), MATCH($C40, Raw!$B$3:$AO$3, 0))</f>
        <v>88694000</v>
      </c>
      <c r="L40" s="11">
        <f>INDEX(Raw!$B$5:$AO$30, MATCH(L$1, Raw!$A$5:$A$30, 0), MATCH($C40, Raw!$B$3:$AO$3, 0))</f>
        <v>1412484000</v>
      </c>
      <c r="M40" s="11">
        <f>INDEX(Raw!$B$5:$AO$30, MATCH(M$1, Raw!$A$5:$A$30, 0), MATCH($C40, Raw!$B$3:$AO$3, 0))</f>
        <v>496348000</v>
      </c>
      <c r="N40" s="11">
        <f>INDEX(Raw!$B$5:$AO$30, MATCH(N$1, Raw!$A$5:$A$30, 0), MATCH($C40, Raw!$B$3:$AO$3, 0))</f>
        <v>916136000</v>
      </c>
      <c r="O40" s="11">
        <f>INDEX(Raw!$B$5:$AO$30, MATCH(O$1, Raw!$A$5:$A$30, 0), MATCH($C40, Raw!$B$3:$AO$3, 0))</f>
        <v>0</v>
      </c>
      <c r="P40" s="11">
        <f>INDEX(Raw!$B$5:$AO$30, MATCH(P$1, Raw!$A$5:$A$30, 0), MATCH($C40, Raw!$B$3:$AO$3, 0))</f>
        <v>916136000</v>
      </c>
      <c r="Q40" s="11">
        <f>INDEX(Raw!$B$5:$AO$30, MATCH(Q$1, Raw!$A$5:$A$30, 0), MATCH($C40, Raw!$B$3:$AO$3, 0))</f>
        <v>0</v>
      </c>
      <c r="R40" s="11">
        <f>INDEX(Raw!$B$5:$AO$30, MATCH(R$1, Raw!$A$5:$A$30, 0), MATCH($C40, Raw!$B$3:$AO$3, 0))</f>
        <v>916.13599999999997</v>
      </c>
      <c r="S40" s="11">
        <f>INDEX(Raw!$B$5:$AO$30, MATCH(S$1, Raw!$A$5:$A$30, 0), MATCH($C40, Raw!$B$3:$AO$3, 0))</f>
        <v>1475694000</v>
      </c>
      <c r="T40" s="11">
        <f>INDEX(Raw!$B$5:$AO$30, MATCH(T$1, Raw!$A$5:$A$30, 0), MATCH($C40, Raw!$B$3:$AO$3, 0))</f>
        <v>1323790000</v>
      </c>
      <c r="U40" s="11">
        <f>INDEX(Raw!$B$5:$AO$30, MATCH(U$1, Raw!$A$5:$A$30, 0), MATCH($C40, Raw!$B$3:$AO$3, 0))</f>
        <v>5957698000</v>
      </c>
      <c r="V40" s="11">
        <f>INDEX(Raw!$B$5:$AO$30, MATCH(V$1, Raw!$A$5:$A$30, 0), MATCH($C40, Raw!$B$3:$AO$3, 0))</f>
        <v>5957698000</v>
      </c>
      <c r="W40" s="11">
        <f>INDEX(Raw!$B$5:$AO$30, MATCH(W$1, Raw!$A$5:$A$30, 0), MATCH($C40, Raw!$B$3:$AO$3, 0))</f>
        <v>0.15229999999999999</v>
      </c>
      <c r="X40" s="11">
        <f>INDEX(Raw!$B$5:$AO$30, MATCH(X$1, Raw!$A$5:$A$30, 0), MATCH($C40, Raw!$B$3:$AO$3, 0))</f>
        <v>0.15379999999999999</v>
      </c>
    </row>
    <row r="41" spans="1:24" x14ac:dyDescent="0.25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5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5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5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5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5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5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5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5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5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5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5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5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5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5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5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5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5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5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5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5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5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3"/>
      <c r="X159" s="13"/>
    </row>
    <row r="160" spans="1:24" x14ac:dyDescent="0.25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3"/>
      <c r="X160" s="13"/>
    </row>
    <row r="161" spans="1:24" x14ac:dyDescent="0.25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3"/>
      <c r="X161" s="13"/>
    </row>
    <row r="162" spans="1:24" x14ac:dyDescent="0.25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3"/>
      <c r="X162" s="13"/>
    </row>
    <row r="163" spans="1:24" x14ac:dyDescent="0.25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3"/>
      <c r="X163" s="13"/>
    </row>
    <row r="164" spans="1:24" x14ac:dyDescent="0.25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3"/>
      <c r="X164" s="13"/>
    </row>
    <row r="165" spans="1:24" x14ac:dyDescent="0.25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3"/>
      <c r="X165" s="13"/>
    </row>
    <row r="166" spans="1:24" x14ac:dyDescent="0.25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3"/>
      <c r="X166" s="13"/>
    </row>
    <row r="167" spans="1:24" x14ac:dyDescent="0.25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3"/>
      <c r="X167" s="13"/>
    </row>
    <row r="168" spans="1:24" x14ac:dyDescent="0.25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3"/>
      <c r="X168" s="13"/>
    </row>
    <row r="169" spans="1:24" x14ac:dyDescent="0.25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3"/>
      <c r="X169" s="13"/>
    </row>
    <row r="170" spans="1:24" x14ac:dyDescent="0.25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3"/>
      <c r="X170" s="13"/>
    </row>
    <row r="171" spans="1:24" x14ac:dyDescent="0.25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3"/>
      <c r="X171" s="13"/>
    </row>
    <row r="172" spans="1:24" x14ac:dyDescent="0.25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3"/>
      <c r="X172" s="13"/>
    </row>
    <row r="173" spans="1:24" x14ac:dyDescent="0.25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3"/>
      <c r="X173" s="13"/>
    </row>
    <row r="174" spans="1:24" x14ac:dyDescent="0.25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3"/>
      <c r="X174" s="13"/>
    </row>
    <row r="175" spans="1:24" x14ac:dyDescent="0.25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3"/>
      <c r="X175" s="13"/>
    </row>
    <row r="176" spans="1:24" x14ac:dyDescent="0.25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3"/>
      <c r="X176" s="13"/>
    </row>
    <row r="177" spans="1:24" x14ac:dyDescent="0.25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3"/>
      <c r="X177" s="13"/>
    </row>
    <row r="178" spans="1:24" x14ac:dyDescent="0.25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3"/>
      <c r="X178" s="13"/>
    </row>
    <row r="179" spans="1:24" x14ac:dyDescent="0.25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3"/>
      <c r="X179" s="13"/>
    </row>
    <row r="180" spans="1:24" x14ac:dyDescent="0.25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3"/>
      <c r="X180" s="13"/>
    </row>
    <row r="181" spans="1:24" x14ac:dyDescent="0.25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3"/>
      <c r="X181" s="13"/>
    </row>
    <row r="182" spans="1:24" x14ac:dyDescent="0.25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3"/>
      <c r="X182" s="13"/>
    </row>
    <row r="183" spans="1:24" x14ac:dyDescent="0.25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3"/>
      <c r="X183" s="13"/>
    </row>
    <row r="184" spans="1:24" x14ac:dyDescent="0.25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3"/>
      <c r="X184" s="13"/>
    </row>
    <row r="185" spans="1:24" x14ac:dyDescent="0.25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3"/>
      <c r="X185" s="13"/>
    </row>
    <row r="186" spans="1:24" x14ac:dyDescent="0.25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3"/>
      <c r="X186" s="13"/>
    </row>
    <row r="187" spans="1:24" x14ac:dyDescent="0.25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3"/>
      <c r="X187" s="13"/>
    </row>
    <row r="188" spans="1:24" x14ac:dyDescent="0.25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3"/>
      <c r="X188" s="13"/>
    </row>
    <row r="189" spans="1:24" x14ac:dyDescent="0.25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3"/>
      <c r="X189" s="13"/>
    </row>
    <row r="190" spans="1:24" x14ac:dyDescent="0.25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3"/>
      <c r="X190" s="13"/>
    </row>
    <row r="191" spans="1:24" x14ac:dyDescent="0.25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3"/>
      <c r="X191" s="13"/>
    </row>
    <row r="192" spans="1:24" x14ac:dyDescent="0.25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3"/>
      <c r="X192" s="13"/>
    </row>
    <row r="193" spans="1:24" x14ac:dyDescent="0.25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3"/>
      <c r="X193" s="13"/>
    </row>
    <row r="194" spans="1:24" x14ac:dyDescent="0.25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3"/>
      <c r="X194" s="13"/>
    </row>
    <row r="195" spans="1:24" x14ac:dyDescent="0.25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3"/>
      <c r="X195" s="13"/>
    </row>
    <row r="196" spans="1:24" x14ac:dyDescent="0.25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3"/>
      <c r="X196" s="13"/>
    </row>
    <row r="197" spans="1:24" x14ac:dyDescent="0.25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3"/>
      <c r="X197" s="13"/>
    </row>
    <row r="198" spans="1:24" x14ac:dyDescent="0.25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3"/>
      <c r="X198" s="13"/>
    </row>
    <row r="199" spans="1:24" x14ac:dyDescent="0.25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3"/>
      <c r="X199" s="13"/>
    </row>
    <row r="200" spans="1:24" x14ac:dyDescent="0.25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3"/>
      <c r="X200" s="13"/>
    </row>
    <row r="201" spans="1:24" x14ac:dyDescent="0.25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3"/>
      <c r="X20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B980-9A89-499F-B164-06F5943810F7}">
  <dimension ref="A1:AA40"/>
  <sheetViews>
    <sheetView workbookViewId="0"/>
  </sheetViews>
  <sheetFormatPr defaultRowHeight="15" x14ac:dyDescent="0.25"/>
  <cols>
    <col min="1" max="1" width="7" bestFit="1" customWidth="1"/>
    <col min="2" max="2" width="10.85546875" bestFit="1" customWidth="1"/>
    <col min="3" max="3" width="5" bestFit="1" customWidth="1"/>
    <col min="4" max="6" width="12" bestFit="1" customWidth="1"/>
    <col min="7" max="7" width="13.5703125" bestFit="1" customWidth="1"/>
    <col min="8" max="8" width="35.42578125" bestFit="1" customWidth="1"/>
    <col min="9" max="9" width="19" bestFit="1" customWidth="1"/>
    <col min="10" max="10" width="17.42578125" bestFit="1" customWidth="1"/>
    <col min="11" max="11" width="37.7109375" bestFit="1" customWidth="1"/>
    <col min="12" max="12" width="14.42578125" bestFit="1" customWidth="1"/>
    <col min="13" max="13" width="13.5703125" bestFit="1" customWidth="1"/>
    <col min="14" max="14" width="18.5703125" bestFit="1" customWidth="1"/>
    <col min="15" max="15" width="13.42578125" bestFit="1" customWidth="1"/>
    <col min="16" max="16" width="35.5703125" bestFit="1" customWidth="1"/>
    <col min="17" max="17" width="37.140625" bestFit="1" customWidth="1"/>
    <col min="18" max="19" width="12" bestFit="1" customWidth="1"/>
    <col min="20" max="20" width="11" bestFit="1" customWidth="1"/>
    <col min="21" max="21" width="24.85546875" bestFit="1" customWidth="1"/>
    <col min="22" max="22" width="19" bestFit="1" customWidth="1"/>
    <col min="23" max="23" width="9.85546875" bestFit="1" customWidth="1"/>
    <col min="24" max="24" width="18.5703125" bestFit="1" customWidth="1"/>
    <col min="25" max="25" width="19.28515625" bestFit="1" customWidth="1"/>
    <col min="26" max="26" width="19.140625" bestFit="1" customWidth="1"/>
    <col min="27" max="27" width="13.5703125" bestFit="1" customWidth="1"/>
  </cols>
  <sheetData>
    <row r="1" spans="1:27" x14ac:dyDescent="0.25">
      <c r="A1" t="s">
        <v>21</v>
      </c>
      <c r="B1" t="s">
        <v>22</v>
      </c>
      <c r="C1" t="s">
        <v>23</v>
      </c>
      <c r="D1" t="s">
        <v>30</v>
      </c>
      <c r="E1" t="s">
        <v>26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16</v>
      </c>
      <c r="T1" t="s">
        <v>17</v>
      </c>
      <c r="U1" t="s">
        <v>44</v>
      </c>
      <c r="V1" t="s">
        <v>45</v>
      </c>
      <c r="W1" t="s">
        <v>46</v>
      </c>
      <c r="X1" t="s">
        <v>47</v>
      </c>
      <c r="Y1" t="s">
        <v>27</v>
      </c>
      <c r="Z1" t="s">
        <v>28</v>
      </c>
      <c r="AA1" t="s">
        <v>29</v>
      </c>
    </row>
    <row r="2" spans="1:27" x14ac:dyDescent="0.25">
      <c r="A2" t="str">
        <f>Lookup!A2</f>
        <v>KO</v>
      </c>
      <c r="B2" s="15">
        <f ca="1">Lookup!B2</f>
        <v>46088</v>
      </c>
      <c r="C2">
        <f>Lookup!C2</f>
        <v>2025</v>
      </c>
      <c r="D2">
        <f>Lookup!D2</f>
        <v>47941000000</v>
      </c>
      <c r="E2">
        <f>Lookup!E2</f>
        <v>18397000000</v>
      </c>
      <c r="F2">
        <f>Lookup!F2</f>
        <v>29544000000</v>
      </c>
      <c r="G2">
        <f>Lookup!G2</f>
        <v>14521000000</v>
      </c>
      <c r="H2">
        <f>Lookup!H2</f>
        <v>-1261000000</v>
      </c>
      <c r="I2">
        <f>Lookup!I2</f>
        <v>15782000000</v>
      </c>
      <c r="J2">
        <f>Lookup!J2</f>
        <v>13762000000</v>
      </c>
      <c r="K2">
        <f>Lookup!K2</f>
        <v>2236000000</v>
      </c>
      <c r="L2">
        <f>Lookup!L2</f>
        <v>15998000000</v>
      </c>
      <c r="M2">
        <f>Lookup!M2</f>
        <v>2861000000</v>
      </c>
      <c r="N2">
        <f>Lookup!N2</f>
        <v>13137000000</v>
      </c>
      <c r="O2">
        <f>Lookup!O2</f>
        <v>0</v>
      </c>
      <c r="P2">
        <f>Lookup!P2</f>
        <v>13137000000</v>
      </c>
      <c r="Q2">
        <f>Lookup!Q2</f>
        <v>0</v>
      </c>
      <c r="R2">
        <f>Lookup!R2</f>
        <v>13107</v>
      </c>
      <c r="S2">
        <f>Lookup!S2</f>
        <v>14812000000</v>
      </c>
      <c r="T2">
        <f>Lookup!T2</f>
        <v>13762000000</v>
      </c>
      <c r="U2">
        <f>Lookup!U2</f>
        <v>4303000000</v>
      </c>
      <c r="V2">
        <f>Lookup!V2</f>
        <v>4313000000</v>
      </c>
      <c r="W2">
        <f>Lookup!W2</f>
        <v>3.05</v>
      </c>
      <c r="X2">
        <f>Lookup!X2</f>
        <v>3.04</v>
      </c>
      <c r="Y2" t="str" cm="1">
        <f t="array" aca="1" ref="Y2" ca="1">MID(CELL("filename",A1),FIND("[",CELL("filename",A1))+1,FIND("]",CELL("filename",A1))-FIND("[",CELL("filename",A1))-1)</f>
        <v>KO_INC-ST_YRLY.xlsx</v>
      </c>
      <c r="Z2" t="str">
        <f ca="1">_xlfn.CONCAT(LEFT(Y2,14),"-002")</f>
        <v>KO_INC-ST_YRLY-002</v>
      </c>
      <c r="AA2" s="14">
        <f t="shared" ref="AA2:AA40" ca="1" si="0">NOW()</f>
        <v>46088.839546527779</v>
      </c>
    </row>
    <row r="3" spans="1:27" x14ac:dyDescent="0.25">
      <c r="A3" t="str">
        <f>Lookup!A3</f>
        <v>KO</v>
      </c>
      <c r="B3" s="15">
        <f ca="1">Lookup!B3</f>
        <v>46088</v>
      </c>
      <c r="C3">
        <f>Lookup!C3</f>
        <v>2024</v>
      </c>
      <c r="D3">
        <f>Lookup!D3</f>
        <v>47061000000</v>
      </c>
      <c r="E3">
        <f>Lookup!E3</f>
        <v>18324000000</v>
      </c>
      <c r="F3">
        <f>Lookup!F3</f>
        <v>28737000000</v>
      </c>
      <c r="G3">
        <f>Lookup!G3</f>
        <v>14582000000</v>
      </c>
      <c r="H3">
        <f>Lookup!H3</f>
        <v>-4163000000</v>
      </c>
      <c r="I3">
        <f>Lookup!I3</f>
        <v>18745000000</v>
      </c>
      <c r="J3">
        <f>Lookup!J3</f>
        <v>9992000000</v>
      </c>
      <c r="K3">
        <f>Lookup!K3</f>
        <v>3094000000</v>
      </c>
      <c r="L3">
        <f>Lookup!L3</f>
        <v>13086000000</v>
      </c>
      <c r="M3">
        <f>Lookup!M3</f>
        <v>2437000000</v>
      </c>
      <c r="N3">
        <f>Lookup!N3</f>
        <v>10649000000</v>
      </c>
      <c r="O3">
        <f>Lookup!O3</f>
        <v>0</v>
      </c>
      <c r="P3">
        <f>Lookup!P3</f>
        <v>10649000000</v>
      </c>
      <c r="Q3">
        <f>Lookup!Q3</f>
        <v>0</v>
      </c>
      <c r="R3">
        <f>Lookup!R3</f>
        <v>10631</v>
      </c>
      <c r="S3">
        <f>Lookup!S3</f>
        <v>11067000000</v>
      </c>
      <c r="T3">
        <f>Lookup!T3</f>
        <v>9992000000</v>
      </c>
      <c r="U3">
        <f>Lookup!U3</f>
        <v>4309000000</v>
      </c>
      <c r="V3">
        <f>Lookup!V3</f>
        <v>4320000000</v>
      </c>
      <c r="W3">
        <f>Lookup!W3</f>
        <v>2.4700000000000002</v>
      </c>
      <c r="X3">
        <f>Lookup!X3</f>
        <v>2.46</v>
      </c>
      <c r="Y3" t="str">
        <f ca="1">$Y$2</f>
        <v>KO_INC-ST_YRLY.xlsx</v>
      </c>
      <c r="Z3" t="str">
        <f ca="1">$Z$2</f>
        <v>KO_INC-ST_YRLY-002</v>
      </c>
      <c r="AA3" s="14">
        <f t="shared" ca="1" si="0"/>
        <v>46088.839546527779</v>
      </c>
    </row>
    <row r="4" spans="1:27" x14ac:dyDescent="0.25">
      <c r="A4" t="str">
        <f>Lookup!A4</f>
        <v>KO</v>
      </c>
      <c r="B4" s="15">
        <f ca="1">Lookup!B4</f>
        <v>46088</v>
      </c>
      <c r="C4">
        <f>Lookup!C4</f>
        <v>2023</v>
      </c>
      <c r="D4">
        <f>Lookup!D4</f>
        <v>45754000000</v>
      </c>
      <c r="E4">
        <f>Lookup!E4</f>
        <v>18520000000</v>
      </c>
      <c r="F4">
        <f>Lookup!F4</f>
        <v>27234000000</v>
      </c>
      <c r="G4">
        <f>Lookup!G4</f>
        <v>13972000000</v>
      </c>
      <c r="H4">
        <f>Lookup!H4</f>
        <v>-1951000000</v>
      </c>
      <c r="I4">
        <f>Lookup!I4</f>
        <v>15923000000</v>
      </c>
      <c r="J4">
        <f>Lookup!J4</f>
        <v>11311000000</v>
      </c>
      <c r="K4">
        <f>Lookup!K4</f>
        <v>1641000000</v>
      </c>
      <c r="L4">
        <f>Lookup!L4</f>
        <v>12952000000</v>
      </c>
      <c r="M4">
        <f>Lookup!M4</f>
        <v>2249000000</v>
      </c>
      <c r="N4">
        <f>Lookup!N4</f>
        <v>10703000000</v>
      </c>
      <c r="O4">
        <f>Lookup!O4</f>
        <v>0</v>
      </c>
      <c r="P4">
        <f>Lookup!P4</f>
        <v>10703000000</v>
      </c>
      <c r="Q4">
        <f>Lookup!Q4</f>
        <v>0</v>
      </c>
      <c r="R4">
        <f>Lookup!R4</f>
        <v>10714</v>
      </c>
      <c r="S4">
        <f>Lookup!S4</f>
        <v>12439000000</v>
      </c>
      <c r="T4">
        <f>Lookup!T4</f>
        <v>11311000000</v>
      </c>
      <c r="U4">
        <f>Lookup!U4</f>
        <v>4323000000</v>
      </c>
      <c r="V4">
        <f>Lookup!V4</f>
        <v>4339000000</v>
      </c>
      <c r="W4">
        <f>Lookup!W4</f>
        <v>2.48</v>
      </c>
      <c r="X4">
        <f>Lookup!X4</f>
        <v>2.4700000000000002</v>
      </c>
      <c r="Y4" t="str">
        <f t="shared" ref="Y4:Y40" ca="1" si="1">$Y$2</f>
        <v>KO_INC-ST_YRLY.xlsx</v>
      </c>
      <c r="Z4" t="str">
        <f t="shared" ref="Z4:Z40" ca="1" si="2">$Z$2</f>
        <v>KO_INC-ST_YRLY-002</v>
      </c>
      <c r="AA4" s="14">
        <f t="shared" ca="1" si="0"/>
        <v>46088.839546527779</v>
      </c>
    </row>
    <row r="5" spans="1:27" x14ac:dyDescent="0.25">
      <c r="A5" t="str">
        <f>Lookup!A5</f>
        <v>KO</v>
      </c>
      <c r="B5" s="15">
        <f ca="1">Lookup!B5</f>
        <v>46088</v>
      </c>
      <c r="C5">
        <f>Lookup!C5</f>
        <v>2022</v>
      </c>
      <c r="D5">
        <f>Lookup!D5</f>
        <v>43004000000</v>
      </c>
      <c r="E5">
        <f>Lookup!E5</f>
        <v>18000000000</v>
      </c>
      <c r="F5">
        <f>Lookup!F5</f>
        <v>25004000000</v>
      </c>
      <c r="G5">
        <f>Lookup!G5</f>
        <v>12880000000</v>
      </c>
      <c r="H5">
        <f>Lookup!H5</f>
        <v>-1215000000</v>
      </c>
      <c r="I5">
        <f>Lookup!I5</f>
        <v>14095000000</v>
      </c>
      <c r="J5">
        <f>Lookup!J5</f>
        <v>10909000000</v>
      </c>
      <c r="K5">
        <f>Lookup!K5</f>
        <v>777000000</v>
      </c>
      <c r="L5">
        <f>Lookup!L5</f>
        <v>11686000000</v>
      </c>
      <c r="M5">
        <f>Lookup!M5</f>
        <v>2115000000</v>
      </c>
      <c r="N5">
        <f>Lookup!N5</f>
        <v>9571000000</v>
      </c>
      <c r="O5">
        <f>Lookup!O5</f>
        <v>0</v>
      </c>
      <c r="P5">
        <f>Lookup!P5</f>
        <v>9571000000</v>
      </c>
      <c r="Q5">
        <f>Lookup!Q5</f>
        <v>0</v>
      </c>
      <c r="R5">
        <f>Lookup!R5</f>
        <v>9542</v>
      </c>
      <c r="S5">
        <f>Lookup!S5</f>
        <v>12169000000</v>
      </c>
      <c r="T5">
        <f>Lookup!T5</f>
        <v>10909000000</v>
      </c>
      <c r="U5">
        <f>Lookup!U5</f>
        <v>4328000000</v>
      </c>
      <c r="V5">
        <f>Lookup!V5</f>
        <v>4350000000</v>
      </c>
      <c r="W5">
        <f>Lookup!W5</f>
        <v>2.2000000000000002</v>
      </c>
      <c r="X5">
        <f>Lookup!X5</f>
        <v>2.19</v>
      </c>
      <c r="Y5" t="str">
        <f t="shared" ca="1" si="1"/>
        <v>KO_INC-ST_YRLY.xlsx</v>
      </c>
      <c r="Z5" t="str">
        <f t="shared" ca="1" si="2"/>
        <v>KO_INC-ST_YRLY-002</v>
      </c>
      <c r="AA5" s="14">
        <f t="shared" ca="1" si="0"/>
        <v>46088.839546527779</v>
      </c>
    </row>
    <row r="6" spans="1:27" x14ac:dyDescent="0.25">
      <c r="A6" t="str">
        <f>Lookup!A6</f>
        <v>KO</v>
      </c>
      <c r="B6" s="15">
        <f ca="1">Lookup!B6</f>
        <v>46088</v>
      </c>
      <c r="C6">
        <f>Lookup!C6</f>
        <v>2021</v>
      </c>
      <c r="D6">
        <f>Lookup!D6</f>
        <v>38655000000</v>
      </c>
      <c r="E6">
        <f>Lookup!E6</f>
        <v>15357000000</v>
      </c>
      <c r="F6">
        <f>Lookup!F6</f>
        <v>23298000000</v>
      </c>
      <c r="G6">
        <f>Lookup!G6</f>
        <v>12144000000</v>
      </c>
      <c r="H6">
        <f>Lookup!H6</f>
        <v>-846000000</v>
      </c>
      <c r="I6">
        <f>Lookup!I6</f>
        <v>12990000000</v>
      </c>
      <c r="J6">
        <f>Lookup!J6</f>
        <v>10308000000</v>
      </c>
      <c r="K6">
        <f>Lookup!K6</f>
        <v>2117000000</v>
      </c>
      <c r="L6">
        <f>Lookup!L6</f>
        <v>12425000000</v>
      </c>
      <c r="M6">
        <f>Lookup!M6</f>
        <v>2621000000</v>
      </c>
      <c r="N6">
        <f>Lookup!N6</f>
        <v>9804000000</v>
      </c>
      <c r="O6">
        <f>Lookup!O6</f>
        <v>0</v>
      </c>
      <c r="P6">
        <f>Lookup!P6</f>
        <v>9804000000</v>
      </c>
      <c r="Q6">
        <f>Lookup!Q6</f>
        <v>0</v>
      </c>
      <c r="R6">
        <f>Lookup!R6</f>
        <v>9771</v>
      </c>
      <c r="S6">
        <f>Lookup!S6</f>
        <v>11760000000</v>
      </c>
      <c r="T6">
        <f>Lookup!T6</f>
        <v>10308000000</v>
      </c>
      <c r="U6">
        <f>Lookup!U6</f>
        <v>4315000000</v>
      </c>
      <c r="V6">
        <f>Lookup!V6</f>
        <v>4340000000</v>
      </c>
      <c r="W6">
        <f>Lookup!W6</f>
        <v>2.2599999999999998</v>
      </c>
      <c r="X6">
        <f>Lookup!X6</f>
        <v>2.25</v>
      </c>
      <c r="Y6" t="str">
        <f t="shared" ca="1" si="1"/>
        <v>KO_INC-ST_YRLY.xlsx</v>
      </c>
      <c r="Z6" t="str">
        <f t="shared" ca="1" si="2"/>
        <v>KO_INC-ST_YRLY-002</v>
      </c>
      <c r="AA6" s="14">
        <f t="shared" ca="1" si="0"/>
        <v>46088.839546527779</v>
      </c>
    </row>
    <row r="7" spans="1:27" x14ac:dyDescent="0.25">
      <c r="A7" t="str">
        <f>Lookup!A7</f>
        <v>KO</v>
      </c>
      <c r="B7" s="15">
        <f ca="1">Lookup!B7</f>
        <v>46088</v>
      </c>
      <c r="C7">
        <f>Lookup!C7</f>
        <v>2020</v>
      </c>
      <c r="D7">
        <f>Lookup!D7</f>
        <v>33014000000</v>
      </c>
      <c r="E7">
        <f>Lookup!E7</f>
        <v>13433000000</v>
      </c>
      <c r="F7">
        <f>Lookup!F7</f>
        <v>19581000000</v>
      </c>
      <c r="G7">
        <f>Lookup!G7</f>
        <v>9731000000</v>
      </c>
      <c r="H7">
        <f>Lookup!H7</f>
        <v>-853000000</v>
      </c>
      <c r="I7">
        <f>Lookup!I7</f>
        <v>10584000000</v>
      </c>
      <c r="J7">
        <f>Lookup!J7</f>
        <v>8997000000</v>
      </c>
      <c r="K7">
        <f>Lookup!K7</f>
        <v>752000000</v>
      </c>
      <c r="L7">
        <f>Lookup!L7</f>
        <v>9749000000</v>
      </c>
      <c r="M7">
        <f>Lookup!M7</f>
        <v>1981000000</v>
      </c>
      <c r="N7">
        <f>Lookup!N7</f>
        <v>7768000000</v>
      </c>
      <c r="O7">
        <f>Lookup!O7</f>
        <v>0</v>
      </c>
      <c r="P7">
        <f>Lookup!P7</f>
        <v>7768000000</v>
      </c>
      <c r="Q7">
        <f>Lookup!Q7</f>
        <v>0</v>
      </c>
      <c r="R7">
        <f>Lookup!R7</f>
        <v>7747</v>
      </c>
      <c r="S7">
        <f>Lookup!S7</f>
        <v>10533000000</v>
      </c>
      <c r="T7">
        <f>Lookup!T7</f>
        <v>8997000000</v>
      </c>
      <c r="U7">
        <f>Lookup!U7</f>
        <v>4295000000</v>
      </c>
      <c r="V7">
        <f>Lookup!V7</f>
        <v>4323000000</v>
      </c>
      <c r="W7">
        <f>Lookup!W7</f>
        <v>1.8</v>
      </c>
      <c r="X7">
        <f>Lookup!X7</f>
        <v>1.79</v>
      </c>
      <c r="Y7" t="str">
        <f t="shared" ca="1" si="1"/>
        <v>KO_INC-ST_YRLY.xlsx</v>
      </c>
      <c r="Z7" t="str">
        <f t="shared" ca="1" si="2"/>
        <v>KO_INC-ST_YRLY-002</v>
      </c>
      <c r="AA7" s="14">
        <f t="shared" ca="1" si="0"/>
        <v>46088.839546527779</v>
      </c>
    </row>
    <row r="8" spans="1:27" x14ac:dyDescent="0.25">
      <c r="A8" t="str">
        <f>Lookup!A8</f>
        <v>KO</v>
      </c>
      <c r="B8" s="15">
        <f ca="1">Lookup!B8</f>
        <v>46088</v>
      </c>
      <c r="C8">
        <f>Lookup!C8</f>
        <v>2019</v>
      </c>
      <c r="D8">
        <f>Lookup!D8</f>
        <v>37266000000</v>
      </c>
      <c r="E8">
        <f>Lookup!E8</f>
        <v>14619000000</v>
      </c>
      <c r="F8">
        <f>Lookup!F8</f>
        <v>22647000000</v>
      </c>
      <c r="G8">
        <f>Lookup!G8</f>
        <v>12103000000</v>
      </c>
      <c r="H8">
        <f>Lookup!H8</f>
        <v>-458000000</v>
      </c>
      <c r="I8">
        <f>Lookup!I8</f>
        <v>12561000000</v>
      </c>
      <c r="J8">
        <f>Lookup!J8</f>
        <v>10086000000</v>
      </c>
      <c r="K8">
        <f>Lookup!K8</f>
        <v>700000000</v>
      </c>
      <c r="L8">
        <f>Lookup!L8</f>
        <v>10786000000</v>
      </c>
      <c r="M8">
        <f>Lookup!M8</f>
        <v>1801000000</v>
      </c>
      <c r="N8">
        <f>Lookup!N8</f>
        <v>8985000000</v>
      </c>
      <c r="O8">
        <f>Lookup!O8</f>
        <v>0</v>
      </c>
      <c r="P8">
        <f>Lookup!P8</f>
        <v>8985000000</v>
      </c>
      <c r="Q8">
        <f>Lookup!Q8</f>
        <v>0</v>
      </c>
      <c r="R8">
        <f>Lookup!R8</f>
        <v>8920</v>
      </c>
      <c r="S8">
        <f>Lookup!S8</f>
        <v>11451000000</v>
      </c>
      <c r="T8">
        <f>Lookup!T8</f>
        <v>10086000000</v>
      </c>
      <c r="U8">
        <f>Lookup!U8</f>
        <v>4276000000</v>
      </c>
      <c r="V8">
        <f>Lookup!V8</f>
        <v>4314000000</v>
      </c>
      <c r="W8">
        <f>Lookup!W8</f>
        <v>2.09</v>
      </c>
      <c r="X8">
        <f>Lookup!X8</f>
        <v>2.0699999999999998</v>
      </c>
      <c r="Y8" t="str">
        <f t="shared" ca="1" si="1"/>
        <v>KO_INC-ST_YRLY.xlsx</v>
      </c>
      <c r="Z8" t="str">
        <f t="shared" ca="1" si="2"/>
        <v>KO_INC-ST_YRLY-002</v>
      </c>
      <c r="AA8" s="14">
        <f t="shared" ca="1" si="0"/>
        <v>46088.839546527779</v>
      </c>
    </row>
    <row r="9" spans="1:27" x14ac:dyDescent="0.25">
      <c r="A9" t="str">
        <f>Lookup!A9</f>
        <v>KO</v>
      </c>
      <c r="B9" s="15">
        <f ca="1">Lookup!B9</f>
        <v>46088</v>
      </c>
      <c r="C9">
        <f>Lookup!C9</f>
        <v>2018</v>
      </c>
      <c r="D9">
        <f>Lookup!D9</f>
        <v>34300000000</v>
      </c>
      <c r="E9">
        <f>Lookup!E9</f>
        <v>13067000000</v>
      </c>
      <c r="F9">
        <f>Lookup!F9</f>
        <v>21233000000</v>
      </c>
      <c r="G9">
        <f>Lookup!G9</f>
        <v>11002000000</v>
      </c>
      <c r="H9">
        <f>Lookup!H9</f>
        <v>-1079000000</v>
      </c>
      <c r="I9">
        <f>Lookup!I9</f>
        <v>12081000000</v>
      </c>
      <c r="J9">
        <f>Lookup!J9</f>
        <v>9152000000</v>
      </c>
      <c r="K9">
        <f>Lookup!K9</f>
        <v>-927000000</v>
      </c>
      <c r="L9">
        <f>Lookup!L9</f>
        <v>8225000000</v>
      </c>
      <c r="M9">
        <f>Lookup!M9</f>
        <v>1749000000</v>
      </c>
      <c r="N9">
        <f>Lookup!N9</f>
        <v>6476000000</v>
      </c>
      <c r="O9">
        <f>Lookup!O9</f>
        <v>0</v>
      </c>
      <c r="P9">
        <f>Lookup!P9</f>
        <v>6476000000</v>
      </c>
      <c r="Q9">
        <f>Lookup!Q9</f>
        <v>0</v>
      </c>
      <c r="R9">
        <f>Lookup!R9</f>
        <v>6434</v>
      </c>
      <c r="S9">
        <f>Lookup!S9</f>
        <v>10238000000</v>
      </c>
      <c r="T9">
        <f>Lookup!T9</f>
        <v>9152000000</v>
      </c>
      <c r="U9">
        <f>Lookup!U9</f>
        <v>4259000000</v>
      </c>
      <c r="V9">
        <f>Lookup!V9</f>
        <v>4299000000</v>
      </c>
      <c r="W9">
        <f>Lookup!W9</f>
        <v>1.51</v>
      </c>
      <c r="X9">
        <f>Lookup!X9</f>
        <v>1.5</v>
      </c>
      <c r="Y9" t="str">
        <f t="shared" ca="1" si="1"/>
        <v>KO_INC-ST_YRLY.xlsx</v>
      </c>
      <c r="Z9" t="str">
        <f t="shared" ca="1" si="2"/>
        <v>KO_INC-ST_YRLY-002</v>
      </c>
      <c r="AA9" s="14">
        <f t="shared" ca="1" si="0"/>
        <v>46088.839546527779</v>
      </c>
    </row>
    <row r="10" spans="1:27" x14ac:dyDescent="0.25">
      <c r="A10" t="str">
        <f>Lookup!A10</f>
        <v>KO</v>
      </c>
      <c r="B10" s="15">
        <f ca="1">Lookup!B10</f>
        <v>46088</v>
      </c>
      <c r="C10">
        <f>Lookup!C10</f>
        <v>2017</v>
      </c>
      <c r="D10">
        <f>Lookup!D10</f>
        <v>36212000000</v>
      </c>
      <c r="E10">
        <f>Lookup!E10</f>
        <v>13721000000</v>
      </c>
      <c r="F10">
        <f>Lookup!F10</f>
        <v>22491000000</v>
      </c>
      <c r="G10">
        <f>Lookup!G10</f>
        <v>12834000000</v>
      </c>
      <c r="H10">
        <f>Lookup!H10</f>
        <v>-1902000000</v>
      </c>
      <c r="I10">
        <f>Lookup!I10</f>
        <v>14736000000</v>
      </c>
      <c r="J10">
        <f>Lookup!J10</f>
        <v>7755000000</v>
      </c>
      <c r="K10">
        <f>Lookup!K10</f>
        <v>-865000000</v>
      </c>
      <c r="L10">
        <f>Lookup!L10</f>
        <v>6890000000</v>
      </c>
      <c r="M10">
        <f>Lookup!M10</f>
        <v>5607000000</v>
      </c>
      <c r="N10">
        <f>Lookup!N10</f>
        <v>1283000000</v>
      </c>
      <c r="O10">
        <f>Lookup!O10</f>
        <v>0</v>
      </c>
      <c r="P10">
        <f>Lookup!P10</f>
        <v>1283000000</v>
      </c>
      <c r="Q10">
        <f>Lookup!Q10</f>
        <v>0</v>
      </c>
      <c r="R10">
        <f>Lookup!R10</f>
        <v>1248</v>
      </c>
      <c r="S10">
        <f>Lookup!S10</f>
        <v>9015000000</v>
      </c>
      <c r="T10">
        <f>Lookup!T10</f>
        <v>7755000000</v>
      </c>
      <c r="U10">
        <f>Lookup!U10</f>
        <v>4272000000</v>
      </c>
      <c r="V10">
        <f>Lookup!V10</f>
        <v>4324000000</v>
      </c>
      <c r="W10">
        <f>Lookup!W10</f>
        <v>0.28999999999999998</v>
      </c>
      <c r="X10">
        <f>Lookup!X10</f>
        <v>0.28999999999999998</v>
      </c>
      <c r="Y10" t="str">
        <f t="shared" ca="1" si="1"/>
        <v>KO_INC-ST_YRLY.xlsx</v>
      </c>
      <c r="Z10" t="str">
        <f t="shared" ca="1" si="2"/>
        <v>KO_INC-ST_YRLY-002</v>
      </c>
      <c r="AA10" s="14">
        <f t="shared" ca="1" si="0"/>
        <v>46088.839546527779</v>
      </c>
    </row>
    <row r="11" spans="1:27" x14ac:dyDescent="0.25">
      <c r="A11" t="str">
        <f>Lookup!A11</f>
        <v>KO</v>
      </c>
      <c r="B11" s="15">
        <f ca="1">Lookup!B11</f>
        <v>46088</v>
      </c>
      <c r="C11">
        <f>Lookup!C11</f>
        <v>2016</v>
      </c>
      <c r="D11">
        <f>Lookup!D11</f>
        <v>41863000000</v>
      </c>
      <c r="E11">
        <f>Lookup!E11</f>
        <v>16465000000</v>
      </c>
      <c r="F11">
        <f>Lookup!F11</f>
        <v>25398000000</v>
      </c>
      <c r="G11">
        <f>Lookup!G11</f>
        <v>15370000000</v>
      </c>
      <c r="H11">
        <f>Lookup!H11</f>
        <v>-1371000000</v>
      </c>
      <c r="I11">
        <f>Lookup!I11</f>
        <v>16741000000</v>
      </c>
      <c r="J11">
        <f>Lookup!J11</f>
        <v>8657000000</v>
      </c>
      <c r="K11">
        <f>Lookup!K11</f>
        <v>-521000000</v>
      </c>
      <c r="L11">
        <f>Lookup!L11</f>
        <v>8136000000</v>
      </c>
      <c r="M11">
        <f>Lookup!M11</f>
        <v>1586000000</v>
      </c>
      <c r="N11">
        <f>Lookup!N11</f>
        <v>6550000000</v>
      </c>
      <c r="O11">
        <f>Lookup!O11</f>
        <v>0</v>
      </c>
      <c r="P11">
        <f>Lookup!P11</f>
        <v>6550000000</v>
      </c>
      <c r="Q11">
        <f>Lookup!Q11</f>
        <v>0</v>
      </c>
      <c r="R11">
        <f>Lookup!R11</f>
        <v>6527</v>
      </c>
      <c r="S11">
        <f>Lookup!S11</f>
        <v>10444000000</v>
      </c>
      <c r="T11">
        <f>Lookup!T11</f>
        <v>8657000000</v>
      </c>
      <c r="U11">
        <f>Lookup!U11</f>
        <v>4317000000</v>
      </c>
      <c r="V11">
        <f>Lookup!V11</f>
        <v>4367000000</v>
      </c>
      <c r="W11">
        <f>Lookup!W11</f>
        <v>1.51</v>
      </c>
      <c r="X11">
        <f>Lookup!X11</f>
        <v>1.49</v>
      </c>
      <c r="Y11" t="str">
        <f t="shared" ca="1" si="1"/>
        <v>KO_INC-ST_YRLY.xlsx</v>
      </c>
      <c r="Z11" t="str">
        <f t="shared" ca="1" si="2"/>
        <v>KO_INC-ST_YRLY-002</v>
      </c>
      <c r="AA11" s="14">
        <f t="shared" ca="1" si="0"/>
        <v>46088.839546527779</v>
      </c>
    </row>
    <row r="12" spans="1:27" x14ac:dyDescent="0.25">
      <c r="A12" t="str">
        <f>Lookup!A12</f>
        <v>KO</v>
      </c>
      <c r="B12" s="15">
        <f ca="1">Lookup!B12</f>
        <v>46088</v>
      </c>
      <c r="C12">
        <f>Lookup!C12</f>
        <v>2015</v>
      </c>
      <c r="D12">
        <f>Lookup!D12</f>
        <v>44294000000</v>
      </c>
      <c r="E12">
        <f>Lookup!E12</f>
        <v>17482000000</v>
      </c>
      <c r="F12">
        <f>Lookup!F12</f>
        <v>26812000000</v>
      </c>
      <c r="G12">
        <f>Lookup!G12</f>
        <v>16427000000</v>
      </c>
      <c r="H12">
        <f>Lookup!H12</f>
        <v>-1657000000</v>
      </c>
      <c r="I12">
        <f>Lookup!I12</f>
        <v>18084000000</v>
      </c>
      <c r="J12">
        <f>Lookup!J12</f>
        <v>8728000000</v>
      </c>
      <c r="K12">
        <f>Lookup!K12</f>
        <v>877000000</v>
      </c>
      <c r="L12">
        <f>Lookup!L12</f>
        <v>9605000000</v>
      </c>
      <c r="M12">
        <f>Lookup!M12</f>
        <v>2239000000</v>
      </c>
      <c r="N12">
        <f>Lookup!N12</f>
        <v>7366000000</v>
      </c>
      <c r="O12">
        <f>Lookup!O12</f>
        <v>0</v>
      </c>
      <c r="P12">
        <f>Lookup!P12</f>
        <v>7366000000</v>
      </c>
      <c r="Q12">
        <f>Lookup!Q12</f>
        <v>0</v>
      </c>
      <c r="R12">
        <f>Lookup!R12</f>
        <v>7351</v>
      </c>
      <c r="S12">
        <f>Lookup!S12</f>
        <v>10698000000</v>
      </c>
      <c r="T12">
        <f>Lookup!T12</f>
        <v>8728000000</v>
      </c>
      <c r="U12">
        <f>Lookup!U12</f>
        <v>4352000000</v>
      </c>
      <c r="V12">
        <f>Lookup!V12</f>
        <v>4405000000</v>
      </c>
      <c r="W12">
        <f>Lookup!W12</f>
        <v>1.69</v>
      </c>
      <c r="X12">
        <f>Lookup!X12</f>
        <v>1.67</v>
      </c>
      <c r="Y12" t="str">
        <f t="shared" ca="1" si="1"/>
        <v>KO_INC-ST_YRLY.xlsx</v>
      </c>
      <c r="Z12" t="str">
        <f t="shared" ca="1" si="2"/>
        <v>KO_INC-ST_YRLY-002</v>
      </c>
      <c r="AA12" s="14">
        <f t="shared" ca="1" si="0"/>
        <v>46088.839546527779</v>
      </c>
    </row>
    <row r="13" spans="1:27" x14ac:dyDescent="0.25">
      <c r="A13" t="str">
        <f>Lookup!A13</f>
        <v>KO</v>
      </c>
      <c r="B13" s="15">
        <f ca="1">Lookup!B13</f>
        <v>46088</v>
      </c>
      <c r="C13">
        <f>Lookup!C13</f>
        <v>2014</v>
      </c>
      <c r="D13">
        <f>Lookup!D13</f>
        <v>45998000000</v>
      </c>
      <c r="E13">
        <f>Lookup!E13</f>
        <v>17889000000</v>
      </c>
      <c r="F13">
        <f>Lookup!F13</f>
        <v>28109000000</v>
      </c>
      <c r="G13">
        <f>Lookup!G13</f>
        <v>17218000000</v>
      </c>
      <c r="H13">
        <f>Lookup!H13</f>
        <v>-1183000000</v>
      </c>
      <c r="I13">
        <f>Lookup!I13</f>
        <v>18401000000</v>
      </c>
      <c r="J13">
        <f>Lookup!J13</f>
        <v>9708000000</v>
      </c>
      <c r="K13">
        <f>Lookup!K13</f>
        <v>-383000000</v>
      </c>
      <c r="L13">
        <f>Lookup!L13</f>
        <v>9325000000</v>
      </c>
      <c r="M13">
        <f>Lookup!M13</f>
        <v>2201000000</v>
      </c>
      <c r="N13">
        <f>Lookup!N13</f>
        <v>7124000000</v>
      </c>
      <c r="O13">
        <f>Lookup!O13</f>
        <v>0</v>
      </c>
      <c r="P13">
        <f>Lookup!P13</f>
        <v>7124000000</v>
      </c>
      <c r="Q13">
        <f>Lookup!Q13</f>
        <v>0</v>
      </c>
      <c r="R13">
        <f>Lookup!R13</f>
        <v>7098</v>
      </c>
      <c r="S13">
        <f>Lookup!S13</f>
        <v>11684000000</v>
      </c>
      <c r="T13">
        <f>Lookup!T13</f>
        <v>9708000000</v>
      </c>
      <c r="U13">
        <f>Lookup!U13</f>
        <v>4387000000</v>
      </c>
      <c r="V13">
        <f>Lookup!V13</f>
        <v>4450000000</v>
      </c>
      <c r="W13">
        <f>Lookup!W13</f>
        <v>1.62</v>
      </c>
      <c r="X13">
        <f>Lookup!X13</f>
        <v>1.6</v>
      </c>
      <c r="Y13" t="str">
        <f t="shared" ca="1" si="1"/>
        <v>KO_INC-ST_YRLY.xlsx</v>
      </c>
      <c r="Z13" t="str">
        <f t="shared" ca="1" si="2"/>
        <v>KO_INC-ST_YRLY-002</v>
      </c>
      <c r="AA13" s="14">
        <f t="shared" ca="1" si="0"/>
        <v>46088.839546527779</v>
      </c>
    </row>
    <row r="14" spans="1:27" x14ac:dyDescent="0.25">
      <c r="A14" t="str">
        <f>Lookup!A14</f>
        <v>KO</v>
      </c>
      <c r="B14" s="15">
        <f ca="1">Lookup!B14</f>
        <v>46088</v>
      </c>
      <c r="C14">
        <f>Lookup!C14</f>
        <v>2013</v>
      </c>
      <c r="D14">
        <f>Lookup!D14</f>
        <v>46854000000</v>
      </c>
      <c r="E14">
        <f>Lookup!E14</f>
        <v>18421000000</v>
      </c>
      <c r="F14">
        <f>Lookup!F14</f>
        <v>28433000000</v>
      </c>
      <c r="G14">
        <f>Lookup!G14</f>
        <v>17310000000</v>
      </c>
      <c r="H14">
        <f>Lookup!H14</f>
        <v>-895000000</v>
      </c>
      <c r="I14">
        <f>Lookup!I14</f>
        <v>18205000000</v>
      </c>
      <c r="J14">
        <f>Lookup!J14</f>
        <v>10228000000</v>
      </c>
      <c r="K14">
        <f>Lookup!K14</f>
        <v>1249000000</v>
      </c>
      <c r="L14">
        <f>Lookup!L14</f>
        <v>11477000000</v>
      </c>
      <c r="M14">
        <f>Lookup!M14</f>
        <v>2851000000</v>
      </c>
      <c r="N14">
        <f>Lookup!N14</f>
        <v>8626000000</v>
      </c>
      <c r="O14">
        <f>Lookup!O14</f>
        <v>0</v>
      </c>
      <c r="P14">
        <f>Lookup!P14</f>
        <v>8626000000</v>
      </c>
      <c r="Q14">
        <f>Lookup!Q14</f>
        <v>0</v>
      </c>
      <c r="R14">
        <f>Lookup!R14</f>
        <v>8584</v>
      </c>
      <c r="S14">
        <f>Lookup!S14</f>
        <v>12205000000</v>
      </c>
      <c r="T14">
        <f>Lookup!T14</f>
        <v>10228000000</v>
      </c>
      <c r="U14">
        <f>Lookup!U14</f>
        <v>4434000000</v>
      </c>
      <c r="V14">
        <f>Lookup!V14</f>
        <v>4509000000</v>
      </c>
      <c r="W14">
        <f>Lookup!W14</f>
        <v>1.94</v>
      </c>
      <c r="X14">
        <f>Lookup!X14</f>
        <v>1.9</v>
      </c>
      <c r="Y14" t="str">
        <f t="shared" ca="1" si="1"/>
        <v>KO_INC-ST_YRLY.xlsx</v>
      </c>
      <c r="Z14" t="str">
        <f t="shared" ca="1" si="2"/>
        <v>KO_INC-ST_YRLY-002</v>
      </c>
      <c r="AA14" s="14">
        <f t="shared" ca="1" si="0"/>
        <v>46088.839546527779</v>
      </c>
    </row>
    <row r="15" spans="1:27" x14ac:dyDescent="0.25">
      <c r="A15" t="str">
        <f>Lookup!A15</f>
        <v>KO</v>
      </c>
      <c r="B15" s="15">
        <f ca="1">Lookup!B15</f>
        <v>46088</v>
      </c>
      <c r="C15">
        <f>Lookup!C15</f>
        <v>2012</v>
      </c>
      <c r="D15">
        <f>Lookup!D15</f>
        <v>48017000000</v>
      </c>
      <c r="E15">
        <f>Lookup!E15</f>
        <v>19053000000</v>
      </c>
      <c r="F15">
        <f>Lookup!F15</f>
        <v>28964000000</v>
      </c>
      <c r="G15">
        <f>Lookup!G15</f>
        <v>17738000000</v>
      </c>
      <c r="H15">
        <f>Lookup!H15</f>
        <v>-447000000</v>
      </c>
      <c r="I15">
        <f>Lookup!I15</f>
        <v>18185000000</v>
      </c>
      <c r="J15">
        <f>Lookup!J15</f>
        <v>10779000000</v>
      </c>
      <c r="K15">
        <f>Lookup!K15</f>
        <v>1030000000</v>
      </c>
      <c r="L15">
        <f>Lookup!L15</f>
        <v>11809000000</v>
      </c>
      <c r="M15">
        <f>Lookup!M15</f>
        <v>2723000000</v>
      </c>
      <c r="N15">
        <f>Lookup!N15</f>
        <v>9086000000</v>
      </c>
      <c r="O15">
        <f>Lookup!O15</f>
        <v>0</v>
      </c>
      <c r="P15">
        <f>Lookup!P15</f>
        <v>9086000000</v>
      </c>
      <c r="Q15">
        <f>Lookup!Q15</f>
        <v>0</v>
      </c>
      <c r="R15">
        <f>Lookup!R15</f>
        <v>9019</v>
      </c>
      <c r="S15">
        <f>Lookup!S15</f>
        <v>12761000000</v>
      </c>
      <c r="T15">
        <f>Lookup!T15</f>
        <v>10779000000</v>
      </c>
      <c r="U15">
        <f>Lookup!U15</f>
        <v>4504000000</v>
      </c>
      <c r="V15">
        <f>Lookup!V15</f>
        <v>4584000000</v>
      </c>
      <c r="W15">
        <f>Lookup!W15</f>
        <v>2</v>
      </c>
      <c r="X15">
        <f>Lookup!X15</f>
        <v>1.97</v>
      </c>
      <c r="Y15" t="str">
        <f t="shared" ca="1" si="1"/>
        <v>KO_INC-ST_YRLY.xlsx</v>
      </c>
      <c r="Z15" t="str">
        <f t="shared" ca="1" si="2"/>
        <v>KO_INC-ST_YRLY-002</v>
      </c>
      <c r="AA15" s="14">
        <f t="shared" ca="1" si="0"/>
        <v>46088.839546527779</v>
      </c>
    </row>
    <row r="16" spans="1:27" x14ac:dyDescent="0.25">
      <c r="A16" t="str">
        <f>Lookup!A16</f>
        <v>KO</v>
      </c>
      <c r="B16" s="15">
        <f ca="1">Lookup!B16</f>
        <v>46088</v>
      </c>
      <c r="C16">
        <f>Lookup!C16</f>
        <v>2011</v>
      </c>
      <c r="D16">
        <f>Lookup!D16</f>
        <v>46542000000</v>
      </c>
      <c r="E16">
        <f>Lookup!E16</f>
        <v>18215000000</v>
      </c>
      <c r="F16">
        <f>Lookup!F16</f>
        <v>28327000000</v>
      </c>
      <c r="G16">
        <f>Lookup!G16</f>
        <v>17422000000</v>
      </c>
      <c r="H16">
        <f>Lookup!H16</f>
        <v>-732000000</v>
      </c>
      <c r="I16">
        <f>Lookup!I16</f>
        <v>18154000000</v>
      </c>
      <c r="J16">
        <f>Lookup!J16</f>
        <v>10173000000</v>
      </c>
      <c r="K16">
        <f>Lookup!K16</f>
        <v>1285000000</v>
      </c>
      <c r="L16">
        <f>Lookup!L16</f>
        <v>11458000000</v>
      </c>
      <c r="M16">
        <f>Lookup!M16</f>
        <v>2812000000</v>
      </c>
      <c r="N16">
        <f>Lookup!N16</f>
        <v>8646000000</v>
      </c>
      <c r="O16">
        <f>Lookup!O16</f>
        <v>0</v>
      </c>
      <c r="P16">
        <f>Lookup!P16</f>
        <v>8646000000</v>
      </c>
      <c r="Q16">
        <f>Lookup!Q16</f>
        <v>0</v>
      </c>
      <c r="R16">
        <f>Lookup!R16</f>
        <v>8584</v>
      </c>
      <c r="S16">
        <f>Lookup!S16</f>
        <v>12127000000</v>
      </c>
      <c r="T16">
        <f>Lookup!T16</f>
        <v>10173000000</v>
      </c>
      <c r="U16">
        <f>Lookup!U16</f>
        <v>4568000000</v>
      </c>
      <c r="V16">
        <f>Lookup!V16</f>
        <v>4646000000</v>
      </c>
      <c r="W16">
        <f>Lookup!W16</f>
        <v>1.88</v>
      </c>
      <c r="X16">
        <f>Lookup!X16</f>
        <v>1.85</v>
      </c>
      <c r="Y16" t="str">
        <f t="shared" ca="1" si="1"/>
        <v>KO_INC-ST_YRLY.xlsx</v>
      </c>
      <c r="Z16" t="str">
        <f t="shared" ca="1" si="2"/>
        <v>KO_INC-ST_YRLY-002</v>
      </c>
      <c r="AA16" s="14">
        <f t="shared" ca="1" si="0"/>
        <v>46088.839546527779</v>
      </c>
    </row>
    <row r="17" spans="1:27" x14ac:dyDescent="0.25">
      <c r="A17" t="str">
        <f>Lookup!A17</f>
        <v>KO</v>
      </c>
      <c r="B17" s="15">
        <f ca="1">Lookup!B17</f>
        <v>46088</v>
      </c>
      <c r="C17">
        <f>Lookup!C17</f>
        <v>2010</v>
      </c>
      <c r="D17">
        <f>Lookup!D17</f>
        <v>35119000000</v>
      </c>
      <c r="E17">
        <f>Lookup!E17</f>
        <v>12693000000</v>
      </c>
      <c r="F17">
        <f>Lookup!F17</f>
        <v>22426000000</v>
      </c>
      <c r="G17">
        <f>Lookup!G17</f>
        <v>13194000000</v>
      </c>
      <c r="H17">
        <f>Lookup!H17</f>
        <v>-819000000</v>
      </c>
      <c r="I17">
        <f>Lookup!I17</f>
        <v>14013000000</v>
      </c>
      <c r="J17">
        <f>Lookup!J17</f>
        <v>8413000000</v>
      </c>
      <c r="K17">
        <f>Lookup!K17</f>
        <v>5794000000</v>
      </c>
      <c r="L17">
        <f>Lookup!L17</f>
        <v>14207000000</v>
      </c>
      <c r="M17">
        <f>Lookup!M17</f>
        <v>2370000000</v>
      </c>
      <c r="N17">
        <f>Lookup!N17</f>
        <v>11837000000</v>
      </c>
      <c r="O17">
        <f>Lookup!O17</f>
        <v>0</v>
      </c>
      <c r="P17">
        <f>Lookup!P17</f>
        <v>11837000000</v>
      </c>
      <c r="Q17">
        <f>Lookup!Q17</f>
        <v>0</v>
      </c>
      <c r="R17">
        <f>Lookup!R17</f>
        <v>11787</v>
      </c>
      <c r="S17">
        <f>Lookup!S17</f>
        <v>9856000000</v>
      </c>
      <c r="T17">
        <f>Lookup!T17</f>
        <v>8413000000</v>
      </c>
      <c r="U17">
        <f>Lookup!U17</f>
        <v>4616000000</v>
      </c>
      <c r="V17">
        <f>Lookup!V17</f>
        <v>4667000000</v>
      </c>
      <c r="W17">
        <f>Lookup!W17</f>
        <v>2.5499999999999998</v>
      </c>
      <c r="X17">
        <f>Lookup!X17</f>
        <v>2.5299999999999998</v>
      </c>
      <c r="Y17" t="str">
        <f t="shared" ca="1" si="1"/>
        <v>KO_INC-ST_YRLY.xlsx</v>
      </c>
      <c r="Z17" t="str">
        <f t="shared" ca="1" si="2"/>
        <v>KO_INC-ST_YRLY-002</v>
      </c>
      <c r="AA17" s="14">
        <f t="shared" ca="1" si="0"/>
        <v>46088.839546527779</v>
      </c>
    </row>
    <row r="18" spans="1:27" x14ac:dyDescent="0.25">
      <c r="A18" t="str">
        <f>Lookup!A18</f>
        <v>KO</v>
      </c>
      <c r="B18" s="15">
        <f ca="1">Lookup!B18</f>
        <v>46088</v>
      </c>
      <c r="C18">
        <f>Lookup!C18</f>
        <v>2009</v>
      </c>
      <c r="D18">
        <f>Lookup!D18</f>
        <v>30990000000</v>
      </c>
      <c r="E18">
        <f>Lookup!E18</f>
        <v>11088000000</v>
      </c>
      <c r="F18">
        <f>Lookup!F18</f>
        <v>19902000000</v>
      </c>
      <c r="G18">
        <f>Lookup!G18</f>
        <v>11358000000</v>
      </c>
      <c r="H18">
        <f>Lookup!H18</f>
        <v>-313000000</v>
      </c>
      <c r="I18">
        <f>Lookup!I18</f>
        <v>11671000000</v>
      </c>
      <c r="J18">
        <f>Lookup!J18</f>
        <v>8231000000</v>
      </c>
      <c r="K18">
        <f>Lookup!K18</f>
        <v>715000000</v>
      </c>
      <c r="L18">
        <f>Lookup!L18</f>
        <v>8946000000</v>
      </c>
      <c r="M18">
        <f>Lookup!M18</f>
        <v>2040000000</v>
      </c>
      <c r="N18">
        <f>Lookup!N18</f>
        <v>6906000000</v>
      </c>
      <c r="O18">
        <f>Lookup!O18</f>
        <v>0</v>
      </c>
      <c r="P18">
        <f>Lookup!P18</f>
        <v>6906000000</v>
      </c>
      <c r="Q18">
        <f>Lookup!Q18</f>
        <v>0</v>
      </c>
      <c r="R18">
        <f>Lookup!R18</f>
        <v>6824</v>
      </c>
      <c r="S18">
        <f>Lookup!S18</f>
        <v>9467000000</v>
      </c>
      <c r="T18">
        <f>Lookup!T18</f>
        <v>8231000000</v>
      </c>
      <c r="U18">
        <f>Lookup!U18</f>
        <v>4628000000</v>
      </c>
      <c r="V18">
        <f>Lookup!V18</f>
        <v>4658000000</v>
      </c>
      <c r="W18">
        <f>Lookup!W18</f>
        <v>1.4750000000000001</v>
      </c>
      <c r="X18">
        <f>Lookup!X18</f>
        <v>1.4650000000000001</v>
      </c>
      <c r="Y18" t="str">
        <f t="shared" ca="1" si="1"/>
        <v>KO_INC-ST_YRLY.xlsx</v>
      </c>
      <c r="Z18" t="str">
        <f t="shared" ca="1" si="2"/>
        <v>KO_INC-ST_YRLY-002</v>
      </c>
      <c r="AA18" s="14">
        <f t="shared" ca="1" si="0"/>
        <v>46088.839546527779</v>
      </c>
    </row>
    <row r="19" spans="1:27" x14ac:dyDescent="0.25">
      <c r="A19" t="str">
        <f>Lookup!A19</f>
        <v>KO</v>
      </c>
      <c r="B19" s="15">
        <f ca="1">Lookup!B19</f>
        <v>46088</v>
      </c>
      <c r="C19">
        <f>Lookup!C19</f>
        <v>2008</v>
      </c>
      <c r="D19">
        <f>Lookup!D19</f>
        <v>31944000000</v>
      </c>
      <c r="E19">
        <f>Lookup!E19</f>
        <v>11374000000</v>
      </c>
      <c r="F19">
        <f>Lookup!F19</f>
        <v>20570000000</v>
      </c>
      <c r="G19">
        <f>Lookup!G19</f>
        <v>11774000000</v>
      </c>
      <c r="H19">
        <f>Lookup!H19</f>
        <v>-350000000</v>
      </c>
      <c r="I19">
        <f>Lookup!I19</f>
        <v>12124000000</v>
      </c>
      <c r="J19">
        <f>Lookup!J19</f>
        <v>8446000000</v>
      </c>
      <c r="K19">
        <f>Lookup!K19</f>
        <v>-940000000</v>
      </c>
      <c r="L19">
        <f>Lookup!L19</f>
        <v>7506000000</v>
      </c>
      <c r="M19">
        <f>Lookup!M19</f>
        <v>1632000000</v>
      </c>
      <c r="N19">
        <f>Lookup!N19</f>
        <v>5874000000</v>
      </c>
      <c r="O19">
        <f>Lookup!O19</f>
        <v>0</v>
      </c>
      <c r="P19">
        <f>Lookup!P19</f>
        <v>5874000000</v>
      </c>
      <c r="Q19">
        <f>Lookup!Q19</f>
        <v>0</v>
      </c>
      <c r="R19">
        <f>Lookup!R19</f>
        <v>5807</v>
      </c>
      <c r="S19">
        <f>Lookup!S19</f>
        <v>9674000000</v>
      </c>
      <c r="T19">
        <f>Lookup!T19</f>
        <v>8446000000</v>
      </c>
      <c r="U19">
        <f>Lookup!U19</f>
        <v>4630000000</v>
      </c>
      <c r="V19">
        <f>Lookup!V19</f>
        <v>4672000000</v>
      </c>
      <c r="W19">
        <f>Lookup!W19</f>
        <v>1.2549999999999999</v>
      </c>
      <c r="X19">
        <f>Lookup!X19</f>
        <v>1.2450000000000001</v>
      </c>
      <c r="Y19" t="str">
        <f t="shared" ca="1" si="1"/>
        <v>KO_INC-ST_YRLY.xlsx</v>
      </c>
      <c r="Z19" t="str">
        <f t="shared" ca="1" si="2"/>
        <v>KO_INC-ST_YRLY-002</v>
      </c>
      <c r="AA19" s="14">
        <f t="shared" ca="1" si="0"/>
        <v>46088.839546527779</v>
      </c>
    </row>
    <row r="20" spans="1:27" x14ac:dyDescent="0.25">
      <c r="A20" t="str">
        <f>Lookup!A20</f>
        <v>KO</v>
      </c>
      <c r="B20" s="15">
        <f ca="1">Lookup!B20</f>
        <v>46088</v>
      </c>
      <c r="C20">
        <f>Lookup!C20</f>
        <v>2007</v>
      </c>
      <c r="D20">
        <f>Lookup!D20</f>
        <v>28857000000</v>
      </c>
      <c r="E20">
        <f>Lookup!E20</f>
        <v>10406000000</v>
      </c>
      <c r="F20">
        <f>Lookup!F20</f>
        <v>18451000000</v>
      </c>
      <c r="G20">
        <f>Lookup!G20</f>
        <v>10945000000</v>
      </c>
      <c r="H20">
        <f>Lookup!H20</f>
        <v>-254000000</v>
      </c>
      <c r="I20">
        <f>Lookup!I20</f>
        <v>11199000000</v>
      </c>
      <c r="J20">
        <f>Lookup!J20</f>
        <v>7252000000</v>
      </c>
      <c r="K20">
        <f>Lookup!K20</f>
        <v>667000000</v>
      </c>
      <c r="L20">
        <f>Lookup!L20</f>
        <v>7919000000</v>
      </c>
      <c r="M20">
        <f>Lookup!M20</f>
        <v>1892000000</v>
      </c>
      <c r="N20">
        <f>Lookup!N20</f>
        <v>6027000000</v>
      </c>
      <c r="O20">
        <f>Lookup!O20</f>
        <v>0</v>
      </c>
      <c r="P20">
        <f>Lookup!P20</f>
        <v>6027000000</v>
      </c>
      <c r="Q20">
        <f>Lookup!Q20</f>
        <v>0</v>
      </c>
      <c r="R20">
        <f>Lookup!R20</f>
        <v>5981</v>
      </c>
      <c r="S20">
        <f>Lookup!S20</f>
        <v>8415000000</v>
      </c>
      <c r="T20">
        <f>Lookup!T20</f>
        <v>7252000000</v>
      </c>
      <c r="U20">
        <f>Lookup!U20</f>
        <v>4626000000</v>
      </c>
      <c r="V20">
        <f>Lookup!V20</f>
        <v>4662000000</v>
      </c>
      <c r="W20">
        <f>Lookup!W20</f>
        <v>1.2949999999999999</v>
      </c>
      <c r="X20">
        <f>Lookup!X20</f>
        <v>1.2849999999999999</v>
      </c>
      <c r="Y20" t="str">
        <f t="shared" ca="1" si="1"/>
        <v>KO_INC-ST_YRLY.xlsx</v>
      </c>
      <c r="Z20" t="str">
        <f t="shared" ca="1" si="2"/>
        <v>KO_INC-ST_YRLY-002</v>
      </c>
      <c r="AA20" s="14">
        <f t="shared" ca="1" si="0"/>
        <v>46088.839546527779</v>
      </c>
    </row>
    <row r="21" spans="1:27" x14ac:dyDescent="0.25">
      <c r="A21" t="str">
        <f>Lookup!A21</f>
        <v>KO</v>
      </c>
      <c r="B21" s="15">
        <f ca="1">Lookup!B21</f>
        <v>46088</v>
      </c>
      <c r="C21">
        <f>Lookup!C21</f>
        <v>2006</v>
      </c>
      <c r="D21">
        <f>Lookup!D21</f>
        <v>24088000000</v>
      </c>
      <c r="E21">
        <f>Lookup!E21</f>
        <v>8164000000</v>
      </c>
      <c r="F21">
        <f>Lookup!F21</f>
        <v>15924000000</v>
      </c>
      <c r="G21">
        <f>Lookup!G21</f>
        <v>9431000000</v>
      </c>
      <c r="H21">
        <f>Lookup!H21</f>
        <v>-185000000</v>
      </c>
      <c r="I21">
        <f>Lookup!I21</f>
        <v>9616000000</v>
      </c>
      <c r="J21">
        <f>Lookup!J21</f>
        <v>6308000000</v>
      </c>
      <c r="K21">
        <f>Lookup!K21</f>
        <v>270000000</v>
      </c>
      <c r="L21">
        <f>Lookup!L21</f>
        <v>6578000000</v>
      </c>
      <c r="M21">
        <f>Lookup!M21</f>
        <v>1498000000</v>
      </c>
      <c r="N21">
        <f>Lookup!N21</f>
        <v>5080000000</v>
      </c>
      <c r="O21">
        <f>Lookup!O21</f>
        <v>0</v>
      </c>
      <c r="P21">
        <f>Lookup!P21</f>
        <v>5080000000</v>
      </c>
      <c r="Q21">
        <f>Lookup!Q21</f>
        <v>0</v>
      </c>
      <c r="R21">
        <f>Lookup!R21</f>
        <v>5080</v>
      </c>
      <c r="S21">
        <f>Lookup!S21</f>
        <v>7246000000</v>
      </c>
      <c r="T21">
        <f>Lookup!T21</f>
        <v>6308000000</v>
      </c>
      <c r="U21">
        <f>Lookup!U21</f>
        <v>4696000000</v>
      </c>
      <c r="V21">
        <f>Lookup!V21</f>
        <v>4700000000</v>
      </c>
      <c r="W21">
        <f>Lookup!W21</f>
        <v>1.08</v>
      </c>
      <c r="X21">
        <f>Lookup!X21</f>
        <v>1.08</v>
      </c>
      <c r="Y21" t="str">
        <f t="shared" ca="1" si="1"/>
        <v>KO_INC-ST_YRLY.xlsx</v>
      </c>
      <c r="Z21" t="str">
        <f t="shared" ca="1" si="2"/>
        <v>KO_INC-ST_YRLY-002</v>
      </c>
      <c r="AA21" s="14">
        <f t="shared" ca="1" si="0"/>
        <v>46088.839546527779</v>
      </c>
    </row>
    <row r="22" spans="1:27" x14ac:dyDescent="0.25">
      <c r="A22" t="str">
        <f>Lookup!A22</f>
        <v>KO</v>
      </c>
      <c r="B22" s="15">
        <f ca="1">Lookup!B22</f>
        <v>46088</v>
      </c>
      <c r="C22">
        <f>Lookup!C22</f>
        <v>2005</v>
      </c>
      <c r="D22">
        <f>Lookup!D22</f>
        <v>23104000000</v>
      </c>
      <c r="E22">
        <f>Lookup!E22</f>
        <v>8195000000</v>
      </c>
      <c r="F22">
        <f>Lookup!F22</f>
        <v>14909000000</v>
      </c>
      <c r="G22">
        <f>Lookup!G22</f>
        <v>8739000000</v>
      </c>
      <c r="H22">
        <f>Lookup!H22</f>
        <v>-85000000</v>
      </c>
      <c r="I22">
        <f>Lookup!I22</f>
        <v>8824000000</v>
      </c>
      <c r="J22">
        <f>Lookup!J22</f>
        <v>6085000000</v>
      </c>
      <c r="K22">
        <f>Lookup!K22</f>
        <v>605000000</v>
      </c>
      <c r="L22">
        <f>Lookup!L22</f>
        <v>6690000000</v>
      </c>
      <c r="M22">
        <f>Lookup!M22</f>
        <v>1818000000</v>
      </c>
      <c r="N22">
        <f>Lookup!N22</f>
        <v>4872000000</v>
      </c>
      <c r="O22">
        <f>Lookup!O22</f>
        <v>0</v>
      </c>
      <c r="P22">
        <f>Lookup!P22</f>
        <v>4872000000</v>
      </c>
      <c r="Q22">
        <f>Lookup!Q22</f>
        <v>0</v>
      </c>
      <c r="R22">
        <f>Lookup!R22</f>
        <v>4872</v>
      </c>
      <c r="S22">
        <f>Lookup!S22</f>
        <v>7017000000</v>
      </c>
      <c r="T22">
        <f>Lookup!T22</f>
        <v>6085000000</v>
      </c>
      <c r="U22">
        <f>Lookup!U22</f>
        <v>4784000000</v>
      </c>
      <c r="V22">
        <f>Lookup!V22</f>
        <v>4786000000</v>
      </c>
      <c r="W22">
        <f>Lookup!W22</f>
        <v>1.02</v>
      </c>
      <c r="X22">
        <f>Lookup!X22</f>
        <v>1.02</v>
      </c>
      <c r="Y22" t="str">
        <f t="shared" ca="1" si="1"/>
        <v>KO_INC-ST_YRLY.xlsx</v>
      </c>
      <c r="Z22" t="str">
        <f t="shared" ca="1" si="2"/>
        <v>KO_INC-ST_YRLY-002</v>
      </c>
      <c r="AA22" s="14">
        <f t="shared" ca="1" si="0"/>
        <v>46088.839546527779</v>
      </c>
    </row>
    <row r="23" spans="1:27" x14ac:dyDescent="0.25">
      <c r="A23" t="str">
        <f>Lookup!A23</f>
        <v>KO</v>
      </c>
      <c r="B23" s="15">
        <f ca="1">Lookup!B23</f>
        <v>46088</v>
      </c>
      <c r="C23">
        <f>Lookup!C23</f>
        <v>2004</v>
      </c>
      <c r="D23">
        <f>Lookup!D23</f>
        <v>21742000000</v>
      </c>
      <c r="E23">
        <f>Lookup!E23</f>
        <v>7674000000</v>
      </c>
      <c r="F23">
        <f>Lookup!F23</f>
        <v>14068000000</v>
      </c>
      <c r="G23">
        <f>Lookup!G23</f>
        <v>7890000000</v>
      </c>
      <c r="H23">
        <f>Lookup!H23</f>
        <v>-480000000</v>
      </c>
      <c r="I23">
        <f>Lookup!I23</f>
        <v>8370000000</v>
      </c>
      <c r="J23">
        <f>Lookup!J23</f>
        <v>5698000000</v>
      </c>
      <c r="K23">
        <f>Lookup!K23</f>
        <v>524000000</v>
      </c>
      <c r="L23">
        <f>Lookup!L23</f>
        <v>6222000000</v>
      </c>
      <c r="M23">
        <f>Lookup!M23</f>
        <v>1375000000</v>
      </c>
      <c r="N23">
        <f>Lookup!N23</f>
        <v>4847000000</v>
      </c>
      <c r="O23">
        <f>Lookup!O23</f>
        <v>0</v>
      </c>
      <c r="P23">
        <f>Lookup!P23</f>
        <v>4847000000</v>
      </c>
      <c r="Q23">
        <f>Lookup!Q23</f>
        <v>0</v>
      </c>
      <c r="R23">
        <f>Lookup!R23</f>
        <v>4847</v>
      </c>
      <c r="S23">
        <f>Lookup!S23</f>
        <v>6591000000</v>
      </c>
      <c r="T23">
        <f>Lookup!T23</f>
        <v>5698000000</v>
      </c>
      <c r="U23">
        <f>Lookup!U23</f>
        <v>4852000000</v>
      </c>
      <c r="V23">
        <f>Lookup!V23</f>
        <v>4858000000</v>
      </c>
      <c r="W23">
        <f>Lookup!W23</f>
        <v>1</v>
      </c>
      <c r="X23">
        <f>Lookup!X23</f>
        <v>1</v>
      </c>
      <c r="Y23" t="str">
        <f t="shared" ca="1" si="1"/>
        <v>KO_INC-ST_YRLY.xlsx</v>
      </c>
      <c r="Z23" t="str">
        <f t="shared" ca="1" si="2"/>
        <v>KO_INC-ST_YRLY-002</v>
      </c>
      <c r="AA23" s="14">
        <f t="shared" ca="1" si="0"/>
        <v>46088.839546527779</v>
      </c>
    </row>
    <row r="24" spans="1:27" x14ac:dyDescent="0.25">
      <c r="A24" t="str">
        <f>Lookup!A24</f>
        <v>KO</v>
      </c>
      <c r="B24" s="15">
        <f ca="1">Lookup!B24</f>
        <v>46088</v>
      </c>
      <c r="C24">
        <f>Lookup!C24</f>
        <v>2003</v>
      </c>
      <c r="D24">
        <f>Lookup!D24</f>
        <v>20857000000</v>
      </c>
      <c r="E24">
        <f>Lookup!E24</f>
        <v>7776000000</v>
      </c>
      <c r="F24">
        <f>Lookup!F24</f>
        <v>13081000000</v>
      </c>
      <c r="G24">
        <f>Lookup!G24</f>
        <v>7287000000</v>
      </c>
      <c r="H24">
        <f>Lookup!H24</f>
        <v>-573000000</v>
      </c>
      <c r="I24">
        <f>Lookup!I24</f>
        <v>7860000000</v>
      </c>
      <c r="J24">
        <f>Lookup!J24</f>
        <v>5221000000</v>
      </c>
      <c r="K24">
        <f>Lookup!K24</f>
        <v>274000000</v>
      </c>
      <c r="L24">
        <f>Lookup!L24</f>
        <v>5495000000</v>
      </c>
      <c r="M24">
        <f>Lookup!M24</f>
        <v>1148000000</v>
      </c>
      <c r="N24">
        <f>Lookup!N24</f>
        <v>4347000000</v>
      </c>
      <c r="O24">
        <f>Lookup!O24</f>
        <v>0</v>
      </c>
      <c r="P24">
        <f>Lookup!P24</f>
        <v>4347000000</v>
      </c>
      <c r="Q24">
        <f>Lookup!Q24</f>
        <v>0</v>
      </c>
      <c r="R24">
        <f>Lookup!R24</f>
        <v>4347</v>
      </c>
      <c r="S24">
        <f>Lookup!S24</f>
        <v>6071000000</v>
      </c>
      <c r="T24">
        <f>Lookup!T24</f>
        <v>5221000000</v>
      </c>
      <c r="U24">
        <f>Lookup!U24</f>
        <v>4918000000</v>
      </c>
      <c r="V24">
        <f>Lookup!V24</f>
        <v>4924000000</v>
      </c>
      <c r="W24">
        <f>Lookup!W24</f>
        <v>0.88500000000000001</v>
      </c>
      <c r="X24">
        <f>Lookup!X24</f>
        <v>0.88500000000000001</v>
      </c>
      <c r="Y24" t="str">
        <f t="shared" ca="1" si="1"/>
        <v>KO_INC-ST_YRLY.xlsx</v>
      </c>
      <c r="Z24" t="str">
        <f t="shared" ca="1" si="2"/>
        <v>KO_INC-ST_YRLY-002</v>
      </c>
      <c r="AA24" s="14">
        <f t="shared" ca="1" si="0"/>
        <v>46088.839546527779</v>
      </c>
    </row>
    <row r="25" spans="1:27" x14ac:dyDescent="0.25">
      <c r="A25" t="str">
        <f>Lookup!A25</f>
        <v>KO</v>
      </c>
      <c r="B25" s="15">
        <f ca="1">Lookup!B25</f>
        <v>46088</v>
      </c>
      <c r="C25">
        <f>Lookup!C25</f>
        <v>2002</v>
      </c>
      <c r="D25">
        <f>Lookup!D25</f>
        <v>19564000000</v>
      </c>
      <c r="E25">
        <f>Lookup!E25</f>
        <v>7105000000</v>
      </c>
      <c r="F25">
        <f>Lookup!F25</f>
        <v>12459000000</v>
      </c>
      <c r="G25">
        <f>Lookup!G25</f>
        <v>7001000000</v>
      </c>
      <c r="H25">
        <f>Lookup!H25</f>
        <v>0</v>
      </c>
      <c r="I25">
        <f>Lookup!I25</f>
        <v>7001000000</v>
      </c>
      <c r="J25">
        <f>Lookup!J25</f>
        <v>5458000000</v>
      </c>
      <c r="K25">
        <f>Lookup!K25</f>
        <v>41000000</v>
      </c>
      <c r="L25">
        <f>Lookup!L25</f>
        <v>5499000000</v>
      </c>
      <c r="M25">
        <f>Lookup!M25</f>
        <v>1523000000</v>
      </c>
      <c r="N25">
        <f>Lookup!N25</f>
        <v>3976000000</v>
      </c>
      <c r="O25">
        <f>Lookup!O25</f>
        <v>0</v>
      </c>
      <c r="P25">
        <f>Lookup!P25</f>
        <v>3976000000</v>
      </c>
      <c r="Q25">
        <f>Lookup!Q25</f>
        <v>0</v>
      </c>
      <c r="R25">
        <f>Lookup!R25</f>
        <v>3050</v>
      </c>
      <c r="S25">
        <f>Lookup!S25</f>
        <v>6264000000</v>
      </c>
      <c r="T25">
        <f>Lookup!T25</f>
        <v>5458000000</v>
      </c>
      <c r="U25">
        <f>Lookup!U25</f>
        <v>4956000000</v>
      </c>
      <c r="V25">
        <f>Lookup!V25</f>
        <v>4966000000</v>
      </c>
      <c r="W25">
        <f>Lookup!W25</f>
        <v>0.61499999999999999</v>
      </c>
      <c r="X25">
        <f>Lookup!X25</f>
        <v>0.61499999999999999</v>
      </c>
      <c r="Y25" t="str">
        <f t="shared" ca="1" si="1"/>
        <v>KO_INC-ST_YRLY.xlsx</v>
      </c>
      <c r="Z25" t="str">
        <f t="shared" ca="1" si="2"/>
        <v>KO_INC-ST_YRLY-002</v>
      </c>
      <c r="AA25" s="14">
        <f t="shared" ca="1" si="0"/>
        <v>46088.839546527779</v>
      </c>
    </row>
    <row r="26" spans="1:27" x14ac:dyDescent="0.25">
      <c r="A26" t="str">
        <f>Lookup!A26</f>
        <v>KO</v>
      </c>
      <c r="B26" s="15">
        <f ca="1">Lookup!B26</f>
        <v>46088</v>
      </c>
      <c r="C26">
        <f>Lookup!C26</f>
        <v>2001</v>
      </c>
      <c r="D26">
        <f>Lookup!D26</f>
        <v>17545000000</v>
      </c>
      <c r="E26">
        <f>Lookup!E26</f>
        <v>6044000000</v>
      </c>
      <c r="F26">
        <f>Lookup!F26</f>
        <v>11501000000</v>
      </c>
      <c r="G26">
        <f>Lookup!G26</f>
        <v>6149000000</v>
      </c>
      <c r="H26">
        <f>Lookup!H26</f>
        <v>0</v>
      </c>
      <c r="I26">
        <f>Lookup!I26</f>
        <v>6149000000</v>
      </c>
      <c r="J26">
        <f>Lookup!J26</f>
        <v>5352000000</v>
      </c>
      <c r="K26">
        <f>Lookup!K26</f>
        <v>318000000</v>
      </c>
      <c r="L26">
        <f>Lookup!L26</f>
        <v>5670000000</v>
      </c>
      <c r="M26">
        <f>Lookup!M26</f>
        <v>1691000000</v>
      </c>
      <c r="N26">
        <f>Lookup!N26</f>
        <v>3979000000</v>
      </c>
      <c r="O26">
        <f>Lookup!O26</f>
        <v>0</v>
      </c>
      <c r="P26">
        <f>Lookup!P26</f>
        <v>3979000000</v>
      </c>
      <c r="Q26">
        <f>Lookup!Q26</f>
        <v>0</v>
      </c>
      <c r="R26">
        <f>Lookup!R26</f>
        <v>3969</v>
      </c>
      <c r="S26">
        <f>Lookup!S26</f>
        <v>6155000000</v>
      </c>
      <c r="T26">
        <f>Lookup!T26</f>
        <v>5352000000</v>
      </c>
      <c r="U26">
        <f>Lookup!U26</f>
        <v>4974000000</v>
      </c>
      <c r="V26">
        <f>Lookup!V26</f>
        <v>4974000000</v>
      </c>
      <c r="W26">
        <f>Lookup!W26</f>
        <v>0.8</v>
      </c>
      <c r="X26">
        <f>Lookup!X26</f>
        <v>0.8</v>
      </c>
      <c r="Y26" t="str">
        <f t="shared" ca="1" si="1"/>
        <v>KO_INC-ST_YRLY.xlsx</v>
      </c>
      <c r="Z26" t="str">
        <f t="shared" ca="1" si="2"/>
        <v>KO_INC-ST_YRLY-002</v>
      </c>
      <c r="AA26" s="14">
        <f t="shared" ca="1" si="0"/>
        <v>46088.839546527779</v>
      </c>
    </row>
    <row r="27" spans="1:27" x14ac:dyDescent="0.25">
      <c r="A27" t="str">
        <f>Lookup!A27</f>
        <v>KO</v>
      </c>
      <c r="B27" s="15">
        <f ca="1">Lookup!B27</f>
        <v>46088</v>
      </c>
      <c r="C27">
        <f>Lookup!C27</f>
        <v>2000</v>
      </c>
      <c r="D27">
        <f>Lookup!D27</f>
        <v>17354000000</v>
      </c>
      <c r="E27">
        <f>Lookup!E27</f>
        <v>6204000000</v>
      </c>
      <c r="F27">
        <f>Lookup!F27</f>
        <v>11150000000</v>
      </c>
      <c r="G27">
        <f>Lookup!G27</f>
        <v>6016000000</v>
      </c>
      <c r="H27">
        <f>Lookup!H27</f>
        <v>-1443000000</v>
      </c>
      <c r="I27">
        <f>Lookup!I27</f>
        <v>7459000000</v>
      </c>
      <c r="J27">
        <f>Lookup!J27</f>
        <v>3691000000</v>
      </c>
      <c r="K27">
        <f>Lookup!K27</f>
        <v>-292000000</v>
      </c>
      <c r="L27">
        <f>Lookup!L27</f>
        <v>3399000000</v>
      </c>
      <c r="M27">
        <f>Lookup!M27</f>
        <v>1222000000</v>
      </c>
      <c r="N27">
        <f>Lookup!N27</f>
        <v>2177000000</v>
      </c>
      <c r="O27">
        <f>Lookup!O27</f>
        <v>0</v>
      </c>
      <c r="P27">
        <f>Lookup!P27</f>
        <v>2177000000</v>
      </c>
      <c r="Q27">
        <f>Lookup!Q27</f>
        <v>0</v>
      </c>
      <c r="R27">
        <f>Lookup!R27</f>
        <v>2177</v>
      </c>
      <c r="S27">
        <f>Lookup!S27</f>
        <v>4464000000</v>
      </c>
      <c r="T27">
        <f>Lookup!T27</f>
        <v>3691000000</v>
      </c>
      <c r="U27">
        <f>Lookup!U27</f>
        <v>4954000000</v>
      </c>
      <c r="V27">
        <f>Lookup!V27</f>
        <v>4974000000</v>
      </c>
      <c r="W27">
        <f>Lookup!W27</f>
        <v>0.44</v>
      </c>
      <c r="X27">
        <f>Lookup!X27</f>
        <v>0.44</v>
      </c>
      <c r="Y27" t="str">
        <f t="shared" ca="1" si="1"/>
        <v>KO_INC-ST_YRLY.xlsx</v>
      </c>
      <c r="Z27" t="str">
        <f t="shared" ca="1" si="2"/>
        <v>KO_INC-ST_YRLY-002</v>
      </c>
      <c r="AA27" s="14">
        <f t="shared" ca="1" si="0"/>
        <v>46088.839546527779</v>
      </c>
    </row>
    <row r="28" spans="1:27" x14ac:dyDescent="0.25">
      <c r="A28" t="str">
        <f>Lookup!A28</f>
        <v>KO</v>
      </c>
      <c r="B28" s="15">
        <f ca="1">Lookup!B28</f>
        <v>46088</v>
      </c>
      <c r="C28">
        <f>Lookup!C28</f>
        <v>1999</v>
      </c>
      <c r="D28">
        <f>Lookup!D28</f>
        <v>0</v>
      </c>
      <c r="E28">
        <f>Lookup!E28</f>
        <v>0</v>
      </c>
      <c r="F28">
        <f>Lookup!F28</f>
        <v>0</v>
      </c>
      <c r="G28">
        <f>Lookup!G28</f>
        <v>0</v>
      </c>
      <c r="H28">
        <f>Lookup!H28</f>
        <v>0</v>
      </c>
      <c r="I28">
        <f>Lookup!I28</f>
        <v>0</v>
      </c>
      <c r="J28">
        <f>Lookup!J28</f>
        <v>3982000000</v>
      </c>
      <c r="K28">
        <f>Lookup!K28</f>
        <v>0</v>
      </c>
      <c r="L28">
        <f>Lookup!L28</f>
        <v>0</v>
      </c>
      <c r="M28">
        <f>Lookup!M28</f>
        <v>0</v>
      </c>
      <c r="N28">
        <f>Lookup!N28</f>
        <v>0</v>
      </c>
      <c r="O28">
        <f>Lookup!O28</f>
        <v>0</v>
      </c>
      <c r="P28">
        <f>Lookup!P28</f>
        <v>0</v>
      </c>
      <c r="Q28">
        <f>Lookup!Q28</f>
        <v>0</v>
      </c>
      <c r="R28">
        <f>Lookup!R28</f>
        <v>0</v>
      </c>
      <c r="S28">
        <f>Lookup!S28</f>
        <v>792000000</v>
      </c>
      <c r="T28">
        <f>Lookup!T28</f>
        <v>0</v>
      </c>
      <c r="U28">
        <f>Lookup!U28</f>
        <v>0</v>
      </c>
      <c r="V28">
        <f>Lookup!V28</f>
        <v>0</v>
      </c>
      <c r="W28">
        <f>Lookup!W28</f>
        <v>0</v>
      </c>
      <c r="X28">
        <f>Lookup!X28</f>
        <v>0</v>
      </c>
      <c r="Y28" t="str">
        <f t="shared" ca="1" si="1"/>
        <v>KO_INC-ST_YRLY.xlsx</v>
      </c>
      <c r="Z28" t="str">
        <f t="shared" ca="1" si="2"/>
        <v>KO_INC-ST_YRLY-002</v>
      </c>
      <c r="AA28" s="14">
        <f t="shared" ca="1" si="0"/>
        <v>46088.839546527779</v>
      </c>
    </row>
    <row r="29" spans="1:27" x14ac:dyDescent="0.25">
      <c r="A29" t="str">
        <f>Lookup!A29</f>
        <v>KO</v>
      </c>
      <c r="B29" s="15">
        <f ca="1">Lookup!B29</f>
        <v>46088</v>
      </c>
      <c r="C29">
        <f>Lookup!C29</f>
        <v>1998</v>
      </c>
      <c r="D29">
        <f>Lookup!D29</f>
        <v>18813000000</v>
      </c>
      <c r="E29">
        <f>Lookup!E29</f>
        <v>5562000000</v>
      </c>
      <c r="F29">
        <f>Lookup!F29</f>
        <v>13251000000</v>
      </c>
      <c r="G29">
        <f>Lookup!G29</f>
        <v>8284000000</v>
      </c>
      <c r="H29">
        <f>Lookup!H29</f>
        <v>0</v>
      </c>
      <c r="I29">
        <f>Lookup!I29</f>
        <v>8284000000</v>
      </c>
      <c r="J29">
        <f>Lookup!J29</f>
        <v>4967000000</v>
      </c>
      <c r="K29">
        <f>Lookup!K29</f>
        <v>231000000</v>
      </c>
      <c r="L29">
        <f>Lookup!L29</f>
        <v>5198000000</v>
      </c>
      <c r="M29">
        <f>Lookup!M29</f>
        <v>1665000000</v>
      </c>
      <c r="N29">
        <f>Lookup!N29</f>
        <v>3533000000</v>
      </c>
      <c r="O29">
        <f>Lookup!O29</f>
        <v>0</v>
      </c>
      <c r="P29">
        <f>Lookup!P29</f>
        <v>3483670000</v>
      </c>
      <c r="Q29">
        <f>Lookup!Q29</f>
        <v>0</v>
      </c>
      <c r="R29">
        <f>Lookup!R29</f>
        <v>3533</v>
      </c>
      <c r="S29">
        <f>Lookup!S29</f>
        <v>5612000000</v>
      </c>
      <c r="T29">
        <f>Lookup!T29</f>
        <v>4967000000</v>
      </c>
      <c r="U29">
        <f>Lookup!U29</f>
        <v>4934000000</v>
      </c>
      <c r="V29">
        <f>Lookup!V29</f>
        <v>4992000000</v>
      </c>
      <c r="W29">
        <f>Lookup!W29</f>
        <v>0.71499999999999997</v>
      </c>
      <c r="X29">
        <f>Lookup!X29</f>
        <v>0.71</v>
      </c>
      <c r="Y29" t="str">
        <f t="shared" ca="1" si="1"/>
        <v>KO_INC-ST_YRLY.xlsx</v>
      </c>
      <c r="Z29" t="str">
        <f t="shared" ca="1" si="2"/>
        <v>KO_INC-ST_YRLY-002</v>
      </c>
      <c r="AA29" s="14">
        <f t="shared" ca="1" si="0"/>
        <v>46088.839546527779</v>
      </c>
    </row>
    <row r="30" spans="1:27" x14ac:dyDescent="0.25">
      <c r="A30" t="str">
        <f>Lookup!A30</f>
        <v>KO</v>
      </c>
      <c r="B30" s="15">
        <f ca="1">Lookup!B30</f>
        <v>46088</v>
      </c>
      <c r="C30">
        <f>Lookup!C30</f>
        <v>1997</v>
      </c>
      <c r="D30">
        <f>Lookup!D30</f>
        <v>18868000000</v>
      </c>
      <c r="E30">
        <f>Lookup!E30</f>
        <v>6015000000</v>
      </c>
      <c r="F30">
        <f>Lookup!F30</f>
        <v>12853000000</v>
      </c>
      <c r="G30">
        <f>Lookup!G30</f>
        <v>7852000000</v>
      </c>
      <c r="H30">
        <f>Lookup!H30</f>
        <v>0</v>
      </c>
      <c r="I30">
        <f>Lookup!I30</f>
        <v>7852000000</v>
      </c>
      <c r="J30">
        <f>Lookup!J30</f>
        <v>5001000000</v>
      </c>
      <c r="K30">
        <f>Lookup!K30</f>
        <v>1054000000</v>
      </c>
      <c r="L30">
        <f>Lookup!L30</f>
        <v>6055000000</v>
      </c>
      <c r="M30">
        <f>Lookup!M30</f>
        <v>1926000000</v>
      </c>
      <c r="N30">
        <f>Lookup!N30</f>
        <v>4129000000</v>
      </c>
      <c r="O30">
        <f>Lookup!O30</f>
        <v>0</v>
      </c>
      <c r="P30">
        <f>Lookup!P30</f>
        <v>4129000000</v>
      </c>
      <c r="Q30">
        <f>Lookup!Q30</f>
        <v>0</v>
      </c>
      <c r="R30">
        <f>Lookup!R30</f>
        <v>4129</v>
      </c>
      <c r="S30">
        <f>Lookup!S30</f>
        <v>5627000000</v>
      </c>
      <c r="T30">
        <f>Lookup!T30</f>
        <v>5001000000</v>
      </c>
      <c r="U30">
        <f>Lookup!U30</f>
        <v>4954000000</v>
      </c>
      <c r="V30">
        <f>Lookup!V30</f>
        <v>5030000000</v>
      </c>
      <c r="W30">
        <f>Lookup!W30</f>
        <v>0.83499999999999996</v>
      </c>
      <c r="X30">
        <f>Lookup!X30</f>
        <v>0.82</v>
      </c>
      <c r="Y30" t="str">
        <f t="shared" ca="1" si="1"/>
        <v>KO_INC-ST_YRLY.xlsx</v>
      </c>
      <c r="Z30" t="str">
        <f t="shared" ca="1" si="2"/>
        <v>KO_INC-ST_YRLY-002</v>
      </c>
      <c r="AA30" s="14">
        <f t="shared" ca="1" si="0"/>
        <v>46088.839546527779</v>
      </c>
    </row>
    <row r="31" spans="1:27" x14ac:dyDescent="0.25">
      <c r="A31" t="str">
        <f>Lookup!A31</f>
        <v>KO</v>
      </c>
      <c r="B31" s="15">
        <f ca="1">Lookup!B31</f>
        <v>46088</v>
      </c>
      <c r="C31">
        <f>Lookup!C31</f>
        <v>1996</v>
      </c>
      <c r="D31">
        <f>Lookup!D31</f>
        <v>18546000000</v>
      </c>
      <c r="E31">
        <f>Lookup!E31</f>
        <v>6738000000</v>
      </c>
      <c r="F31">
        <f>Lookup!F31</f>
        <v>11808000000</v>
      </c>
      <c r="G31">
        <f>Lookup!G31</f>
        <v>7893000000</v>
      </c>
      <c r="H31">
        <f>Lookup!H31</f>
        <v>0</v>
      </c>
      <c r="I31">
        <f>Lookup!I31</f>
        <v>7893000000</v>
      </c>
      <c r="J31">
        <f>Lookup!J31</f>
        <v>3915000000</v>
      </c>
      <c r="K31">
        <f>Lookup!K31</f>
        <v>681000000</v>
      </c>
      <c r="L31">
        <f>Lookup!L31</f>
        <v>4596000000</v>
      </c>
      <c r="M31">
        <f>Lookup!M31</f>
        <v>1104000000</v>
      </c>
      <c r="N31">
        <f>Lookup!N31</f>
        <v>3492000000</v>
      </c>
      <c r="O31">
        <f>Lookup!O31</f>
        <v>0</v>
      </c>
      <c r="P31">
        <f>Lookup!P31</f>
        <v>3492000000</v>
      </c>
      <c r="Q31">
        <f>Lookup!Q31</f>
        <v>0</v>
      </c>
      <c r="R31">
        <f>Lookup!R31</f>
        <v>3492</v>
      </c>
      <c r="S31">
        <f>Lookup!S31</f>
        <v>4394000000</v>
      </c>
      <c r="T31">
        <f>Lookup!T31</f>
        <v>3915000000</v>
      </c>
      <c r="U31">
        <f>Lookup!U31</f>
        <v>4988000000</v>
      </c>
      <c r="V31">
        <f>Lookup!V31</f>
        <v>4988000000</v>
      </c>
      <c r="W31">
        <f>Lookup!W31</f>
        <v>0.7</v>
      </c>
      <c r="X31">
        <f>Lookup!X31</f>
        <v>0.7</v>
      </c>
      <c r="Y31" t="str">
        <f t="shared" ca="1" si="1"/>
        <v>KO_INC-ST_YRLY.xlsx</v>
      </c>
      <c r="Z31" t="str">
        <f t="shared" ca="1" si="2"/>
        <v>KO_INC-ST_YRLY-002</v>
      </c>
      <c r="AA31" s="14">
        <f t="shared" ca="1" si="0"/>
        <v>46088.839546527779</v>
      </c>
    </row>
    <row r="32" spans="1:27" x14ac:dyDescent="0.25">
      <c r="A32" t="str">
        <f>Lookup!A32</f>
        <v>KO</v>
      </c>
      <c r="B32" s="15">
        <f ca="1">Lookup!B32</f>
        <v>46088</v>
      </c>
      <c r="C32">
        <f>Lookup!C32</f>
        <v>1995</v>
      </c>
      <c r="D32">
        <f>Lookup!D32</f>
        <v>18018000000</v>
      </c>
      <c r="E32">
        <f>Lookup!E32</f>
        <v>6940000000</v>
      </c>
      <c r="F32">
        <f>Lookup!F32</f>
        <v>11078000000</v>
      </c>
      <c r="G32">
        <f>Lookup!G32</f>
        <v>6986000000</v>
      </c>
      <c r="H32">
        <f>Lookup!H32</f>
        <v>0</v>
      </c>
      <c r="I32">
        <f>Lookup!I32</f>
        <v>6986000000</v>
      </c>
      <c r="J32">
        <f>Lookup!J32</f>
        <v>4092000000</v>
      </c>
      <c r="K32">
        <f>Lookup!K32</f>
        <v>236000000</v>
      </c>
      <c r="L32">
        <f>Lookup!L32</f>
        <v>4328000000</v>
      </c>
      <c r="M32">
        <f>Lookup!M32</f>
        <v>1342000000</v>
      </c>
      <c r="N32">
        <f>Lookup!N32</f>
        <v>2986000000</v>
      </c>
      <c r="O32">
        <f>Lookup!O32</f>
        <v>0</v>
      </c>
      <c r="P32">
        <f>Lookup!P32</f>
        <v>3001600000</v>
      </c>
      <c r="Q32">
        <f>Lookup!Q32</f>
        <v>0</v>
      </c>
      <c r="R32">
        <f>Lookup!R32</f>
        <v>2986</v>
      </c>
      <c r="S32">
        <f>Lookup!S32</f>
        <v>4546000000</v>
      </c>
      <c r="T32">
        <f>Lookup!T32</f>
        <v>4092000000</v>
      </c>
      <c r="U32">
        <f>Lookup!U32</f>
        <v>5049000000</v>
      </c>
      <c r="V32">
        <f>Lookup!V32</f>
        <v>5049000000</v>
      </c>
      <c r="W32">
        <f>Lookup!W32</f>
        <v>0.59250000000000003</v>
      </c>
      <c r="X32">
        <f>Lookup!X32</f>
        <v>0.59250000000000003</v>
      </c>
      <c r="Y32" t="str">
        <f t="shared" ca="1" si="1"/>
        <v>KO_INC-ST_YRLY.xlsx</v>
      </c>
      <c r="Z32" t="str">
        <f t="shared" ca="1" si="2"/>
        <v>KO_INC-ST_YRLY-002</v>
      </c>
      <c r="AA32" s="14">
        <f t="shared" ca="1" si="0"/>
        <v>46088.839546527779</v>
      </c>
    </row>
    <row r="33" spans="1:27" x14ac:dyDescent="0.25">
      <c r="A33" t="str">
        <f>Lookup!A33</f>
        <v>KO</v>
      </c>
      <c r="B33" s="15">
        <f ca="1">Lookup!B33</f>
        <v>46088</v>
      </c>
      <c r="C33">
        <f>Lookup!C33</f>
        <v>1994</v>
      </c>
      <c r="D33">
        <f>Lookup!D33</f>
        <v>16172000000</v>
      </c>
      <c r="E33">
        <f>Lookup!E33</f>
        <v>6167000000</v>
      </c>
      <c r="F33">
        <f>Lookup!F33</f>
        <v>10005000000</v>
      </c>
      <c r="G33">
        <f>Lookup!G33</f>
        <v>6297000000</v>
      </c>
      <c r="H33">
        <f>Lookup!H33</f>
        <v>0</v>
      </c>
      <c r="I33">
        <f>Lookup!I33</f>
        <v>6297000000</v>
      </c>
      <c r="J33">
        <f>Lookup!J33</f>
        <v>3708000000</v>
      </c>
      <c r="K33">
        <f>Lookup!K33</f>
        <v>20000000</v>
      </c>
      <c r="L33">
        <f>Lookup!L33</f>
        <v>3728000000</v>
      </c>
      <c r="M33">
        <f>Lookup!M33</f>
        <v>1174000000</v>
      </c>
      <c r="N33">
        <f>Lookup!N33</f>
        <v>2554000000</v>
      </c>
      <c r="O33">
        <f>Lookup!O33</f>
        <v>0</v>
      </c>
      <c r="P33">
        <f>Lookup!P33</f>
        <v>2554000000</v>
      </c>
      <c r="Q33">
        <f>Lookup!Q33</f>
        <v>0</v>
      </c>
      <c r="R33">
        <f>Lookup!R33</f>
        <v>2554</v>
      </c>
      <c r="S33">
        <f>Lookup!S33</f>
        <v>4119000000</v>
      </c>
      <c r="T33">
        <f>Lookup!T33</f>
        <v>3708000000</v>
      </c>
      <c r="U33">
        <f>Lookup!U33</f>
        <v>5160000000</v>
      </c>
      <c r="V33">
        <f>Lookup!V33</f>
        <v>5160000000</v>
      </c>
      <c r="W33">
        <f>Lookup!W33</f>
        <v>0.495</v>
      </c>
      <c r="X33">
        <f>Lookup!X33</f>
        <v>0.495</v>
      </c>
      <c r="Y33" t="str">
        <f t="shared" ca="1" si="1"/>
        <v>KO_INC-ST_YRLY.xlsx</v>
      </c>
      <c r="Z33" t="str">
        <f t="shared" ca="1" si="2"/>
        <v>KO_INC-ST_YRLY-002</v>
      </c>
      <c r="AA33" s="14">
        <f t="shared" ca="1" si="0"/>
        <v>46088.839546527779</v>
      </c>
    </row>
    <row r="34" spans="1:27" x14ac:dyDescent="0.25">
      <c r="A34" t="str">
        <f>Lookup!A34</f>
        <v>KO</v>
      </c>
      <c r="B34" s="15">
        <f ca="1">Lookup!B34</f>
        <v>46088</v>
      </c>
      <c r="C34">
        <f>Lookup!C34</f>
        <v>1993</v>
      </c>
      <c r="D34">
        <f>Lookup!D34</f>
        <v>13957000000</v>
      </c>
      <c r="E34">
        <f>Lookup!E34</f>
        <v>5160000000</v>
      </c>
      <c r="F34">
        <f>Lookup!F34</f>
        <v>8797000000</v>
      </c>
      <c r="G34">
        <f>Lookup!G34</f>
        <v>5695000000</v>
      </c>
      <c r="H34">
        <f>Lookup!H34</f>
        <v>0</v>
      </c>
      <c r="I34">
        <f>Lookup!I34</f>
        <v>5695000000</v>
      </c>
      <c r="J34">
        <f>Lookup!J34</f>
        <v>3102000000</v>
      </c>
      <c r="K34">
        <f>Lookup!K34</f>
        <v>83000000</v>
      </c>
      <c r="L34">
        <f>Lookup!L34</f>
        <v>3185000000</v>
      </c>
      <c r="M34">
        <f>Lookup!M34</f>
        <v>997000000</v>
      </c>
      <c r="N34">
        <f>Lookup!N34</f>
        <v>2188000000</v>
      </c>
      <c r="O34">
        <f>Lookup!O34</f>
        <v>0</v>
      </c>
      <c r="P34">
        <f>Lookup!P34</f>
        <v>2232000000</v>
      </c>
      <c r="Q34">
        <f>Lookup!Q34</f>
        <v>-12000000</v>
      </c>
      <c r="R34">
        <f>Lookup!R34</f>
        <v>2176</v>
      </c>
      <c r="S34">
        <f>Lookup!S34</f>
        <v>3462000000</v>
      </c>
      <c r="T34">
        <f>Lookup!T34</f>
        <v>3102000000</v>
      </c>
      <c r="U34">
        <f>Lookup!U34</f>
        <v>5208000000</v>
      </c>
      <c r="V34">
        <f>Lookup!V34</f>
        <v>5208000000</v>
      </c>
      <c r="W34">
        <f>Lookup!W34</f>
        <v>0.41749999999999998</v>
      </c>
      <c r="X34">
        <f>Lookup!X34</f>
        <v>0.41749999999999998</v>
      </c>
      <c r="Y34" t="str">
        <f t="shared" ca="1" si="1"/>
        <v>KO_INC-ST_YRLY.xlsx</v>
      </c>
      <c r="Z34" t="str">
        <f t="shared" ca="1" si="2"/>
        <v>KO_INC-ST_YRLY-002</v>
      </c>
      <c r="AA34" s="14">
        <f t="shared" ca="1" si="0"/>
        <v>46088.839546527779</v>
      </c>
    </row>
    <row r="35" spans="1:27" x14ac:dyDescent="0.25">
      <c r="A35" t="str">
        <f>Lookup!A35</f>
        <v>KO</v>
      </c>
      <c r="B35" s="15">
        <f ca="1">Lookup!B35</f>
        <v>46088</v>
      </c>
      <c r="C35">
        <f>Lookup!C35</f>
        <v>1992</v>
      </c>
      <c r="D35">
        <f>Lookup!D35</f>
        <v>13073860000</v>
      </c>
      <c r="E35">
        <f>Lookup!E35</f>
        <v>5054377000</v>
      </c>
      <c r="F35">
        <f>Lookup!F35</f>
        <v>8019483000</v>
      </c>
      <c r="G35">
        <f>Lookup!G35</f>
        <v>5249392000</v>
      </c>
      <c r="H35">
        <f>Lookup!H35</f>
        <v>0</v>
      </c>
      <c r="I35">
        <f>Lookup!I35</f>
        <v>5249393000</v>
      </c>
      <c r="J35">
        <f>Lookup!J35</f>
        <v>2770091000</v>
      </c>
      <c r="K35">
        <f>Lookup!K35</f>
        <v>-24003000</v>
      </c>
      <c r="L35">
        <f>Lookup!L35</f>
        <v>2746088000</v>
      </c>
      <c r="M35">
        <f>Lookup!M35</f>
        <v>862273000</v>
      </c>
      <c r="N35">
        <f>Lookup!N35</f>
        <v>1883815000</v>
      </c>
      <c r="O35">
        <f>Lookup!O35</f>
        <v>0</v>
      </c>
      <c r="P35">
        <f>Lookup!P35</f>
        <v>1897273000</v>
      </c>
      <c r="Q35">
        <f>Lookup!Q35</f>
        <v>-219433000</v>
      </c>
      <c r="R35">
        <f>Lookup!R35</f>
        <v>1664.3820000000001</v>
      </c>
      <c r="S35">
        <f>Lookup!S35</f>
        <v>3092013000</v>
      </c>
      <c r="T35">
        <f>Lookup!T35</f>
        <v>2770091000</v>
      </c>
      <c r="U35">
        <f>Lookup!U35</f>
        <v>5227084000</v>
      </c>
      <c r="V35">
        <f>Lookup!V35</f>
        <v>5227084000</v>
      </c>
      <c r="W35">
        <f>Lookup!W35</f>
        <v>0.31709999999999999</v>
      </c>
      <c r="X35">
        <f>Lookup!X35</f>
        <v>0.31840000000000002</v>
      </c>
      <c r="Y35" t="str">
        <f t="shared" ca="1" si="1"/>
        <v>KO_INC-ST_YRLY.xlsx</v>
      </c>
      <c r="Z35" t="str">
        <f t="shared" ca="1" si="2"/>
        <v>KO_INC-ST_YRLY-002</v>
      </c>
      <c r="AA35" s="14">
        <f t="shared" ca="1" si="0"/>
        <v>46088.839546527779</v>
      </c>
    </row>
    <row r="36" spans="1:27" x14ac:dyDescent="0.25">
      <c r="A36" t="str">
        <f>Lookup!A36</f>
        <v>KO</v>
      </c>
      <c r="B36" s="15">
        <f ca="1">Lookup!B36</f>
        <v>46088</v>
      </c>
      <c r="C36">
        <f>Lookup!C36</f>
        <v>1991</v>
      </c>
      <c r="D36">
        <f>Lookup!D36</f>
        <v>11571610000</v>
      </c>
      <c r="E36">
        <f>Lookup!E36</f>
        <v>4648385000</v>
      </c>
      <c r="F36">
        <f>Lookup!F36</f>
        <v>6923226000</v>
      </c>
      <c r="G36">
        <f>Lookup!G36</f>
        <v>4604184000</v>
      </c>
      <c r="H36">
        <f>Lookup!H36</f>
        <v>0</v>
      </c>
      <c r="I36">
        <f>Lookup!I36</f>
        <v>4604183000</v>
      </c>
      <c r="J36">
        <f>Lookup!J36</f>
        <v>2319042000</v>
      </c>
      <c r="K36">
        <f>Lookup!K36</f>
        <v>64233999.999999993</v>
      </c>
      <c r="L36">
        <f>Lookup!L36</f>
        <v>2383279000</v>
      </c>
      <c r="M36">
        <f>Lookup!M36</f>
        <v>765277000</v>
      </c>
      <c r="N36">
        <f>Lookup!N36</f>
        <v>1618002000</v>
      </c>
      <c r="O36">
        <f>Lookup!O36</f>
        <v>0</v>
      </c>
      <c r="P36">
        <f>Lookup!P36</f>
        <v>1613410000</v>
      </c>
      <c r="Q36">
        <f>Lookup!Q36</f>
        <v>0</v>
      </c>
      <c r="R36">
        <f>Lookup!R36</f>
        <v>1618.002</v>
      </c>
      <c r="S36">
        <f>Lookup!S36</f>
        <v>2580469000</v>
      </c>
      <c r="T36">
        <f>Lookup!T36</f>
        <v>2319042000</v>
      </c>
      <c r="U36">
        <f>Lookup!U36</f>
        <v>5315840000</v>
      </c>
      <c r="V36">
        <f>Lookup!V36</f>
        <v>10631680000</v>
      </c>
      <c r="W36">
        <f>Lookup!W36</f>
        <v>0.30380000000000001</v>
      </c>
      <c r="X36">
        <f>Lookup!X36</f>
        <v>0.1522</v>
      </c>
      <c r="Y36" t="str">
        <f t="shared" ca="1" si="1"/>
        <v>KO_INC-ST_YRLY.xlsx</v>
      </c>
      <c r="Z36" t="str">
        <f t="shared" ca="1" si="2"/>
        <v>KO_INC-ST_YRLY-002</v>
      </c>
      <c r="AA36" s="14">
        <f t="shared" ca="1" si="0"/>
        <v>46088.839546527779</v>
      </c>
    </row>
    <row r="37" spans="1:27" x14ac:dyDescent="0.25">
      <c r="A37" t="str">
        <f>Lookup!A37</f>
        <v>KO</v>
      </c>
      <c r="B37" s="15">
        <f ca="1">Lookup!B37</f>
        <v>46088</v>
      </c>
      <c r="C37">
        <f>Lookup!C37</f>
        <v>1990</v>
      </c>
      <c r="D37">
        <f>Lookup!D37</f>
        <v>10236350000</v>
      </c>
      <c r="E37">
        <f>Lookup!E37</f>
        <v>4208850000.0000005</v>
      </c>
      <c r="F37">
        <f>Lookup!F37</f>
        <v>6027500000</v>
      </c>
      <c r="G37">
        <f>Lookup!G37</f>
        <v>4075936000</v>
      </c>
      <c r="H37">
        <f>Lookup!H37</f>
        <v>0</v>
      </c>
      <c r="I37">
        <f>Lookup!I37</f>
        <v>4075936000</v>
      </c>
      <c r="J37">
        <f>Lookup!J37</f>
        <v>1951563000</v>
      </c>
      <c r="K37">
        <f>Lookup!K37</f>
        <v>62872000</v>
      </c>
      <c r="L37">
        <f>Lookup!L37</f>
        <v>2014436000</v>
      </c>
      <c r="M37">
        <f>Lookup!M37</f>
        <v>632532000</v>
      </c>
      <c r="N37">
        <f>Lookup!N37</f>
        <v>1381904000</v>
      </c>
      <c r="O37">
        <f>Lookup!O37</f>
        <v>0</v>
      </c>
      <c r="P37">
        <f>Lookup!P37</f>
        <v>1381904000</v>
      </c>
      <c r="Q37">
        <f>Lookup!Q37</f>
        <v>0</v>
      </c>
      <c r="R37">
        <f>Lookup!R37</f>
        <v>1381.904</v>
      </c>
      <c r="S37">
        <f>Lookup!S37</f>
        <v>2195451000</v>
      </c>
      <c r="T37">
        <f>Lookup!T37</f>
        <v>1951563000</v>
      </c>
      <c r="U37">
        <f>Lookup!U37</f>
        <v>5345914000</v>
      </c>
      <c r="V37">
        <f>Lookup!V37</f>
        <v>5345914000</v>
      </c>
      <c r="W37">
        <f>Lookup!W37</f>
        <v>0.25869999999999999</v>
      </c>
      <c r="X37">
        <f>Lookup!X37</f>
        <v>0.25850000000000001</v>
      </c>
      <c r="Y37" t="str">
        <f t="shared" ca="1" si="1"/>
        <v>KO_INC-ST_YRLY.xlsx</v>
      </c>
      <c r="Z37" t="str">
        <f t="shared" ca="1" si="2"/>
        <v>KO_INC-ST_YRLY-002</v>
      </c>
      <c r="AA37" s="14">
        <f t="shared" ca="1" si="0"/>
        <v>46088.839546527779</v>
      </c>
    </row>
    <row r="38" spans="1:27" x14ac:dyDescent="0.25">
      <c r="A38" t="str">
        <f>Lookup!A38</f>
        <v>KO</v>
      </c>
      <c r="B38" s="15">
        <f ca="1">Lookup!B38</f>
        <v>46088</v>
      </c>
      <c r="C38">
        <f>Lookup!C38</f>
        <v>1989</v>
      </c>
      <c r="D38">
        <f>Lookup!D38</f>
        <v>8965786000</v>
      </c>
      <c r="E38">
        <f>Lookup!E38</f>
        <v>3892069000</v>
      </c>
      <c r="F38">
        <f>Lookup!F38</f>
        <v>5073717000</v>
      </c>
      <c r="G38">
        <f>Lookup!G38</f>
        <v>3347932000</v>
      </c>
      <c r="H38">
        <f>Lookup!H38</f>
        <v>0</v>
      </c>
      <c r="I38">
        <f>Lookup!I38</f>
        <v>3347932000</v>
      </c>
      <c r="J38">
        <f>Lookup!J38</f>
        <v>1725785000</v>
      </c>
      <c r="K38">
        <f>Lookup!K38</f>
        <v>38525000</v>
      </c>
      <c r="L38">
        <f>Lookup!L38</f>
        <v>1764310000</v>
      </c>
      <c r="M38">
        <f>Lookup!M38</f>
        <v>571471000</v>
      </c>
      <c r="N38">
        <f>Lookup!N38</f>
        <v>1192839000</v>
      </c>
      <c r="O38">
        <f>Lookup!O38</f>
        <v>0</v>
      </c>
      <c r="P38">
        <f>Lookup!P38</f>
        <v>1192839000</v>
      </c>
      <c r="Q38">
        <f>Lookup!Q38</f>
        <v>530986000</v>
      </c>
      <c r="R38">
        <f>Lookup!R38</f>
        <v>1723.825</v>
      </c>
      <c r="S38">
        <f>Lookup!S38</f>
        <v>1909550000</v>
      </c>
      <c r="T38">
        <f>Lookup!T38</f>
        <v>1725785000</v>
      </c>
      <c r="U38">
        <f>Lookup!U38</f>
        <v>5392238000</v>
      </c>
      <c r="V38">
        <f>Lookup!V38</f>
        <v>5392238000</v>
      </c>
      <c r="W38">
        <f>Lookup!W38</f>
        <v>0.31359999999999999</v>
      </c>
      <c r="X38">
        <f>Lookup!X38</f>
        <v>0.31969999999999998</v>
      </c>
      <c r="Y38" t="str">
        <f t="shared" ca="1" si="1"/>
        <v>KO_INC-ST_YRLY.xlsx</v>
      </c>
      <c r="Z38" t="str">
        <f t="shared" ca="1" si="2"/>
        <v>KO_INC-ST_YRLY-002</v>
      </c>
      <c r="AA38" s="14">
        <f t="shared" ca="1" si="0"/>
        <v>46088.839546527779</v>
      </c>
    </row>
    <row r="39" spans="1:27" x14ac:dyDescent="0.25">
      <c r="A39" t="str">
        <f>Lookup!A39</f>
        <v>KO</v>
      </c>
      <c r="B39" s="15">
        <f ca="1">Lookup!B39</f>
        <v>46088</v>
      </c>
      <c r="C39">
        <f>Lookup!C39</f>
        <v>1988</v>
      </c>
      <c r="D39">
        <f>Lookup!D39</f>
        <v>8337831000</v>
      </c>
      <c r="E39">
        <f>Lookup!E39</f>
        <v>3701472000</v>
      </c>
      <c r="F39">
        <f>Lookup!F39</f>
        <v>4636359000</v>
      </c>
      <c r="G39">
        <f>Lookup!G39</f>
        <v>3038058000</v>
      </c>
      <c r="H39">
        <f>Lookup!H39</f>
        <v>0</v>
      </c>
      <c r="I39">
        <f>Lookup!I39</f>
        <v>3038058000</v>
      </c>
      <c r="J39">
        <f>Lookup!J39</f>
        <v>1598301000</v>
      </c>
      <c r="K39">
        <f>Lookup!K39</f>
        <v>-16164000.000000002</v>
      </c>
      <c r="L39">
        <f>Lookup!L39</f>
        <v>1582137000</v>
      </c>
      <c r="M39">
        <f>Lookup!M39</f>
        <v>537434000</v>
      </c>
      <c r="N39">
        <f>Lookup!N39</f>
        <v>1044703000</v>
      </c>
      <c r="O39">
        <f>Lookup!O39</f>
        <v>0</v>
      </c>
      <c r="P39">
        <f>Lookup!P39</f>
        <v>1044703000</v>
      </c>
      <c r="Q39">
        <f>Lookup!Q39</f>
        <v>0</v>
      </c>
      <c r="R39">
        <f>Lookup!R39</f>
        <v>1044.703</v>
      </c>
      <c r="S39">
        <f>Lookup!S39</f>
        <v>1768069000</v>
      </c>
      <c r="T39">
        <f>Lookup!T39</f>
        <v>1598301000</v>
      </c>
      <c r="U39">
        <f>Lookup!U39</f>
        <v>5676616000</v>
      </c>
      <c r="V39">
        <f>Lookup!V39</f>
        <v>5676616000</v>
      </c>
      <c r="W39">
        <f>Lookup!W39</f>
        <v>0.18029999999999999</v>
      </c>
      <c r="X39">
        <f>Lookup!X39</f>
        <v>0.184</v>
      </c>
      <c r="Y39" t="str">
        <f t="shared" ca="1" si="1"/>
        <v>KO_INC-ST_YRLY.xlsx</v>
      </c>
      <c r="Z39" t="str">
        <f t="shared" ca="1" si="2"/>
        <v>KO_INC-ST_YRLY-002</v>
      </c>
      <c r="AA39" s="14">
        <f t="shared" ca="1" si="0"/>
        <v>46088.839546527779</v>
      </c>
    </row>
    <row r="40" spans="1:27" x14ac:dyDescent="0.25">
      <c r="A40" t="str">
        <f>Lookup!A40</f>
        <v>KO</v>
      </c>
      <c r="B40" s="15">
        <f ca="1">Lookup!B40</f>
        <v>46088</v>
      </c>
      <c r="C40">
        <f>Lookup!C40</f>
        <v>1987</v>
      </c>
      <c r="D40">
        <f>Lookup!D40</f>
        <v>7658341000</v>
      </c>
      <c r="E40">
        <f>Lookup!E40</f>
        <v>3633159000</v>
      </c>
      <c r="F40">
        <f>Lookup!F40</f>
        <v>4025182000</v>
      </c>
      <c r="G40">
        <f>Lookup!G40</f>
        <v>2701392000</v>
      </c>
      <c r="H40">
        <f>Lookup!H40</f>
        <v>0</v>
      </c>
      <c r="I40">
        <f>Lookup!I40</f>
        <v>2701392000</v>
      </c>
      <c r="J40">
        <f>Lookup!J40</f>
        <v>1323790000</v>
      </c>
      <c r="K40">
        <f>Lookup!K40</f>
        <v>88694000</v>
      </c>
      <c r="L40">
        <f>Lookup!L40</f>
        <v>1412484000</v>
      </c>
      <c r="M40">
        <f>Lookup!M40</f>
        <v>496348000</v>
      </c>
      <c r="N40">
        <f>Lookup!N40</f>
        <v>916136000</v>
      </c>
      <c r="O40">
        <f>Lookup!O40</f>
        <v>0</v>
      </c>
      <c r="P40">
        <f>Lookup!P40</f>
        <v>916136000</v>
      </c>
      <c r="Q40">
        <f>Lookup!Q40</f>
        <v>0</v>
      </c>
      <c r="R40">
        <f>Lookup!R40</f>
        <v>916.13599999999997</v>
      </c>
      <c r="S40">
        <f>Lookup!S40</f>
        <v>1475694000</v>
      </c>
      <c r="T40">
        <f>Lookup!T40</f>
        <v>1323790000</v>
      </c>
      <c r="U40">
        <f>Lookup!U40</f>
        <v>5957698000</v>
      </c>
      <c r="V40">
        <f>Lookup!V40</f>
        <v>5957698000</v>
      </c>
      <c r="W40">
        <f>Lookup!W40</f>
        <v>0.15229999999999999</v>
      </c>
      <c r="X40">
        <f>Lookup!X40</f>
        <v>0.15379999999999999</v>
      </c>
      <c r="Y40" t="str">
        <f t="shared" ca="1" si="1"/>
        <v>KO_INC-ST_YRLY.xlsx</v>
      </c>
      <c r="Z40" t="str">
        <f t="shared" ca="1" si="2"/>
        <v>KO_INC-ST_YRLY-002</v>
      </c>
      <c r="AA40" s="14">
        <f t="shared" ca="1" si="0"/>
        <v>46088.839546527779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2026-03-06T20:02:21Z</dcterms:created>
  <dcterms:modified xsi:type="dcterms:W3CDTF">2026-03-08T01:14:28Z</dcterms:modified>
</cp:coreProperties>
</file>