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el\Desktop\Raw Financials\KO\Income Statement\"/>
    </mc:Choice>
  </mc:AlternateContent>
  <xr:revisionPtr revIDLastSave="0" documentId="13_ncr:1_{E813D842-1262-439B-AEA9-A3211544E25A}" xr6:coauthVersionLast="47" xr6:coauthVersionMax="47" xr10:uidLastSave="{00000000-0000-0000-0000-000000000000}"/>
  <bookViews>
    <workbookView xWindow="38295" yWindow="0" windowWidth="38610" windowHeight="21705" activeTab="1" xr2:uid="{0C1D80BA-0F63-4D01-8D18-134C34CB442A}"/>
  </bookViews>
  <sheets>
    <sheet name="Raw" sheetId="2" r:id="rId1"/>
    <sheet name="Lookup" sheetId="3" r:id="rId2"/>
    <sheet name="Export" sheetId="4" r:id="rId3"/>
    <sheet name="Support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0" i="4" l="1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3" i="4"/>
  <c r="C3" i="4"/>
  <c r="D3" i="4"/>
  <c r="A4" i="4"/>
  <c r="C4" i="4"/>
  <c r="D4" i="4"/>
  <c r="A5" i="4"/>
  <c r="C5" i="4"/>
  <c r="D5" i="4"/>
  <c r="A6" i="4"/>
  <c r="C6" i="4"/>
  <c r="D6" i="4"/>
  <c r="A7" i="4"/>
  <c r="C7" i="4"/>
  <c r="D7" i="4"/>
  <c r="A8" i="4"/>
  <c r="C8" i="4"/>
  <c r="D8" i="4"/>
  <c r="A9" i="4"/>
  <c r="C9" i="4"/>
  <c r="D9" i="4"/>
  <c r="A10" i="4"/>
  <c r="C10" i="4"/>
  <c r="D10" i="4"/>
  <c r="A11" i="4"/>
  <c r="C11" i="4"/>
  <c r="D11" i="4"/>
  <c r="A12" i="4"/>
  <c r="C12" i="4"/>
  <c r="D12" i="4"/>
  <c r="A13" i="4"/>
  <c r="C13" i="4"/>
  <c r="D13" i="4"/>
  <c r="A14" i="4"/>
  <c r="C14" i="4"/>
  <c r="D14" i="4"/>
  <c r="A15" i="4"/>
  <c r="C15" i="4"/>
  <c r="D15" i="4"/>
  <c r="A16" i="4"/>
  <c r="C16" i="4"/>
  <c r="D16" i="4"/>
  <c r="A17" i="4"/>
  <c r="C17" i="4"/>
  <c r="D17" i="4"/>
  <c r="A18" i="4"/>
  <c r="C18" i="4"/>
  <c r="D18" i="4"/>
  <c r="A19" i="4"/>
  <c r="C19" i="4"/>
  <c r="D19" i="4"/>
  <c r="A20" i="4"/>
  <c r="C20" i="4"/>
  <c r="D20" i="4"/>
  <c r="A21" i="4"/>
  <c r="C21" i="4"/>
  <c r="D21" i="4"/>
  <c r="A22" i="4"/>
  <c r="C22" i="4"/>
  <c r="D22" i="4"/>
  <c r="A23" i="4"/>
  <c r="C23" i="4"/>
  <c r="D23" i="4"/>
  <c r="A24" i="4"/>
  <c r="C24" i="4"/>
  <c r="D24" i="4"/>
  <c r="A25" i="4"/>
  <c r="C25" i="4"/>
  <c r="D25" i="4"/>
  <c r="A26" i="4"/>
  <c r="C26" i="4"/>
  <c r="D26" i="4"/>
  <c r="A27" i="4"/>
  <c r="C27" i="4"/>
  <c r="D27" i="4"/>
  <c r="A28" i="4"/>
  <c r="C28" i="4"/>
  <c r="D28" i="4"/>
  <c r="A29" i="4"/>
  <c r="C29" i="4"/>
  <c r="D29" i="4"/>
  <c r="A30" i="4"/>
  <c r="C30" i="4"/>
  <c r="D30" i="4"/>
  <c r="A31" i="4"/>
  <c r="C31" i="4"/>
  <c r="D31" i="4"/>
  <c r="A32" i="4"/>
  <c r="C32" i="4"/>
  <c r="D32" i="4"/>
  <c r="A33" i="4"/>
  <c r="C33" i="4"/>
  <c r="D33" i="4"/>
  <c r="A34" i="4"/>
  <c r="C34" i="4"/>
  <c r="D34" i="4"/>
  <c r="A35" i="4"/>
  <c r="C35" i="4"/>
  <c r="D35" i="4"/>
  <c r="A36" i="4"/>
  <c r="C36" i="4"/>
  <c r="D36" i="4"/>
  <c r="A37" i="4"/>
  <c r="C37" i="4"/>
  <c r="D37" i="4"/>
  <c r="A38" i="4"/>
  <c r="C38" i="4"/>
  <c r="D38" i="4"/>
  <c r="A39" i="4"/>
  <c r="C39" i="4"/>
  <c r="D39" i="4"/>
  <c r="A40" i="4"/>
  <c r="C40" i="4"/>
  <c r="D40" i="4"/>
  <c r="A41" i="4"/>
  <c r="C41" i="4"/>
  <c r="D41" i="4"/>
  <c r="A42" i="4"/>
  <c r="C42" i="4"/>
  <c r="D42" i="4"/>
  <c r="A43" i="4"/>
  <c r="C43" i="4"/>
  <c r="D43" i="4"/>
  <c r="A44" i="4"/>
  <c r="C44" i="4"/>
  <c r="D44" i="4"/>
  <c r="A45" i="4"/>
  <c r="C45" i="4"/>
  <c r="D45" i="4"/>
  <c r="A46" i="4"/>
  <c r="C46" i="4"/>
  <c r="D46" i="4"/>
  <c r="A47" i="4"/>
  <c r="C47" i="4"/>
  <c r="D47" i="4"/>
  <c r="A48" i="4"/>
  <c r="C48" i="4"/>
  <c r="D48" i="4"/>
  <c r="A49" i="4"/>
  <c r="C49" i="4"/>
  <c r="D49" i="4"/>
  <c r="A50" i="4"/>
  <c r="C50" i="4"/>
  <c r="D50" i="4"/>
  <c r="A51" i="4"/>
  <c r="C51" i="4"/>
  <c r="D51" i="4"/>
  <c r="A52" i="4"/>
  <c r="C52" i="4"/>
  <c r="D52" i="4"/>
  <c r="A53" i="4"/>
  <c r="C53" i="4"/>
  <c r="D53" i="4"/>
  <c r="A54" i="4"/>
  <c r="C54" i="4"/>
  <c r="D54" i="4"/>
  <c r="A55" i="4"/>
  <c r="C55" i="4"/>
  <c r="D55" i="4"/>
  <c r="A56" i="4"/>
  <c r="C56" i="4"/>
  <c r="D56" i="4"/>
  <c r="A57" i="4"/>
  <c r="C57" i="4"/>
  <c r="D57" i="4"/>
  <c r="A58" i="4"/>
  <c r="C58" i="4"/>
  <c r="D58" i="4"/>
  <c r="A59" i="4"/>
  <c r="C59" i="4"/>
  <c r="D59" i="4"/>
  <c r="A60" i="4"/>
  <c r="C60" i="4"/>
  <c r="D60" i="4"/>
  <c r="A61" i="4"/>
  <c r="C61" i="4"/>
  <c r="D61" i="4"/>
  <c r="A62" i="4"/>
  <c r="C62" i="4"/>
  <c r="D62" i="4"/>
  <c r="A63" i="4"/>
  <c r="C63" i="4"/>
  <c r="D63" i="4"/>
  <c r="A64" i="4"/>
  <c r="C64" i="4"/>
  <c r="D64" i="4"/>
  <c r="A65" i="4"/>
  <c r="C65" i="4"/>
  <c r="D65" i="4"/>
  <c r="A66" i="4"/>
  <c r="C66" i="4"/>
  <c r="D66" i="4"/>
  <c r="A67" i="4"/>
  <c r="C67" i="4"/>
  <c r="D67" i="4"/>
  <c r="A68" i="4"/>
  <c r="C68" i="4"/>
  <c r="D68" i="4"/>
  <c r="A69" i="4"/>
  <c r="C69" i="4"/>
  <c r="D69" i="4"/>
  <c r="A70" i="4"/>
  <c r="C70" i="4"/>
  <c r="D70" i="4"/>
  <c r="A71" i="4"/>
  <c r="C71" i="4"/>
  <c r="D71" i="4"/>
  <c r="A72" i="4"/>
  <c r="C72" i="4"/>
  <c r="D72" i="4"/>
  <c r="A73" i="4"/>
  <c r="C73" i="4"/>
  <c r="D73" i="4"/>
  <c r="A74" i="4"/>
  <c r="C74" i="4"/>
  <c r="D74" i="4"/>
  <c r="A75" i="4"/>
  <c r="C75" i="4"/>
  <c r="D75" i="4"/>
  <c r="A76" i="4"/>
  <c r="C76" i="4"/>
  <c r="D76" i="4"/>
  <c r="A77" i="4"/>
  <c r="C77" i="4"/>
  <c r="D77" i="4"/>
  <c r="A78" i="4"/>
  <c r="C78" i="4"/>
  <c r="D78" i="4"/>
  <c r="A79" i="4"/>
  <c r="C79" i="4"/>
  <c r="D79" i="4"/>
  <c r="A80" i="4"/>
  <c r="C80" i="4"/>
  <c r="D80" i="4"/>
  <c r="A81" i="4"/>
  <c r="C81" i="4"/>
  <c r="D81" i="4"/>
  <c r="A82" i="4"/>
  <c r="C82" i="4"/>
  <c r="D82" i="4"/>
  <c r="A83" i="4"/>
  <c r="C83" i="4"/>
  <c r="D83" i="4"/>
  <c r="A84" i="4"/>
  <c r="C84" i="4"/>
  <c r="D84" i="4"/>
  <c r="A85" i="4"/>
  <c r="C85" i="4"/>
  <c r="D85" i="4"/>
  <c r="A86" i="4"/>
  <c r="C86" i="4"/>
  <c r="D86" i="4"/>
  <c r="A87" i="4"/>
  <c r="C87" i="4"/>
  <c r="D87" i="4"/>
  <c r="A88" i="4"/>
  <c r="C88" i="4"/>
  <c r="D88" i="4"/>
  <c r="A89" i="4"/>
  <c r="C89" i="4"/>
  <c r="D89" i="4"/>
  <c r="A90" i="4"/>
  <c r="C90" i="4"/>
  <c r="D90" i="4"/>
  <c r="A91" i="4"/>
  <c r="C91" i="4"/>
  <c r="D91" i="4"/>
  <c r="A92" i="4"/>
  <c r="C92" i="4"/>
  <c r="D92" i="4"/>
  <c r="A93" i="4"/>
  <c r="C93" i="4"/>
  <c r="D93" i="4"/>
  <c r="A94" i="4"/>
  <c r="C94" i="4"/>
  <c r="D94" i="4"/>
  <c r="A95" i="4"/>
  <c r="C95" i="4"/>
  <c r="D95" i="4"/>
  <c r="A96" i="4"/>
  <c r="C96" i="4"/>
  <c r="D96" i="4"/>
  <c r="A97" i="4"/>
  <c r="C97" i="4"/>
  <c r="D97" i="4"/>
  <c r="A98" i="4"/>
  <c r="C98" i="4"/>
  <c r="D98" i="4"/>
  <c r="A99" i="4"/>
  <c r="C99" i="4"/>
  <c r="D99" i="4"/>
  <c r="A100" i="4"/>
  <c r="C100" i="4"/>
  <c r="D100" i="4"/>
  <c r="A101" i="4"/>
  <c r="C101" i="4"/>
  <c r="D101" i="4"/>
  <c r="A102" i="4"/>
  <c r="C102" i="4"/>
  <c r="D102" i="4"/>
  <c r="A103" i="4"/>
  <c r="C103" i="4"/>
  <c r="D103" i="4"/>
  <c r="A104" i="4"/>
  <c r="C104" i="4"/>
  <c r="D104" i="4"/>
  <c r="A105" i="4"/>
  <c r="C105" i="4"/>
  <c r="D105" i="4"/>
  <c r="A106" i="4"/>
  <c r="C106" i="4"/>
  <c r="D106" i="4"/>
  <c r="A107" i="4"/>
  <c r="C107" i="4"/>
  <c r="D107" i="4"/>
  <c r="A108" i="4"/>
  <c r="C108" i="4"/>
  <c r="D108" i="4"/>
  <c r="A109" i="4"/>
  <c r="C109" i="4"/>
  <c r="D109" i="4"/>
  <c r="A110" i="4"/>
  <c r="C110" i="4"/>
  <c r="D110" i="4"/>
  <c r="A111" i="4"/>
  <c r="C111" i="4"/>
  <c r="D111" i="4"/>
  <c r="A112" i="4"/>
  <c r="C112" i="4"/>
  <c r="D112" i="4"/>
  <c r="A113" i="4"/>
  <c r="C113" i="4"/>
  <c r="D113" i="4"/>
  <c r="A114" i="4"/>
  <c r="C114" i="4"/>
  <c r="D114" i="4"/>
  <c r="A115" i="4"/>
  <c r="C115" i="4"/>
  <c r="D115" i="4"/>
  <c r="A116" i="4"/>
  <c r="C116" i="4"/>
  <c r="D116" i="4"/>
  <c r="A117" i="4"/>
  <c r="C117" i="4"/>
  <c r="D117" i="4"/>
  <c r="A118" i="4"/>
  <c r="C118" i="4"/>
  <c r="D118" i="4"/>
  <c r="A119" i="4"/>
  <c r="C119" i="4"/>
  <c r="D119" i="4"/>
  <c r="A120" i="4"/>
  <c r="C120" i="4"/>
  <c r="D120" i="4"/>
  <c r="A121" i="4"/>
  <c r="C121" i="4"/>
  <c r="D121" i="4"/>
  <c r="A122" i="4"/>
  <c r="C122" i="4"/>
  <c r="D122" i="4"/>
  <c r="A123" i="4"/>
  <c r="C123" i="4"/>
  <c r="D123" i="4"/>
  <c r="A124" i="4"/>
  <c r="C124" i="4"/>
  <c r="D124" i="4"/>
  <c r="A125" i="4"/>
  <c r="C125" i="4"/>
  <c r="D125" i="4"/>
  <c r="A126" i="4"/>
  <c r="C126" i="4"/>
  <c r="D126" i="4"/>
  <c r="A127" i="4"/>
  <c r="C127" i="4"/>
  <c r="D127" i="4"/>
  <c r="A128" i="4"/>
  <c r="C128" i="4"/>
  <c r="D128" i="4"/>
  <c r="A129" i="4"/>
  <c r="C129" i="4"/>
  <c r="D129" i="4"/>
  <c r="A130" i="4"/>
  <c r="C130" i="4"/>
  <c r="D130" i="4"/>
  <c r="A131" i="4"/>
  <c r="C131" i="4"/>
  <c r="D131" i="4"/>
  <c r="A132" i="4"/>
  <c r="C132" i="4"/>
  <c r="D132" i="4"/>
  <c r="A133" i="4"/>
  <c r="C133" i="4"/>
  <c r="D133" i="4"/>
  <c r="A134" i="4"/>
  <c r="C134" i="4"/>
  <c r="D134" i="4"/>
  <c r="A135" i="4"/>
  <c r="C135" i="4"/>
  <c r="D135" i="4"/>
  <c r="A136" i="4"/>
  <c r="C136" i="4"/>
  <c r="D136" i="4"/>
  <c r="A137" i="4"/>
  <c r="C137" i="4"/>
  <c r="D137" i="4"/>
  <c r="A138" i="4"/>
  <c r="C138" i="4"/>
  <c r="D138" i="4"/>
  <c r="A139" i="4"/>
  <c r="C139" i="4"/>
  <c r="D139" i="4"/>
  <c r="A140" i="4"/>
  <c r="C140" i="4"/>
  <c r="D140" i="4"/>
  <c r="A141" i="4"/>
  <c r="C141" i="4"/>
  <c r="D141" i="4"/>
  <c r="A142" i="4"/>
  <c r="C142" i="4"/>
  <c r="D142" i="4"/>
  <c r="A143" i="4"/>
  <c r="C143" i="4"/>
  <c r="D143" i="4"/>
  <c r="A144" i="4"/>
  <c r="C144" i="4"/>
  <c r="D144" i="4"/>
  <c r="A145" i="4"/>
  <c r="C145" i="4"/>
  <c r="D145" i="4"/>
  <c r="A146" i="4"/>
  <c r="C146" i="4"/>
  <c r="D146" i="4"/>
  <c r="A147" i="4"/>
  <c r="C147" i="4"/>
  <c r="D147" i="4"/>
  <c r="A148" i="4"/>
  <c r="C148" i="4"/>
  <c r="D148" i="4"/>
  <c r="A149" i="4"/>
  <c r="C149" i="4"/>
  <c r="D149" i="4"/>
  <c r="A150" i="4"/>
  <c r="C150" i="4"/>
  <c r="D150" i="4"/>
  <c r="A151" i="4"/>
  <c r="C151" i="4"/>
  <c r="D151" i="4"/>
  <c r="A152" i="4"/>
  <c r="C152" i="4"/>
  <c r="D152" i="4"/>
  <c r="A153" i="4"/>
  <c r="C153" i="4"/>
  <c r="D153" i="4"/>
  <c r="A154" i="4"/>
  <c r="C154" i="4"/>
  <c r="D154" i="4"/>
  <c r="A155" i="4"/>
  <c r="C155" i="4"/>
  <c r="D155" i="4"/>
  <c r="A156" i="4"/>
  <c r="C156" i="4"/>
  <c r="D156" i="4"/>
  <c r="A157" i="4"/>
  <c r="C157" i="4"/>
  <c r="D157" i="4"/>
  <c r="A158" i="4"/>
  <c r="C158" i="4"/>
  <c r="D158" i="4"/>
  <c r="AB2" i="4"/>
  <c r="AB3" i="4"/>
  <c r="AB4" i="4"/>
  <c r="AB5" i="4"/>
  <c r="C2" i="4"/>
  <c r="D2" i="4"/>
  <c r="A2" i="4"/>
  <c r="AD161" i="3" a="1"/>
  <c r="AD161" i="3" s="1"/>
  <c r="Y158" i="4" s="1"/>
  <c r="AC161" i="3" a="1"/>
  <c r="AC161" i="3" s="1"/>
  <c r="X158" i="4" s="1"/>
  <c r="AB161" i="3" a="1"/>
  <c r="AB161" i="3" s="1"/>
  <c r="W158" i="4" s="1"/>
  <c r="AA161" i="3" a="1"/>
  <c r="AA161" i="3" s="1"/>
  <c r="V158" i="4" s="1"/>
  <c r="Z161" i="3" a="1"/>
  <c r="Z161" i="3" s="1"/>
  <c r="U158" i="4" s="1"/>
  <c r="Y161" i="3" a="1"/>
  <c r="Y161" i="3" s="1"/>
  <c r="T158" i="4" s="1"/>
  <c r="X161" i="3" a="1"/>
  <c r="X161" i="3" s="1"/>
  <c r="S158" i="4" s="1"/>
  <c r="W161" i="3" a="1"/>
  <c r="W161" i="3" s="1"/>
  <c r="R158" i="4" s="1"/>
  <c r="V161" i="3" a="1"/>
  <c r="V161" i="3" s="1"/>
  <c r="Q158" i="4" s="1"/>
  <c r="U161" i="3" a="1"/>
  <c r="U161" i="3" s="1"/>
  <c r="P158" i="4" s="1"/>
  <c r="T161" i="3" a="1"/>
  <c r="T161" i="3" s="1"/>
  <c r="O158" i="4" s="1"/>
  <c r="S161" i="3" a="1"/>
  <c r="S161" i="3" s="1"/>
  <c r="N158" i="4" s="1"/>
  <c r="R161" i="3" a="1"/>
  <c r="R161" i="3" s="1"/>
  <c r="M158" i="4" s="1"/>
  <c r="Q161" i="3" a="1"/>
  <c r="Q161" i="3" s="1"/>
  <c r="L158" i="4" s="1"/>
  <c r="P161" i="3" a="1"/>
  <c r="P161" i="3" s="1"/>
  <c r="K158" i="4" s="1"/>
  <c r="O161" i="3" a="1"/>
  <c r="O161" i="3" s="1"/>
  <c r="J158" i="4" s="1"/>
  <c r="N161" i="3" a="1"/>
  <c r="N161" i="3" s="1"/>
  <c r="I158" i="4" s="1"/>
  <c r="M161" i="3" a="1"/>
  <c r="M161" i="3" s="1"/>
  <c r="H158" i="4" s="1"/>
  <c r="L161" i="3" a="1"/>
  <c r="L161" i="3" s="1"/>
  <c r="G158" i="4" s="1"/>
  <c r="K161" i="3" a="1"/>
  <c r="K161" i="3" s="1"/>
  <c r="F158" i="4" s="1"/>
  <c r="J161" i="3" a="1"/>
  <c r="J161" i="3" s="1"/>
  <c r="E158" i="4" s="1"/>
  <c r="AD160" i="3" a="1"/>
  <c r="AD160" i="3" s="1"/>
  <c r="Y157" i="4" s="1"/>
  <c r="AC160" i="3" a="1"/>
  <c r="AC160" i="3" s="1"/>
  <c r="X157" i="4" s="1"/>
  <c r="AB160" i="3" a="1"/>
  <c r="AB160" i="3" s="1"/>
  <c r="W157" i="4" s="1"/>
  <c r="AA160" i="3" a="1"/>
  <c r="AA160" i="3" s="1"/>
  <c r="V157" i="4" s="1"/>
  <c r="Z160" i="3" a="1"/>
  <c r="Z160" i="3" s="1"/>
  <c r="U157" i="4" s="1"/>
  <c r="Y160" i="3" a="1"/>
  <c r="Y160" i="3" s="1"/>
  <c r="T157" i="4" s="1"/>
  <c r="X160" i="3" a="1"/>
  <c r="X160" i="3" s="1"/>
  <c r="S157" i="4" s="1"/>
  <c r="W160" i="3" a="1"/>
  <c r="W160" i="3" s="1"/>
  <c r="R157" i="4" s="1"/>
  <c r="V160" i="3" a="1"/>
  <c r="V160" i="3" s="1"/>
  <c r="Q157" i="4" s="1"/>
  <c r="U160" i="3" a="1"/>
  <c r="U160" i="3" s="1"/>
  <c r="P157" i="4" s="1"/>
  <c r="T160" i="3" a="1"/>
  <c r="T160" i="3" s="1"/>
  <c r="O157" i="4" s="1"/>
  <c r="S160" i="3" a="1"/>
  <c r="S160" i="3" s="1"/>
  <c r="N157" i="4" s="1"/>
  <c r="R160" i="3" a="1"/>
  <c r="R160" i="3" s="1"/>
  <c r="M157" i="4" s="1"/>
  <c r="Q160" i="3" a="1"/>
  <c r="Q160" i="3" s="1"/>
  <c r="L157" i="4" s="1"/>
  <c r="P160" i="3" a="1"/>
  <c r="P160" i="3" s="1"/>
  <c r="K157" i="4" s="1"/>
  <c r="O160" i="3" a="1"/>
  <c r="O160" i="3" s="1"/>
  <c r="J157" i="4" s="1"/>
  <c r="N160" i="3" a="1"/>
  <c r="N160" i="3" s="1"/>
  <c r="I157" i="4" s="1"/>
  <c r="M160" i="3" a="1"/>
  <c r="M160" i="3" s="1"/>
  <c r="H157" i="4" s="1"/>
  <c r="L160" i="3" a="1"/>
  <c r="L160" i="3" s="1"/>
  <c r="G157" i="4" s="1"/>
  <c r="K160" i="3" a="1"/>
  <c r="K160" i="3" s="1"/>
  <c r="F157" i="4" s="1"/>
  <c r="J160" i="3" a="1"/>
  <c r="J160" i="3" s="1"/>
  <c r="E157" i="4" s="1"/>
  <c r="AD159" i="3" a="1"/>
  <c r="AD159" i="3" s="1"/>
  <c r="Y156" i="4" s="1"/>
  <c r="AC159" i="3" a="1"/>
  <c r="AC159" i="3" s="1"/>
  <c r="X156" i="4" s="1"/>
  <c r="AB159" i="3" a="1"/>
  <c r="AB159" i="3" s="1"/>
  <c r="W156" i="4" s="1"/>
  <c r="AA159" i="3" a="1"/>
  <c r="AA159" i="3" s="1"/>
  <c r="V156" i="4" s="1"/>
  <c r="Z159" i="3" a="1"/>
  <c r="Z159" i="3" s="1"/>
  <c r="U156" i="4" s="1"/>
  <c r="Y159" i="3" a="1"/>
  <c r="Y159" i="3" s="1"/>
  <c r="T156" i="4" s="1"/>
  <c r="X159" i="3" a="1"/>
  <c r="X159" i="3" s="1"/>
  <c r="S156" i="4" s="1"/>
  <c r="W159" i="3" a="1"/>
  <c r="W159" i="3" s="1"/>
  <c r="R156" i="4" s="1"/>
  <c r="V159" i="3" a="1"/>
  <c r="V159" i="3" s="1"/>
  <c r="Q156" i="4" s="1"/>
  <c r="U159" i="3" a="1"/>
  <c r="U159" i="3" s="1"/>
  <c r="P156" i="4" s="1"/>
  <c r="T159" i="3" a="1"/>
  <c r="T159" i="3" s="1"/>
  <c r="O156" i="4" s="1"/>
  <c r="S159" i="3" a="1"/>
  <c r="S159" i="3" s="1"/>
  <c r="N156" i="4" s="1"/>
  <c r="R159" i="3" a="1"/>
  <c r="R159" i="3" s="1"/>
  <c r="M156" i="4" s="1"/>
  <c r="Q159" i="3" a="1"/>
  <c r="Q159" i="3" s="1"/>
  <c r="L156" i="4" s="1"/>
  <c r="P159" i="3" a="1"/>
  <c r="P159" i="3" s="1"/>
  <c r="K156" i="4" s="1"/>
  <c r="O159" i="3" a="1"/>
  <c r="O159" i="3" s="1"/>
  <c r="J156" i="4" s="1"/>
  <c r="N159" i="3" a="1"/>
  <c r="N159" i="3" s="1"/>
  <c r="I156" i="4" s="1"/>
  <c r="M159" i="3" a="1"/>
  <c r="M159" i="3" s="1"/>
  <c r="H156" i="4" s="1"/>
  <c r="L159" i="3" a="1"/>
  <c r="L159" i="3" s="1"/>
  <c r="G156" i="4" s="1"/>
  <c r="K159" i="3" a="1"/>
  <c r="K159" i="3" s="1"/>
  <c r="F156" i="4" s="1"/>
  <c r="J159" i="3" a="1"/>
  <c r="J159" i="3" s="1"/>
  <c r="E156" i="4" s="1"/>
  <c r="AD158" i="3" a="1"/>
  <c r="AD158" i="3" s="1"/>
  <c r="Y155" i="4" s="1"/>
  <c r="AC158" i="3" a="1"/>
  <c r="AC158" i="3" s="1"/>
  <c r="X155" i="4" s="1"/>
  <c r="AB158" i="3" a="1"/>
  <c r="AB158" i="3" s="1"/>
  <c r="W155" i="4" s="1"/>
  <c r="AA158" i="3" a="1"/>
  <c r="AA158" i="3" s="1"/>
  <c r="V155" i="4" s="1"/>
  <c r="Z158" i="3" a="1"/>
  <c r="Z158" i="3" s="1"/>
  <c r="U155" i="4" s="1"/>
  <c r="Y158" i="3" a="1"/>
  <c r="Y158" i="3" s="1"/>
  <c r="T155" i="4" s="1"/>
  <c r="X158" i="3" a="1"/>
  <c r="X158" i="3" s="1"/>
  <c r="S155" i="4" s="1"/>
  <c r="W158" i="3" a="1"/>
  <c r="W158" i="3" s="1"/>
  <c r="R155" i="4" s="1"/>
  <c r="V158" i="3" a="1"/>
  <c r="V158" i="3" s="1"/>
  <c r="Q155" i="4" s="1"/>
  <c r="U158" i="3" a="1"/>
  <c r="U158" i="3" s="1"/>
  <c r="P155" i="4" s="1"/>
  <c r="T158" i="3" a="1"/>
  <c r="T158" i="3" s="1"/>
  <c r="O155" i="4" s="1"/>
  <c r="S158" i="3" a="1"/>
  <c r="S158" i="3" s="1"/>
  <c r="N155" i="4" s="1"/>
  <c r="R158" i="3" a="1"/>
  <c r="R158" i="3" s="1"/>
  <c r="M155" i="4" s="1"/>
  <c r="Q158" i="3" a="1"/>
  <c r="Q158" i="3" s="1"/>
  <c r="L155" i="4" s="1"/>
  <c r="P158" i="3" a="1"/>
  <c r="P158" i="3" s="1"/>
  <c r="K155" i="4" s="1"/>
  <c r="O158" i="3" a="1"/>
  <c r="O158" i="3" s="1"/>
  <c r="J155" i="4" s="1"/>
  <c r="N158" i="3" a="1"/>
  <c r="N158" i="3" s="1"/>
  <c r="I155" i="4" s="1"/>
  <c r="M158" i="3" a="1"/>
  <c r="M158" i="3" s="1"/>
  <c r="H155" i="4" s="1"/>
  <c r="L158" i="3" a="1"/>
  <c r="L158" i="3" s="1"/>
  <c r="G155" i="4" s="1"/>
  <c r="K158" i="3" a="1"/>
  <c r="K158" i="3" s="1"/>
  <c r="F155" i="4" s="1"/>
  <c r="J158" i="3" a="1"/>
  <c r="J158" i="3" s="1"/>
  <c r="E155" i="4" s="1"/>
  <c r="AD157" i="3" a="1"/>
  <c r="AD157" i="3" s="1"/>
  <c r="Y154" i="4" s="1"/>
  <c r="AC157" i="3" a="1"/>
  <c r="AC157" i="3" s="1"/>
  <c r="X154" i="4" s="1"/>
  <c r="AB157" i="3" a="1"/>
  <c r="AB157" i="3" s="1"/>
  <c r="W154" i="4" s="1"/>
  <c r="AA157" i="3" a="1"/>
  <c r="AA157" i="3" s="1"/>
  <c r="V154" i="4" s="1"/>
  <c r="Z157" i="3" a="1"/>
  <c r="Z157" i="3" s="1"/>
  <c r="U154" i="4" s="1"/>
  <c r="Y157" i="3" a="1"/>
  <c r="Y157" i="3" s="1"/>
  <c r="T154" i="4" s="1"/>
  <c r="X157" i="3" a="1"/>
  <c r="X157" i="3" s="1"/>
  <c r="S154" i="4" s="1"/>
  <c r="W157" i="3" a="1"/>
  <c r="W157" i="3" s="1"/>
  <c r="R154" i="4" s="1"/>
  <c r="V157" i="3" a="1"/>
  <c r="V157" i="3" s="1"/>
  <c r="Q154" i="4" s="1"/>
  <c r="U157" i="3" a="1"/>
  <c r="U157" i="3" s="1"/>
  <c r="P154" i="4" s="1"/>
  <c r="T157" i="3" a="1"/>
  <c r="T157" i="3" s="1"/>
  <c r="O154" i="4" s="1"/>
  <c r="S157" i="3" a="1"/>
  <c r="S157" i="3" s="1"/>
  <c r="N154" i="4" s="1"/>
  <c r="R157" i="3" a="1"/>
  <c r="R157" i="3" s="1"/>
  <c r="M154" i="4" s="1"/>
  <c r="Q157" i="3" a="1"/>
  <c r="Q157" i="3" s="1"/>
  <c r="L154" i="4" s="1"/>
  <c r="P157" i="3" a="1"/>
  <c r="P157" i="3" s="1"/>
  <c r="K154" i="4" s="1"/>
  <c r="O157" i="3" a="1"/>
  <c r="O157" i="3" s="1"/>
  <c r="J154" i="4" s="1"/>
  <c r="N157" i="3" a="1"/>
  <c r="N157" i="3" s="1"/>
  <c r="I154" i="4" s="1"/>
  <c r="M157" i="3" a="1"/>
  <c r="M157" i="3" s="1"/>
  <c r="H154" i="4" s="1"/>
  <c r="L157" i="3" a="1"/>
  <c r="L157" i="3" s="1"/>
  <c r="G154" i="4" s="1"/>
  <c r="K157" i="3" a="1"/>
  <c r="K157" i="3" s="1"/>
  <c r="F154" i="4" s="1"/>
  <c r="J157" i="3" a="1"/>
  <c r="J157" i="3" s="1"/>
  <c r="E154" i="4" s="1"/>
  <c r="AD156" i="3" a="1"/>
  <c r="AD156" i="3" s="1"/>
  <c r="Y153" i="4" s="1"/>
  <c r="AC156" i="3" a="1"/>
  <c r="AC156" i="3" s="1"/>
  <c r="X153" i="4" s="1"/>
  <c r="AB156" i="3" a="1"/>
  <c r="AB156" i="3" s="1"/>
  <c r="W153" i="4" s="1"/>
  <c r="AA156" i="3" a="1"/>
  <c r="AA156" i="3" s="1"/>
  <c r="V153" i="4" s="1"/>
  <c r="Z156" i="3" a="1"/>
  <c r="Z156" i="3" s="1"/>
  <c r="U153" i="4" s="1"/>
  <c r="Y156" i="3" a="1"/>
  <c r="Y156" i="3" s="1"/>
  <c r="T153" i="4" s="1"/>
  <c r="X156" i="3" a="1"/>
  <c r="X156" i="3" s="1"/>
  <c r="S153" i="4" s="1"/>
  <c r="W156" i="3" a="1"/>
  <c r="W156" i="3" s="1"/>
  <c r="R153" i="4" s="1"/>
  <c r="V156" i="3" a="1"/>
  <c r="V156" i="3" s="1"/>
  <c r="Q153" i="4" s="1"/>
  <c r="U156" i="3" a="1"/>
  <c r="U156" i="3" s="1"/>
  <c r="P153" i="4" s="1"/>
  <c r="T156" i="3" a="1"/>
  <c r="T156" i="3" s="1"/>
  <c r="O153" i="4" s="1"/>
  <c r="S156" i="3" a="1"/>
  <c r="S156" i="3" s="1"/>
  <c r="N153" i="4" s="1"/>
  <c r="R156" i="3" a="1"/>
  <c r="R156" i="3" s="1"/>
  <c r="M153" i="4" s="1"/>
  <c r="Q156" i="3" a="1"/>
  <c r="Q156" i="3" s="1"/>
  <c r="L153" i="4" s="1"/>
  <c r="P156" i="3" a="1"/>
  <c r="P156" i="3" s="1"/>
  <c r="K153" i="4" s="1"/>
  <c r="O156" i="3" a="1"/>
  <c r="O156" i="3" s="1"/>
  <c r="J153" i="4" s="1"/>
  <c r="N156" i="3" a="1"/>
  <c r="N156" i="3" s="1"/>
  <c r="I153" i="4" s="1"/>
  <c r="M156" i="3" a="1"/>
  <c r="M156" i="3" s="1"/>
  <c r="H153" i="4" s="1"/>
  <c r="L156" i="3" a="1"/>
  <c r="L156" i="3" s="1"/>
  <c r="G153" i="4" s="1"/>
  <c r="K156" i="3" a="1"/>
  <c r="K156" i="3" s="1"/>
  <c r="F153" i="4" s="1"/>
  <c r="J156" i="3" a="1"/>
  <c r="J156" i="3" s="1"/>
  <c r="E153" i="4" s="1"/>
  <c r="AD155" i="3" a="1"/>
  <c r="AD155" i="3" s="1"/>
  <c r="Y152" i="4" s="1"/>
  <c r="AC155" i="3" a="1"/>
  <c r="AC155" i="3" s="1"/>
  <c r="X152" i="4" s="1"/>
  <c r="AB155" i="3" a="1"/>
  <c r="AB155" i="3" s="1"/>
  <c r="W152" i="4" s="1"/>
  <c r="AA155" i="3" a="1"/>
  <c r="AA155" i="3" s="1"/>
  <c r="V152" i="4" s="1"/>
  <c r="Z155" i="3" a="1"/>
  <c r="Z155" i="3" s="1"/>
  <c r="U152" i="4" s="1"/>
  <c r="Y155" i="3" a="1"/>
  <c r="Y155" i="3" s="1"/>
  <c r="T152" i="4" s="1"/>
  <c r="X155" i="3" a="1"/>
  <c r="X155" i="3" s="1"/>
  <c r="S152" i="4" s="1"/>
  <c r="W155" i="3" a="1"/>
  <c r="W155" i="3" s="1"/>
  <c r="R152" i="4" s="1"/>
  <c r="V155" i="3" a="1"/>
  <c r="V155" i="3" s="1"/>
  <c r="Q152" i="4" s="1"/>
  <c r="U155" i="3" a="1"/>
  <c r="U155" i="3" s="1"/>
  <c r="P152" i="4" s="1"/>
  <c r="T155" i="3" a="1"/>
  <c r="T155" i="3" s="1"/>
  <c r="O152" i="4" s="1"/>
  <c r="S155" i="3" a="1"/>
  <c r="S155" i="3" s="1"/>
  <c r="N152" i="4" s="1"/>
  <c r="R155" i="3" a="1"/>
  <c r="R155" i="3" s="1"/>
  <c r="M152" i="4" s="1"/>
  <c r="Q155" i="3" a="1"/>
  <c r="Q155" i="3" s="1"/>
  <c r="L152" i="4" s="1"/>
  <c r="P155" i="3" a="1"/>
  <c r="P155" i="3" s="1"/>
  <c r="K152" i="4" s="1"/>
  <c r="O155" i="3" a="1"/>
  <c r="O155" i="3" s="1"/>
  <c r="J152" i="4" s="1"/>
  <c r="N155" i="3" a="1"/>
  <c r="N155" i="3" s="1"/>
  <c r="I152" i="4" s="1"/>
  <c r="M155" i="3" a="1"/>
  <c r="M155" i="3" s="1"/>
  <c r="H152" i="4" s="1"/>
  <c r="L155" i="3" a="1"/>
  <c r="L155" i="3" s="1"/>
  <c r="G152" i="4" s="1"/>
  <c r="K155" i="3" a="1"/>
  <c r="K155" i="3" s="1"/>
  <c r="F152" i="4" s="1"/>
  <c r="J155" i="3" a="1"/>
  <c r="J155" i="3" s="1"/>
  <c r="E152" i="4" s="1"/>
  <c r="AD154" i="3" a="1"/>
  <c r="AD154" i="3" s="1"/>
  <c r="Y151" i="4" s="1"/>
  <c r="AC154" i="3" a="1"/>
  <c r="AC154" i="3" s="1"/>
  <c r="X151" i="4" s="1"/>
  <c r="AB154" i="3" a="1"/>
  <c r="AB154" i="3" s="1"/>
  <c r="W151" i="4" s="1"/>
  <c r="AA154" i="3" a="1"/>
  <c r="AA154" i="3" s="1"/>
  <c r="V151" i="4" s="1"/>
  <c r="Z154" i="3" a="1"/>
  <c r="Z154" i="3" s="1"/>
  <c r="U151" i="4" s="1"/>
  <c r="Y154" i="3" a="1"/>
  <c r="Y154" i="3" s="1"/>
  <c r="T151" i="4" s="1"/>
  <c r="X154" i="3" a="1"/>
  <c r="X154" i="3" s="1"/>
  <c r="S151" i="4" s="1"/>
  <c r="W154" i="3" a="1"/>
  <c r="W154" i="3" s="1"/>
  <c r="R151" i="4" s="1"/>
  <c r="V154" i="3" a="1"/>
  <c r="V154" i="3" s="1"/>
  <c r="Q151" i="4" s="1"/>
  <c r="U154" i="3" a="1"/>
  <c r="U154" i="3" s="1"/>
  <c r="P151" i="4" s="1"/>
  <c r="T154" i="3" a="1"/>
  <c r="T154" i="3" s="1"/>
  <c r="O151" i="4" s="1"/>
  <c r="S154" i="3" a="1"/>
  <c r="S154" i="3" s="1"/>
  <c r="N151" i="4" s="1"/>
  <c r="R154" i="3" a="1"/>
  <c r="R154" i="3" s="1"/>
  <c r="M151" i="4" s="1"/>
  <c r="Q154" i="3" a="1"/>
  <c r="Q154" i="3" s="1"/>
  <c r="L151" i="4" s="1"/>
  <c r="P154" i="3" a="1"/>
  <c r="P154" i="3" s="1"/>
  <c r="K151" i="4" s="1"/>
  <c r="O154" i="3" a="1"/>
  <c r="O154" i="3" s="1"/>
  <c r="J151" i="4" s="1"/>
  <c r="N154" i="3" a="1"/>
  <c r="N154" i="3" s="1"/>
  <c r="I151" i="4" s="1"/>
  <c r="M154" i="3" a="1"/>
  <c r="M154" i="3" s="1"/>
  <c r="H151" i="4" s="1"/>
  <c r="L154" i="3" a="1"/>
  <c r="L154" i="3" s="1"/>
  <c r="G151" i="4" s="1"/>
  <c r="K154" i="3" a="1"/>
  <c r="K154" i="3" s="1"/>
  <c r="F151" i="4" s="1"/>
  <c r="J154" i="3" a="1"/>
  <c r="J154" i="3" s="1"/>
  <c r="E151" i="4" s="1"/>
  <c r="AD153" i="3" a="1"/>
  <c r="AD153" i="3" s="1"/>
  <c r="Y150" i="4" s="1"/>
  <c r="AC153" i="3" a="1"/>
  <c r="AC153" i="3" s="1"/>
  <c r="X150" i="4" s="1"/>
  <c r="AB153" i="3" a="1"/>
  <c r="AB153" i="3" s="1"/>
  <c r="W150" i="4" s="1"/>
  <c r="AA153" i="3" a="1"/>
  <c r="AA153" i="3" s="1"/>
  <c r="V150" i="4" s="1"/>
  <c r="Z153" i="3" a="1"/>
  <c r="Z153" i="3" s="1"/>
  <c r="U150" i="4" s="1"/>
  <c r="Y153" i="3" a="1"/>
  <c r="Y153" i="3" s="1"/>
  <c r="T150" i="4" s="1"/>
  <c r="X153" i="3" a="1"/>
  <c r="X153" i="3" s="1"/>
  <c r="S150" i="4" s="1"/>
  <c r="W153" i="3" a="1"/>
  <c r="W153" i="3" s="1"/>
  <c r="R150" i="4" s="1"/>
  <c r="V153" i="3" a="1"/>
  <c r="V153" i="3" s="1"/>
  <c r="Q150" i="4" s="1"/>
  <c r="U153" i="3" a="1"/>
  <c r="U153" i="3" s="1"/>
  <c r="P150" i="4" s="1"/>
  <c r="T153" i="3" a="1"/>
  <c r="T153" i="3" s="1"/>
  <c r="O150" i="4" s="1"/>
  <c r="S153" i="3" a="1"/>
  <c r="S153" i="3" s="1"/>
  <c r="N150" i="4" s="1"/>
  <c r="R153" i="3" a="1"/>
  <c r="R153" i="3" s="1"/>
  <c r="M150" i="4" s="1"/>
  <c r="Q153" i="3" a="1"/>
  <c r="Q153" i="3" s="1"/>
  <c r="L150" i="4" s="1"/>
  <c r="P153" i="3" a="1"/>
  <c r="P153" i="3" s="1"/>
  <c r="K150" i="4" s="1"/>
  <c r="O153" i="3" a="1"/>
  <c r="O153" i="3" s="1"/>
  <c r="J150" i="4" s="1"/>
  <c r="N153" i="3" a="1"/>
  <c r="N153" i="3" s="1"/>
  <c r="I150" i="4" s="1"/>
  <c r="M153" i="3" a="1"/>
  <c r="M153" i="3" s="1"/>
  <c r="H150" i="4" s="1"/>
  <c r="L153" i="3" a="1"/>
  <c r="L153" i="3" s="1"/>
  <c r="G150" i="4" s="1"/>
  <c r="K153" i="3" a="1"/>
  <c r="K153" i="3" s="1"/>
  <c r="F150" i="4" s="1"/>
  <c r="J153" i="3" a="1"/>
  <c r="J153" i="3" s="1"/>
  <c r="E150" i="4" s="1"/>
  <c r="AD152" i="3" a="1"/>
  <c r="AD152" i="3" s="1"/>
  <c r="Y149" i="4" s="1"/>
  <c r="AC152" i="3" a="1"/>
  <c r="AC152" i="3" s="1"/>
  <c r="X149" i="4" s="1"/>
  <c r="AB152" i="3" a="1"/>
  <c r="AB152" i="3" s="1"/>
  <c r="W149" i="4" s="1"/>
  <c r="AA152" i="3" a="1"/>
  <c r="AA152" i="3" s="1"/>
  <c r="V149" i="4" s="1"/>
  <c r="Z152" i="3" a="1"/>
  <c r="Z152" i="3" s="1"/>
  <c r="U149" i="4" s="1"/>
  <c r="Y152" i="3" a="1"/>
  <c r="Y152" i="3" s="1"/>
  <c r="T149" i="4" s="1"/>
  <c r="X152" i="3" a="1"/>
  <c r="X152" i="3" s="1"/>
  <c r="S149" i="4" s="1"/>
  <c r="W152" i="3" a="1"/>
  <c r="W152" i="3" s="1"/>
  <c r="R149" i="4" s="1"/>
  <c r="V152" i="3" a="1"/>
  <c r="V152" i="3" s="1"/>
  <c r="Q149" i="4" s="1"/>
  <c r="U152" i="3" a="1"/>
  <c r="U152" i="3" s="1"/>
  <c r="P149" i="4" s="1"/>
  <c r="T152" i="3" a="1"/>
  <c r="T152" i="3" s="1"/>
  <c r="O149" i="4" s="1"/>
  <c r="S152" i="3" a="1"/>
  <c r="S152" i="3" s="1"/>
  <c r="N149" i="4" s="1"/>
  <c r="R152" i="3" a="1"/>
  <c r="R152" i="3" s="1"/>
  <c r="M149" i="4" s="1"/>
  <c r="Q152" i="3" a="1"/>
  <c r="Q152" i="3" s="1"/>
  <c r="L149" i="4" s="1"/>
  <c r="P152" i="3" a="1"/>
  <c r="P152" i="3" s="1"/>
  <c r="K149" i="4" s="1"/>
  <c r="O152" i="3" a="1"/>
  <c r="O152" i="3" s="1"/>
  <c r="J149" i="4" s="1"/>
  <c r="N152" i="3" a="1"/>
  <c r="N152" i="3" s="1"/>
  <c r="I149" i="4" s="1"/>
  <c r="M152" i="3" a="1"/>
  <c r="M152" i="3" s="1"/>
  <c r="H149" i="4" s="1"/>
  <c r="L152" i="3" a="1"/>
  <c r="L152" i="3" s="1"/>
  <c r="G149" i="4" s="1"/>
  <c r="K152" i="3" a="1"/>
  <c r="K152" i="3" s="1"/>
  <c r="F149" i="4" s="1"/>
  <c r="J152" i="3" a="1"/>
  <c r="J152" i="3" s="1"/>
  <c r="E149" i="4" s="1"/>
  <c r="AD151" i="3" a="1"/>
  <c r="AD151" i="3" s="1"/>
  <c r="Y148" i="4" s="1"/>
  <c r="AC151" i="3" a="1"/>
  <c r="AC151" i="3" s="1"/>
  <c r="X148" i="4" s="1"/>
  <c r="AB151" i="3" a="1"/>
  <c r="AB151" i="3" s="1"/>
  <c r="W148" i="4" s="1"/>
  <c r="AA151" i="3" a="1"/>
  <c r="AA151" i="3" s="1"/>
  <c r="V148" i="4" s="1"/>
  <c r="Z151" i="3" a="1"/>
  <c r="Z151" i="3" s="1"/>
  <c r="U148" i="4" s="1"/>
  <c r="Y151" i="3" a="1"/>
  <c r="Y151" i="3" s="1"/>
  <c r="T148" i="4" s="1"/>
  <c r="X151" i="3" a="1"/>
  <c r="X151" i="3" s="1"/>
  <c r="S148" i="4" s="1"/>
  <c r="W151" i="3" a="1"/>
  <c r="W151" i="3" s="1"/>
  <c r="R148" i="4" s="1"/>
  <c r="V151" i="3" a="1"/>
  <c r="V151" i="3" s="1"/>
  <c r="Q148" i="4" s="1"/>
  <c r="U151" i="3" a="1"/>
  <c r="U151" i="3" s="1"/>
  <c r="P148" i="4" s="1"/>
  <c r="T151" i="3" a="1"/>
  <c r="T151" i="3" s="1"/>
  <c r="O148" i="4" s="1"/>
  <c r="S151" i="3" a="1"/>
  <c r="S151" i="3" s="1"/>
  <c r="N148" i="4" s="1"/>
  <c r="R151" i="3" a="1"/>
  <c r="R151" i="3" s="1"/>
  <c r="M148" i="4" s="1"/>
  <c r="Q151" i="3" a="1"/>
  <c r="Q151" i="3" s="1"/>
  <c r="L148" i="4" s="1"/>
  <c r="P151" i="3" a="1"/>
  <c r="P151" i="3" s="1"/>
  <c r="K148" i="4" s="1"/>
  <c r="O151" i="3" a="1"/>
  <c r="O151" i="3" s="1"/>
  <c r="J148" i="4" s="1"/>
  <c r="N151" i="3" a="1"/>
  <c r="N151" i="3" s="1"/>
  <c r="I148" i="4" s="1"/>
  <c r="M151" i="3" a="1"/>
  <c r="M151" i="3" s="1"/>
  <c r="H148" i="4" s="1"/>
  <c r="L151" i="3" a="1"/>
  <c r="L151" i="3" s="1"/>
  <c r="G148" i="4" s="1"/>
  <c r="K151" i="3" a="1"/>
  <c r="K151" i="3" s="1"/>
  <c r="F148" i="4" s="1"/>
  <c r="J151" i="3" a="1"/>
  <c r="J151" i="3" s="1"/>
  <c r="E148" i="4" s="1"/>
  <c r="AD150" i="3" a="1"/>
  <c r="AD150" i="3" s="1"/>
  <c r="Y147" i="4" s="1"/>
  <c r="AC150" i="3" a="1"/>
  <c r="AC150" i="3" s="1"/>
  <c r="X147" i="4" s="1"/>
  <c r="AB150" i="3" a="1"/>
  <c r="AB150" i="3" s="1"/>
  <c r="W147" i="4" s="1"/>
  <c r="AA150" i="3" a="1"/>
  <c r="AA150" i="3" s="1"/>
  <c r="V147" i="4" s="1"/>
  <c r="Z150" i="3" a="1"/>
  <c r="Z150" i="3" s="1"/>
  <c r="U147" i="4" s="1"/>
  <c r="Y150" i="3" a="1"/>
  <c r="Y150" i="3" s="1"/>
  <c r="T147" i="4" s="1"/>
  <c r="X150" i="3" a="1"/>
  <c r="X150" i="3" s="1"/>
  <c r="S147" i="4" s="1"/>
  <c r="W150" i="3" a="1"/>
  <c r="W150" i="3" s="1"/>
  <c r="R147" i="4" s="1"/>
  <c r="V150" i="3" a="1"/>
  <c r="V150" i="3" s="1"/>
  <c r="Q147" i="4" s="1"/>
  <c r="U150" i="3" a="1"/>
  <c r="U150" i="3" s="1"/>
  <c r="P147" i="4" s="1"/>
  <c r="T150" i="3" a="1"/>
  <c r="T150" i="3" s="1"/>
  <c r="O147" i="4" s="1"/>
  <c r="S150" i="3" a="1"/>
  <c r="S150" i="3" s="1"/>
  <c r="N147" i="4" s="1"/>
  <c r="R150" i="3" a="1"/>
  <c r="R150" i="3" s="1"/>
  <c r="M147" i="4" s="1"/>
  <c r="Q150" i="3" a="1"/>
  <c r="Q150" i="3" s="1"/>
  <c r="L147" i="4" s="1"/>
  <c r="P150" i="3" a="1"/>
  <c r="P150" i="3" s="1"/>
  <c r="K147" i="4" s="1"/>
  <c r="O150" i="3" a="1"/>
  <c r="O150" i="3" s="1"/>
  <c r="J147" i="4" s="1"/>
  <c r="N150" i="3" a="1"/>
  <c r="N150" i="3" s="1"/>
  <c r="I147" i="4" s="1"/>
  <c r="M150" i="3" a="1"/>
  <c r="M150" i="3" s="1"/>
  <c r="H147" i="4" s="1"/>
  <c r="L150" i="3" a="1"/>
  <c r="L150" i="3" s="1"/>
  <c r="G147" i="4" s="1"/>
  <c r="K150" i="3" a="1"/>
  <c r="K150" i="3" s="1"/>
  <c r="F147" i="4" s="1"/>
  <c r="J150" i="3" a="1"/>
  <c r="J150" i="3" s="1"/>
  <c r="E147" i="4" s="1"/>
  <c r="AD149" i="3" a="1"/>
  <c r="AD149" i="3" s="1"/>
  <c r="Y146" i="4" s="1"/>
  <c r="AC149" i="3" a="1"/>
  <c r="AC149" i="3" s="1"/>
  <c r="X146" i="4" s="1"/>
  <c r="AB149" i="3" a="1"/>
  <c r="AB149" i="3" s="1"/>
  <c r="W146" i="4" s="1"/>
  <c r="AA149" i="3" a="1"/>
  <c r="AA149" i="3" s="1"/>
  <c r="V146" i="4" s="1"/>
  <c r="Z149" i="3" a="1"/>
  <c r="Z149" i="3" s="1"/>
  <c r="U146" i="4" s="1"/>
  <c r="Y149" i="3" a="1"/>
  <c r="Y149" i="3" s="1"/>
  <c r="T146" i="4" s="1"/>
  <c r="X149" i="3" a="1"/>
  <c r="X149" i="3" s="1"/>
  <c r="S146" i="4" s="1"/>
  <c r="W149" i="3" a="1"/>
  <c r="W149" i="3" s="1"/>
  <c r="R146" i="4" s="1"/>
  <c r="V149" i="3" a="1"/>
  <c r="V149" i="3" s="1"/>
  <c r="Q146" i="4" s="1"/>
  <c r="U149" i="3" a="1"/>
  <c r="U149" i="3" s="1"/>
  <c r="P146" i="4" s="1"/>
  <c r="T149" i="3" a="1"/>
  <c r="T149" i="3" s="1"/>
  <c r="O146" i="4" s="1"/>
  <c r="S149" i="3" a="1"/>
  <c r="S149" i="3" s="1"/>
  <c r="N146" i="4" s="1"/>
  <c r="R149" i="3" a="1"/>
  <c r="R149" i="3" s="1"/>
  <c r="M146" i="4" s="1"/>
  <c r="Q149" i="3" a="1"/>
  <c r="Q149" i="3" s="1"/>
  <c r="L146" i="4" s="1"/>
  <c r="P149" i="3" a="1"/>
  <c r="P149" i="3" s="1"/>
  <c r="K146" i="4" s="1"/>
  <c r="O149" i="3" a="1"/>
  <c r="O149" i="3" s="1"/>
  <c r="J146" i="4" s="1"/>
  <c r="N149" i="3" a="1"/>
  <c r="N149" i="3" s="1"/>
  <c r="I146" i="4" s="1"/>
  <c r="M149" i="3" a="1"/>
  <c r="M149" i="3" s="1"/>
  <c r="H146" i="4" s="1"/>
  <c r="L149" i="3" a="1"/>
  <c r="L149" i="3" s="1"/>
  <c r="G146" i="4" s="1"/>
  <c r="K149" i="3" a="1"/>
  <c r="K149" i="3" s="1"/>
  <c r="F146" i="4" s="1"/>
  <c r="J149" i="3" a="1"/>
  <c r="J149" i="3" s="1"/>
  <c r="E146" i="4" s="1"/>
  <c r="AD148" i="3" a="1"/>
  <c r="AD148" i="3" s="1"/>
  <c r="Y145" i="4" s="1"/>
  <c r="AC148" i="3" a="1"/>
  <c r="AC148" i="3" s="1"/>
  <c r="X145" i="4" s="1"/>
  <c r="AB148" i="3" a="1"/>
  <c r="AB148" i="3" s="1"/>
  <c r="W145" i="4" s="1"/>
  <c r="AA148" i="3" a="1"/>
  <c r="AA148" i="3" s="1"/>
  <c r="V145" i="4" s="1"/>
  <c r="Z148" i="3" a="1"/>
  <c r="Z148" i="3" s="1"/>
  <c r="U145" i="4" s="1"/>
  <c r="Y148" i="3" a="1"/>
  <c r="Y148" i="3" s="1"/>
  <c r="T145" i="4" s="1"/>
  <c r="X148" i="3" a="1"/>
  <c r="X148" i="3" s="1"/>
  <c r="S145" i="4" s="1"/>
  <c r="W148" i="3" a="1"/>
  <c r="W148" i="3" s="1"/>
  <c r="R145" i="4" s="1"/>
  <c r="V148" i="3" a="1"/>
  <c r="V148" i="3" s="1"/>
  <c r="Q145" i="4" s="1"/>
  <c r="U148" i="3" a="1"/>
  <c r="U148" i="3" s="1"/>
  <c r="P145" i="4" s="1"/>
  <c r="T148" i="3" a="1"/>
  <c r="T148" i="3" s="1"/>
  <c r="O145" i="4" s="1"/>
  <c r="S148" i="3" a="1"/>
  <c r="S148" i="3" s="1"/>
  <c r="N145" i="4" s="1"/>
  <c r="R148" i="3" a="1"/>
  <c r="R148" i="3" s="1"/>
  <c r="M145" i="4" s="1"/>
  <c r="Q148" i="3" a="1"/>
  <c r="Q148" i="3" s="1"/>
  <c r="L145" i="4" s="1"/>
  <c r="P148" i="3" a="1"/>
  <c r="P148" i="3" s="1"/>
  <c r="K145" i="4" s="1"/>
  <c r="O148" i="3" a="1"/>
  <c r="O148" i="3" s="1"/>
  <c r="J145" i="4" s="1"/>
  <c r="N148" i="3" a="1"/>
  <c r="N148" i="3" s="1"/>
  <c r="I145" i="4" s="1"/>
  <c r="M148" i="3" a="1"/>
  <c r="M148" i="3" s="1"/>
  <c r="H145" i="4" s="1"/>
  <c r="L148" i="3" a="1"/>
  <c r="L148" i="3" s="1"/>
  <c r="G145" i="4" s="1"/>
  <c r="K148" i="3" a="1"/>
  <c r="K148" i="3" s="1"/>
  <c r="F145" i="4" s="1"/>
  <c r="J148" i="3" a="1"/>
  <c r="J148" i="3" s="1"/>
  <c r="E145" i="4" s="1"/>
  <c r="AD147" i="3" a="1"/>
  <c r="AD147" i="3" s="1"/>
  <c r="Y144" i="4" s="1"/>
  <c r="AC147" i="3" a="1"/>
  <c r="AC147" i="3" s="1"/>
  <c r="X144" i="4" s="1"/>
  <c r="AB147" i="3" a="1"/>
  <c r="AB147" i="3" s="1"/>
  <c r="W144" i="4" s="1"/>
  <c r="AA147" i="3" a="1"/>
  <c r="AA147" i="3" s="1"/>
  <c r="V144" i="4" s="1"/>
  <c r="Z147" i="3" a="1"/>
  <c r="Z147" i="3" s="1"/>
  <c r="U144" i="4" s="1"/>
  <c r="Y147" i="3" a="1"/>
  <c r="Y147" i="3" s="1"/>
  <c r="T144" i="4" s="1"/>
  <c r="X147" i="3" a="1"/>
  <c r="X147" i="3" s="1"/>
  <c r="S144" i="4" s="1"/>
  <c r="W147" i="3" a="1"/>
  <c r="W147" i="3" s="1"/>
  <c r="R144" i="4" s="1"/>
  <c r="V147" i="3" a="1"/>
  <c r="V147" i="3" s="1"/>
  <c r="Q144" i="4" s="1"/>
  <c r="U147" i="3" a="1"/>
  <c r="U147" i="3" s="1"/>
  <c r="P144" i="4" s="1"/>
  <c r="T147" i="3" a="1"/>
  <c r="T147" i="3" s="1"/>
  <c r="O144" i="4" s="1"/>
  <c r="S147" i="3" a="1"/>
  <c r="S147" i="3" s="1"/>
  <c r="N144" i="4" s="1"/>
  <c r="R147" i="3" a="1"/>
  <c r="R147" i="3" s="1"/>
  <c r="M144" i="4" s="1"/>
  <c r="Q147" i="3" a="1"/>
  <c r="Q147" i="3" s="1"/>
  <c r="L144" i="4" s="1"/>
  <c r="P147" i="3" a="1"/>
  <c r="P147" i="3" s="1"/>
  <c r="K144" i="4" s="1"/>
  <c r="O147" i="3" a="1"/>
  <c r="O147" i="3" s="1"/>
  <c r="J144" i="4" s="1"/>
  <c r="N147" i="3" a="1"/>
  <c r="N147" i="3" s="1"/>
  <c r="I144" i="4" s="1"/>
  <c r="M147" i="3" a="1"/>
  <c r="M147" i="3" s="1"/>
  <c r="H144" i="4" s="1"/>
  <c r="L147" i="3" a="1"/>
  <c r="L147" i="3" s="1"/>
  <c r="G144" i="4" s="1"/>
  <c r="K147" i="3" a="1"/>
  <c r="K147" i="3" s="1"/>
  <c r="F144" i="4" s="1"/>
  <c r="J147" i="3" a="1"/>
  <c r="J147" i="3" s="1"/>
  <c r="E144" i="4" s="1"/>
  <c r="AD146" i="3" a="1"/>
  <c r="AD146" i="3" s="1"/>
  <c r="Y143" i="4" s="1"/>
  <c r="AC146" i="3" a="1"/>
  <c r="AC146" i="3" s="1"/>
  <c r="X143" i="4" s="1"/>
  <c r="AB146" i="3" a="1"/>
  <c r="AB146" i="3" s="1"/>
  <c r="W143" i="4" s="1"/>
  <c r="AA146" i="3" a="1"/>
  <c r="AA146" i="3" s="1"/>
  <c r="V143" i="4" s="1"/>
  <c r="Z146" i="3" a="1"/>
  <c r="Z146" i="3" s="1"/>
  <c r="U143" i="4" s="1"/>
  <c r="Y146" i="3" a="1"/>
  <c r="Y146" i="3" s="1"/>
  <c r="T143" i="4" s="1"/>
  <c r="X146" i="3" a="1"/>
  <c r="X146" i="3" s="1"/>
  <c r="S143" i="4" s="1"/>
  <c r="W146" i="3" a="1"/>
  <c r="W146" i="3" s="1"/>
  <c r="R143" i="4" s="1"/>
  <c r="V146" i="3" a="1"/>
  <c r="V146" i="3" s="1"/>
  <c r="Q143" i="4" s="1"/>
  <c r="U146" i="3" a="1"/>
  <c r="U146" i="3" s="1"/>
  <c r="P143" i="4" s="1"/>
  <c r="T146" i="3" a="1"/>
  <c r="T146" i="3" s="1"/>
  <c r="O143" i="4" s="1"/>
  <c r="S146" i="3" a="1"/>
  <c r="S146" i="3" s="1"/>
  <c r="N143" i="4" s="1"/>
  <c r="R146" i="3" a="1"/>
  <c r="R146" i="3" s="1"/>
  <c r="M143" i="4" s="1"/>
  <c r="Q146" i="3" a="1"/>
  <c r="Q146" i="3" s="1"/>
  <c r="L143" i="4" s="1"/>
  <c r="P146" i="3" a="1"/>
  <c r="P146" i="3" s="1"/>
  <c r="K143" i="4" s="1"/>
  <c r="O146" i="3" a="1"/>
  <c r="O146" i="3" s="1"/>
  <c r="J143" i="4" s="1"/>
  <c r="N146" i="3" a="1"/>
  <c r="N146" i="3" s="1"/>
  <c r="I143" i="4" s="1"/>
  <c r="M146" i="3" a="1"/>
  <c r="M146" i="3" s="1"/>
  <c r="H143" i="4" s="1"/>
  <c r="L146" i="3" a="1"/>
  <c r="L146" i="3" s="1"/>
  <c r="G143" i="4" s="1"/>
  <c r="K146" i="3" a="1"/>
  <c r="K146" i="3" s="1"/>
  <c r="F143" i="4" s="1"/>
  <c r="J146" i="3" a="1"/>
  <c r="J146" i="3" s="1"/>
  <c r="E143" i="4" s="1"/>
  <c r="AD145" i="3" a="1"/>
  <c r="AD145" i="3" s="1"/>
  <c r="Y142" i="4" s="1"/>
  <c r="AC145" i="3" a="1"/>
  <c r="AC145" i="3" s="1"/>
  <c r="X142" i="4" s="1"/>
  <c r="AB145" i="3" a="1"/>
  <c r="AB145" i="3" s="1"/>
  <c r="W142" i="4" s="1"/>
  <c r="AA145" i="3" a="1"/>
  <c r="AA145" i="3" s="1"/>
  <c r="V142" i="4" s="1"/>
  <c r="Z145" i="3" a="1"/>
  <c r="Z145" i="3" s="1"/>
  <c r="U142" i="4" s="1"/>
  <c r="Y145" i="3" a="1"/>
  <c r="Y145" i="3" s="1"/>
  <c r="T142" i="4" s="1"/>
  <c r="X145" i="3" a="1"/>
  <c r="X145" i="3" s="1"/>
  <c r="S142" i="4" s="1"/>
  <c r="W145" i="3" a="1"/>
  <c r="W145" i="3" s="1"/>
  <c r="R142" i="4" s="1"/>
  <c r="V145" i="3" a="1"/>
  <c r="V145" i="3" s="1"/>
  <c r="Q142" i="4" s="1"/>
  <c r="U145" i="3" a="1"/>
  <c r="U145" i="3" s="1"/>
  <c r="P142" i="4" s="1"/>
  <c r="T145" i="3" a="1"/>
  <c r="T145" i="3" s="1"/>
  <c r="O142" i="4" s="1"/>
  <c r="S145" i="3" a="1"/>
  <c r="S145" i="3" s="1"/>
  <c r="N142" i="4" s="1"/>
  <c r="R145" i="3" a="1"/>
  <c r="R145" i="3" s="1"/>
  <c r="M142" i="4" s="1"/>
  <c r="Q145" i="3" a="1"/>
  <c r="Q145" i="3" s="1"/>
  <c r="L142" i="4" s="1"/>
  <c r="P145" i="3" a="1"/>
  <c r="P145" i="3" s="1"/>
  <c r="K142" i="4" s="1"/>
  <c r="O145" i="3" a="1"/>
  <c r="O145" i="3" s="1"/>
  <c r="J142" i="4" s="1"/>
  <c r="N145" i="3" a="1"/>
  <c r="N145" i="3" s="1"/>
  <c r="I142" i="4" s="1"/>
  <c r="M145" i="3" a="1"/>
  <c r="M145" i="3" s="1"/>
  <c r="H142" i="4" s="1"/>
  <c r="L145" i="3" a="1"/>
  <c r="L145" i="3" s="1"/>
  <c r="G142" i="4" s="1"/>
  <c r="K145" i="3" a="1"/>
  <c r="K145" i="3" s="1"/>
  <c r="F142" i="4" s="1"/>
  <c r="J145" i="3" a="1"/>
  <c r="J145" i="3" s="1"/>
  <c r="E142" i="4" s="1"/>
  <c r="AD144" i="3" a="1"/>
  <c r="AD144" i="3" s="1"/>
  <c r="Y141" i="4" s="1"/>
  <c r="AC144" i="3" a="1"/>
  <c r="AC144" i="3" s="1"/>
  <c r="X141" i="4" s="1"/>
  <c r="AB144" i="3" a="1"/>
  <c r="AB144" i="3" s="1"/>
  <c r="W141" i="4" s="1"/>
  <c r="AA144" i="3" a="1"/>
  <c r="AA144" i="3" s="1"/>
  <c r="V141" i="4" s="1"/>
  <c r="Z144" i="3" a="1"/>
  <c r="Z144" i="3" s="1"/>
  <c r="U141" i="4" s="1"/>
  <c r="Y144" i="3" a="1"/>
  <c r="Y144" i="3" s="1"/>
  <c r="T141" i="4" s="1"/>
  <c r="X144" i="3" a="1"/>
  <c r="X144" i="3" s="1"/>
  <c r="S141" i="4" s="1"/>
  <c r="W144" i="3" a="1"/>
  <c r="W144" i="3" s="1"/>
  <c r="R141" i="4" s="1"/>
  <c r="V144" i="3" a="1"/>
  <c r="V144" i="3" s="1"/>
  <c r="Q141" i="4" s="1"/>
  <c r="U144" i="3" a="1"/>
  <c r="U144" i="3" s="1"/>
  <c r="P141" i="4" s="1"/>
  <c r="T144" i="3" a="1"/>
  <c r="T144" i="3" s="1"/>
  <c r="O141" i="4" s="1"/>
  <c r="S144" i="3" a="1"/>
  <c r="S144" i="3" s="1"/>
  <c r="N141" i="4" s="1"/>
  <c r="R144" i="3" a="1"/>
  <c r="R144" i="3" s="1"/>
  <c r="M141" i="4" s="1"/>
  <c r="Q144" i="3" a="1"/>
  <c r="Q144" i="3" s="1"/>
  <c r="L141" i="4" s="1"/>
  <c r="P144" i="3" a="1"/>
  <c r="P144" i="3" s="1"/>
  <c r="K141" i="4" s="1"/>
  <c r="O144" i="3" a="1"/>
  <c r="O144" i="3" s="1"/>
  <c r="J141" i="4" s="1"/>
  <c r="N144" i="3" a="1"/>
  <c r="N144" i="3" s="1"/>
  <c r="I141" i="4" s="1"/>
  <c r="M144" i="3" a="1"/>
  <c r="M144" i="3" s="1"/>
  <c r="H141" i="4" s="1"/>
  <c r="L144" i="3" a="1"/>
  <c r="L144" i="3" s="1"/>
  <c r="G141" i="4" s="1"/>
  <c r="K144" i="3" a="1"/>
  <c r="K144" i="3" s="1"/>
  <c r="F141" i="4" s="1"/>
  <c r="J144" i="3" a="1"/>
  <c r="J144" i="3" s="1"/>
  <c r="E141" i="4" s="1"/>
  <c r="AD143" i="3" a="1"/>
  <c r="AD143" i="3" s="1"/>
  <c r="Y140" i="4" s="1"/>
  <c r="AC143" i="3" a="1"/>
  <c r="AC143" i="3" s="1"/>
  <c r="X140" i="4" s="1"/>
  <c r="AB143" i="3" a="1"/>
  <c r="AB143" i="3" s="1"/>
  <c r="W140" i="4" s="1"/>
  <c r="AA143" i="3" a="1"/>
  <c r="AA143" i="3" s="1"/>
  <c r="V140" i="4" s="1"/>
  <c r="Z143" i="3" a="1"/>
  <c r="Z143" i="3" s="1"/>
  <c r="U140" i="4" s="1"/>
  <c r="Y143" i="3" a="1"/>
  <c r="Y143" i="3" s="1"/>
  <c r="T140" i="4" s="1"/>
  <c r="X143" i="3" a="1"/>
  <c r="X143" i="3" s="1"/>
  <c r="S140" i="4" s="1"/>
  <c r="W143" i="3" a="1"/>
  <c r="W143" i="3" s="1"/>
  <c r="R140" i="4" s="1"/>
  <c r="V143" i="3" a="1"/>
  <c r="V143" i="3" s="1"/>
  <c r="Q140" i="4" s="1"/>
  <c r="U143" i="3" a="1"/>
  <c r="U143" i="3" s="1"/>
  <c r="P140" i="4" s="1"/>
  <c r="T143" i="3" a="1"/>
  <c r="T143" i="3" s="1"/>
  <c r="O140" i="4" s="1"/>
  <c r="S143" i="3" a="1"/>
  <c r="S143" i="3" s="1"/>
  <c r="N140" i="4" s="1"/>
  <c r="R143" i="3" a="1"/>
  <c r="R143" i="3" s="1"/>
  <c r="M140" i="4" s="1"/>
  <c r="Q143" i="3" a="1"/>
  <c r="Q143" i="3" s="1"/>
  <c r="L140" i="4" s="1"/>
  <c r="P143" i="3" a="1"/>
  <c r="P143" i="3" s="1"/>
  <c r="K140" i="4" s="1"/>
  <c r="O143" i="3" a="1"/>
  <c r="O143" i="3" s="1"/>
  <c r="J140" i="4" s="1"/>
  <c r="N143" i="3" a="1"/>
  <c r="N143" i="3" s="1"/>
  <c r="I140" i="4" s="1"/>
  <c r="M143" i="3" a="1"/>
  <c r="M143" i="3" s="1"/>
  <c r="H140" i="4" s="1"/>
  <c r="L143" i="3" a="1"/>
  <c r="L143" i="3" s="1"/>
  <c r="G140" i="4" s="1"/>
  <c r="K143" i="3" a="1"/>
  <c r="K143" i="3" s="1"/>
  <c r="F140" i="4" s="1"/>
  <c r="J143" i="3" a="1"/>
  <c r="J143" i="3" s="1"/>
  <c r="E140" i="4" s="1"/>
  <c r="AD142" i="3" a="1"/>
  <c r="AD142" i="3" s="1"/>
  <c r="Y139" i="4" s="1"/>
  <c r="AC142" i="3" a="1"/>
  <c r="AC142" i="3" s="1"/>
  <c r="X139" i="4" s="1"/>
  <c r="AB142" i="3" a="1"/>
  <c r="AB142" i="3" s="1"/>
  <c r="W139" i="4" s="1"/>
  <c r="AA142" i="3" a="1"/>
  <c r="AA142" i="3" s="1"/>
  <c r="V139" i="4" s="1"/>
  <c r="Z142" i="3" a="1"/>
  <c r="Z142" i="3" s="1"/>
  <c r="U139" i="4" s="1"/>
  <c r="Y142" i="3" a="1"/>
  <c r="Y142" i="3" s="1"/>
  <c r="T139" i="4" s="1"/>
  <c r="X142" i="3" a="1"/>
  <c r="X142" i="3" s="1"/>
  <c r="S139" i="4" s="1"/>
  <c r="W142" i="3" a="1"/>
  <c r="W142" i="3" s="1"/>
  <c r="R139" i="4" s="1"/>
  <c r="V142" i="3" a="1"/>
  <c r="V142" i="3" s="1"/>
  <c r="Q139" i="4" s="1"/>
  <c r="U142" i="3" a="1"/>
  <c r="U142" i="3" s="1"/>
  <c r="P139" i="4" s="1"/>
  <c r="T142" i="3" a="1"/>
  <c r="T142" i="3" s="1"/>
  <c r="O139" i="4" s="1"/>
  <c r="S142" i="3" a="1"/>
  <c r="S142" i="3" s="1"/>
  <c r="N139" i="4" s="1"/>
  <c r="R142" i="3" a="1"/>
  <c r="R142" i="3" s="1"/>
  <c r="M139" i="4" s="1"/>
  <c r="Q142" i="3" a="1"/>
  <c r="Q142" i="3" s="1"/>
  <c r="L139" i="4" s="1"/>
  <c r="P142" i="3" a="1"/>
  <c r="P142" i="3" s="1"/>
  <c r="K139" i="4" s="1"/>
  <c r="O142" i="3" a="1"/>
  <c r="O142" i="3" s="1"/>
  <c r="J139" i="4" s="1"/>
  <c r="N142" i="3" a="1"/>
  <c r="N142" i="3" s="1"/>
  <c r="I139" i="4" s="1"/>
  <c r="M142" i="3" a="1"/>
  <c r="M142" i="3" s="1"/>
  <c r="H139" i="4" s="1"/>
  <c r="L142" i="3" a="1"/>
  <c r="L142" i="3" s="1"/>
  <c r="G139" i="4" s="1"/>
  <c r="K142" i="3" a="1"/>
  <c r="K142" i="3" s="1"/>
  <c r="F139" i="4" s="1"/>
  <c r="J142" i="3" a="1"/>
  <c r="J142" i="3" s="1"/>
  <c r="E139" i="4" s="1"/>
  <c r="AD141" i="3" a="1"/>
  <c r="AD141" i="3" s="1"/>
  <c r="Y138" i="4" s="1"/>
  <c r="AC141" i="3" a="1"/>
  <c r="AC141" i="3" s="1"/>
  <c r="X138" i="4" s="1"/>
  <c r="AB141" i="3" a="1"/>
  <c r="AB141" i="3" s="1"/>
  <c r="W138" i="4" s="1"/>
  <c r="AA141" i="3" a="1"/>
  <c r="AA141" i="3" s="1"/>
  <c r="V138" i="4" s="1"/>
  <c r="Z141" i="3" a="1"/>
  <c r="Z141" i="3" s="1"/>
  <c r="U138" i="4" s="1"/>
  <c r="Y141" i="3" a="1"/>
  <c r="Y141" i="3" s="1"/>
  <c r="T138" i="4" s="1"/>
  <c r="X141" i="3" a="1"/>
  <c r="X141" i="3" s="1"/>
  <c r="S138" i="4" s="1"/>
  <c r="W141" i="3" a="1"/>
  <c r="W141" i="3" s="1"/>
  <c r="R138" i="4" s="1"/>
  <c r="V141" i="3" a="1"/>
  <c r="V141" i="3" s="1"/>
  <c r="Q138" i="4" s="1"/>
  <c r="U141" i="3" a="1"/>
  <c r="U141" i="3" s="1"/>
  <c r="P138" i="4" s="1"/>
  <c r="T141" i="3" a="1"/>
  <c r="T141" i="3" s="1"/>
  <c r="O138" i="4" s="1"/>
  <c r="S141" i="3" a="1"/>
  <c r="S141" i="3" s="1"/>
  <c r="N138" i="4" s="1"/>
  <c r="R141" i="3" a="1"/>
  <c r="R141" i="3" s="1"/>
  <c r="M138" i="4" s="1"/>
  <c r="Q141" i="3" a="1"/>
  <c r="Q141" i="3" s="1"/>
  <c r="L138" i="4" s="1"/>
  <c r="P141" i="3" a="1"/>
  <c r="P141" i="3" s="1"/>
  <c r="K138" i="4" s="1"/>
  <c r="O141" i="3" a="1"/>
  <c r="O141" i="3" s="1"/>
  <c r="J138" i="4" s="1"/>
  <c r="N141" i="3" a="1"/>
  <c r="N141" i="3" s="1"/>
  <c r="I138" i="4" s="1"/>
  <c r="M141" i="3" a="1"/>
  <c r="M141" i="3" s="1"/>
  <c r="H138" i="4" s="1"/>
  <c r="L141" i="3" a="1"/>
  <c r="L141" i="3" s="1"/>
  <c r="G138" i="4" s="1"/>
  <c r="K141" i="3" a="1"/>
  <c r="K141" i="3" s="1"/>
  <c r="F138" i="4" s="1"/>
  <c r="J141" i="3" a="1"/>
  <c r="J141" i="3" s="1"/>
  <c r="E138" i="4" s="1"/>
  <c r="AD140" i="3" a="1"/>
  <c r="AD140" i="3" s="1"/>
  <c r="Y137" i="4" s="1"/>
  <c r="AC140" i="3" a="1"/>
  <c r="AC140" i="3" s="1"/>
  <c r="X137" i="4" s="1"/>
  <c r="AB140" i="3" a="1"/>
  <c r="AB140" i="3" s="1"/>
  <c r="W137" i="4" s="1"/>
  <c r="AA140" i="3" a="1"/>
  <c r="AA140" i="3" s="1"/>
  <c r="V137" i="4" s="1"/>
  <c r="Z140" i="3" a="1"/>
  <c r="Z140" i="3" s="1"/>
  <c r="U137" i="4" s="1"/>
  <c r="Y140" i="3" a="1"/>
  <c r="Y140" i="3" s="1"/>
  <c r="T137" i="4" s="1"/>
  <c r="X140" i="3" a="1"/>
  <c r="X140" i="3" s="1"/>
  <c r="S137" i="4" s="1"/>
  <c r="W140" i="3" a="1"/>
  <c r="W140" i="3" s="1"/>
  <c r="R137" i="4" s="1"/>
  <c r="V140" i="3" a="1"/>
  <c r="V140" i="3" s="1"/>
  <c r="Q137" i="4" s="1"/>
  <c r="U140" i="3" a="1"/>
  <c r="U140" i="3" s="1"/>
  <c r="P137" i="4" s="1"/>
  <c r="T140" i="3" a="1"/>
  <c r="T140" i="3" s="1"/>
  <c r="O137" i="4" s="1"/>
  <c r="S140" i="3" a="1"/>
  <c r="S140" i="3" s="1"/>
  <c r="N137" i="4" s="1"/>
  <c r="R140" i="3" a="1"/>
  <c r="R140" i="3" s="1"/>
  <c r="M137" i="4" s="1"/>
  <c r="Q140" i="3" a="1"/>
  <c r="Q140" i="3" s="1"/>
  <c r="L137" i="4" s="1"/>
  <c r="P140" i="3" a="1"/>
  <c r="P140" i="3" s="1"/>
  <c r="K137" i="4" s="1"/>
  <c r="O140" i="3" a="1"/>
  <c r="O140" i="3" s="1"/>
  <c r="J137" i="4" s="1"/>
  <c r="N140" i="3" a="1"/>
  <c r="N140" i="3" s="1"/>
  <c r="I137" i="4" s="1"/>
  <c r="M140" i="3" a="1"/>
  <c r="M140" i="3" s="1"/>
  <c r="H137" i="4" s="1"/>
  <c r="L140" i="3" a="1"/>
  <c r="L140" i="3" s="1"/>
  <c r="G137" i="4" s="1"/>
  <c r="K140" i="3" a="1"/>
  <c r="K140" i="3" s="1"/>
  <c r="F137" i="4" s="1"/>
  <c r="J140" i="3" a="1"/>
  <c r="J140" i="3" s="1"/>
  <c r="E137" i="4" s="1"/>
  <c r="AD139" i="3" a="1"/>
  <c r="AD139" i="3" s="1"/>
  <c r="Y136" i="4" s="1"/>
  <c r="AC139" i="3" a="1"/>
  <c r="AC139" i="3" s="1"/>
  <c r="X136" i="4" s="1"/>
  <c r="AB139" i="3" a="1"/>
  <c r="AB139" i="3" s="1"/>
  <c r="W136" i="4" s="1"/>
  <c r="AA139" i="3" a="1"/>
  <c r="AA139" i="3" s="1"/>
  <c r="V136" i="4" s="1"/>
  <c r="Z139" i="3" a="1"/>
  <c r="Z139" i="3" s="1"/>
  <c r="U136" i="4" s="1"/>
  <c r="Y139" i="3" a="1"/>
  <c r="Y139" i="3" s="1"/>
  <c r="T136" i="4" s="1"/>
  <c r="X139" i="3" a="1"/>
  <c r="X139" i="3" s="1"/>
  <c r="S136" i="4" s="1"/>
  <c r="W139" i="3" a="1"/>
  <c r="W139" i="3" s="1"/>
  <c r="R136" i="4" s="1"/>
  <c r="V139" i="3" a="1"/>
  <c r="V139" i="3" s="1"/>
  <c r="Q136" i="4" s="1"/>
  <c r="U139" i="3" a="1"/>
  <c r="U139" i="3" s="1"/>
  <c r="P136" i="4" s="1"/>
  <c r="T139" i="3" a="1"/>
  <c r="T139" i="3" s="1"/>
  <c r="O136" i="4" s="1"/>
  <c r="S139" i="3" a="1"/>
  <c r="S139" i="3" s="1"/>
  <c r="N136" i="4" s="1"/>
  <c r="R139" i="3" a="1"/>
  <c r="R139" i="3" s="1"/>
  <c r="M136" i="4" s="1"/>
  <c r="Q139" i="3" a="1"/>
  <c r="Q139" i="3" s="1"/>
  <c r="L136" i="4" s="1"/>
  <c r="P139" i="3" a="1"/>
  <c r="P139" i="3" s="1"/>
  <c r="K136" i="4" s="1"/>
  <c r="O139" i="3" a="1"/>
  <c r="O139" i="3" s="1"/>
  <c r="J136" i="4" s="1"/>
  <c r="N139" i="3" a="1"/>
  <c r="N139" i="3" s="1"/>
  <c r="I136" i="4" s="1"/>
  <c r="M139" i="3" a="1"/>
  <c r="M139" i="3" s="1"/>
  <c r="H136" i="4" s="1"/>
  <c r="L139" i="3" a="1"/>
  <c r="L139" i="3" s="1"/>
  <c r="G136" i="4" s="1"/>
  <c r="K139" i="3" a="1"/>
  <c r="K139" i="3" s="1"/>
  <c r="F136" i="4" s="1"/>
  <c r="J139" i="3" a="1"/>
  <c r="J139" i="3" s="1"/>
  <c r="E136" i="4" s="1"/>
  <c r="AD138" i="3" a="1"/>
  <c r="AD138" i="3" s="1"/>
  <c r="Y135" i="4" s="1"/>
  <c r="AC138" i="3" a="1"/>
  <c r="AC138" i="3" s="1"/>
  <c r="X135" i="4" s="1"/>
  <c r="AB138" i="3" a="1"/>
  <c r="AB138" i="3" s="1"/>
  <c r="W135" i="4" s="1"/>
  <c r="AA138" i="3" a="1"/>
  <c r="AA138" i="3" s="1"/>
  <c r="V135" i="4" s="1"/>
  <c r="Z138" i="3" a="1"/>
  <c r="Z138" i="3" s="1"/>
  <c r="U135" i="4" s="1"/>
  <c r="Y138" i="3" a="1"/>
  <c r="Y138" i="3" s="1"/>
  <c r="T135" i="4" s="1"/>
  <c r="X138" i="3" a="1"/>
  <c r="X138" i="3" s="1"/>
  <c r="S135" i="4" s="1"/>
  <c r="W138" i="3" a="1"/>
  <c r="W138" i="3" s="1"/>
  <c r="R135" i="4" s="1"/>
  <c r="V138" i="3" a="1"/>
  <c r="V138" i="3" s="1"/>
  <c r="Q135" i="4" s="1"/>
  <c r="U138" i="3" a="1"/>
  <c r="U138" i="3" s="1"/>
  <c r="P135" i="4" s="1"/>
  <c r="T138" i="3" a="1"/>
  <c r="T138" i="3" s="1"/>
  <c r="O135" i="4" s="1"/>
  <c r="S138" i="3" a="1"/>
  <c r="S138" i="3" s="1"/>
  <c r="N135" i="4" s="1"/>
  <c r="R138" i="3" a="1"/>
  <c r="R138" i="3" s="1"/>
  <c r="M135" i="4" s="1"/>
  <c r="Q138" i="3" a="1"/>
  <c r="Q138" i="3" s="1"/>
  <c r="L135" i="4" s="1"/>
  <c r="P138" i="3" a="1"/>
  <c r="P138" i="3" s="1"/>
  <c r="K135" i="4" s="1"/>
  <c r="O138" i="3" a="1"/>
  <c r="O138" i="3" s="1"/>
  <c r="J135" i="4" s="1"/>
  <c r="N138" i="3" a="1"/>
  <c r="N138" i="3" s="1"/>
  <c r="I135" i="4" s="1"/>
  <c r="M138" i="3" a="1"/>
  <c r="M138" i="3" s="1"/>
  <c r="H135" i="4" s="1"/>
  <c r="L138" i="3" a="1"/>
  <c r="L138" i="3" s="1"/>
  <c r="G135" i="4" s="1"/>
  <c r="K138" i="3" a="1"/>
  <c r="K138" i="3" s="1"/>
  <c r="F135" i="4" s="1"/>
  <c r="J138" i="3" a="1"/>
  <c r="J138" i="3" s="1"/>
  <c r="E135" i="4" s="1"/>
  <c r="AD137" i="3" a="1"/>
  <c r="AD137" i="3" s="1"/>
  <c r="Y134" i="4" s="1"/>
  <c r="AC137" i="3" a="1"/>
  <c r="AC137" i="3" s="1"/>
  <c r="X134" i="4" s="1"/>
  <c r="AB137" i="3" a="1"/>
  <c r="AB137" i="3" s="1"/>
  <c r="W134" i="4" s="1"/>
  <c r="AA137" i="3" a="1"/>
  <c r="AA137" i="3" s="1"/>
  <c r="V134" i="4" s="1"/>
  <c r="Z137" i="3" a="1"/>
  <c r="Z137" i="3" s="1"/>
  <c r="U134" i="4" s="1"/>
  <c r="Y137" i="3" a="1"/>
  <c r="Y137" i="3" s="1"/>
  <c r="T134" i="4" s="1"/>
  <c r="X137" i="3" a="1"/>
  <c r="X137" i="3" s="1"/>
  <c r="S134" i="4" s="1"/>
  <c r="W137" i="3" a="1"/>
  <c r="W137" i="3" s="1"/>
  <c r="R134" i="4" s="1"/>
  <c r="V137" i="3" a="1"/>
  <c r="V137" i="3" s="1"/>
  <c r="Q134" i="4" s="1"/>
  <c r="U137" i="3" a="1"/>
  <c r="U137" i="3" s="1"/>
  <c r="P134" i="4" s="1"/>
  <c r="T137" i="3" a="1"/>
  <c r="T137" i="3" s="1"/>
  <c r="O134" i="4" s="1"/>
  <c r="S137" i="3" a="1"/>
  <c r="S137" i="3" s="1"/>
  <c r="N134" i="4" s="1"/>
  <c r="R137" i="3" a="1"/>
  <c r="R137" i="3" s="1"/>
  <c r="M134" i="4" s="1"/>
  <c r="Q137" i="3" a="1"/>
  <c r="Q137" i="3" s="1"/>
  <c r="L134" i="4" s="1"/>
  <c r="P137" i="3" a="1"/>
  <c r="P137" i="3" s="1"/>
  <c r="K134" i="4" s="1"/>
  <c r="O137" i="3" a="1"/>
  <c r="O137" i="3" s="1"/>
  <c r="J134" i="4" s="1"/>
  <c r="N137" i="3" a="1"/>
  <c r="N137" i="3" s="1"/>
  <c r="I134" i="4" s="1"/>
  <c r="M137" i="3" a="1"/>
  <c r="M137" i="3" s="1"/>
  <c r="H134" i="4" s="1"/>
  <c r="L137" i="3" a="1"/>
  <c r="L137" i="3" s="1"/>
  <c r="G134" i="4" s="1"/>
  <c r="K137" i="3" a="1"/>
  <c r="K137" i="3" s="1"/>
  <c r="F134" i="4" s="1"/>
  <c r="J137" i="3" a="1"/>
  <c r="J137" i="3" s="1"/>
  <c r="E134" i="4" s="1"/>
  <c r="AD136" i="3" a="1"/>
  <c r="AD136" i="3" s="1"/>
  <c r="Y133" i="4" s="1"/>
  <c r="AC136" i="3" a="1"/>
  <c r="AC136" i="3" s="1"/>
  <c r="X133" i="4" s="1"/>
  <c r="AB136" i="3" a="1"/>
  <c r="AB136" i="3" s="1"/>
  <c r="W133" i="4" s="1"/>
  <c r="AA136" i="3" a="1"/>
  <c r="AA136" i="3" s="1"/>
  <c r="V133" i="4" s="1"/>
  <c r="Z136" i="3" a="1"/>
  <c r="Z136" i="3" s="1"/>
  <c r="U133" i="4" s="1"/>
  <c r="Y136" i="3" a="1"/>
  <c r="Y136" i="3" s="1"/>
  <c r="T133" i="4" s="1"/>
  <c r="X136" i="3" a="1"/>
  <c r="X136" i="3" s="1"/>
  <c r="S133" i="4" s="1"/>
  <c r="W136" i="3" a="1"/>
  <c r="W136" i="3" s="1"/>
  <c r="R133" i="4" s="1"/>
  <c r="V136" i="3" a="1"/>
  <c r="V136" i="3" s="1"/>
  <c r="Q133" i="4" s="1"/>
  <c r="U136" i="3" a="1"/>
  <c r="U136" i="3" s="1"/>
  <c r="P133" i="4" s="1"/>
  <c r="T136" i="3" a="1"/>
  <c r="T136" i="3" s="1"/>
  <c r="O133" i="4" s="1"/>
  <c r="S136" i="3" a="1"/>
  <c r="S136" i="3" s="1"/>
  <c r="N133" i="4" s="1"/>
  <c r="R136" i="3" a="1"/>
  <c r="R136" i="3" s="1"/>
  <c r="M133" i="4" s="1"/>
  <c r="Q136" i="3" a="1"/>
  <c r="Q136" i="3" s="1"/>
  <c r="L133" i="4" s="1"/>
  <c r="P136" i="3" a="1"/>
  <c r="P136" i="3" s="1"/>
  <c r="K133" i="4" s="1"/>
  <c r="O136" i="3" a="1"/>
  <c r="O136" i="3" s="1"/>
  <c r="J133" i="4" s="1"/>
  <c r="N136" i="3" a="1"/>
  <c r="N136" i="3" s="1"/>
  <c r="I133" i="4" s="1"/>
  <c r="M136" i="3" a="1"/>
  <c r="M136" i="3" s="1"/>
  <c r="H133" i="4" s="1"/>
  <c r="L136" i="3" a="1"/>
  <c r="L136" i="3" s="1"/>
  <c r="G133" i="4" s="1"/>
  <c r="K136" i="3" a="1"/>
  <c r="K136" i="3" s="1"/>
  <c r="F133" i="4" s="1"/>
  <c r="J136" i="3" a="1"/>
  <c r="J136" i="3" s="1"/>
  <c r="E133" i="4" s="1"/>
  <c r="AD135" i="3" a="1"/>
  <c r="AD135" i="3" s="1"/>
  <c r="Y132" i="4" s="1"/>
  <c r="AC135" i="3" a="1"/>
  <c r="AC135" i="3" s="1"/>
  <c r="X132" i="4" s="1"/>
  <c r="AB135" i="3" a="1"/>
  <c r="AB135" i="3" s="1"/>
  <c r="W132" i="4" s="1"/>
  <c r="AA135" i="3" a="1"/>
  <c r="AA135" i="3" s="1"/>
  <c r="V132" i="4" s="1"/>
  <c r="Z135" i="3" a="1"/>
  <c r="Z135" i="3" s="1"/>
  <c r="U132" i="4" s="1"/>
  <c r="Y135" i="3" a="1"/>
  <c r="Y135" i="3" s="1"/>
  <c r="T132" i="4" s="1"/>
  <c r="X135" i="3" a="1"/>
  <c r="X135" i="3" s="1"/>
  <c r="S132" i="4" s="1"/>
  <c r="W135" i="3" a="1"/>
  <c r="W135" i="3" s="1"/>
  <c r="R132" i="4" s="1"/>
  <c r="V135" i="3" a="1"/>
  <c r="V135" i="3" s="1"/>
  <c r="Q132" i="4" s="1"/>
  <c r="U135" i="3" a="1"/>
  <c r="U135" i="3" s="1"/>
  <c r="P132" i="4" s="1"/>
  <c r="T135" i="3" a="1"/>
  <c r="T135" i="3" s="1"/>
  <c r="O132" i="4" s="1"/>
  <c r="S135" i="3" a="1"/>
  <c r="S135" i="3" s="1"/>
  <c r="N132" i="4" s="1"/>
  <c r="R135" i="3" a="1"/>
  <c r="R135" i="3" s="1"/>
  <c r="M132" i="4" s="1"/>
  <c r="Q135" i="3" a="1"/>
  <c r="Q135" i="3" s="1"/>
  <c r="L132" i="4" s="1"/>
  <c r="P135" i="3" a="1"/>
  <c r="P135" i="3" s="1"/>
  <c r="K132" i="4" s="1"/>
  <c r="O135" i="3" a="1"/>
  <c r="O135" i="3" s="1"/>
  <c r="J132" i="4" s="1"/>
  <c r="N135" i="3" a="1"/>
  <c r="N135" i="3" s="1"/>
  <c r="I132" i="4" s="1"/>
  <c r="M135" i="3" a="1"/>
  <c r="M135" i="3" s="1"/>
  <c r="H132" i="4" s="1"/>
  <c r="L135" i="3" a="1"/>
  <c r="L135" i="3" s="1"/>
  <c r="G132" i="4" s="1"/>
  <c r="K135" i="3" a="1"/>
  <c r="K135" i="3" s="1"/>
  <c r="F132" i="4" s="1"/>
  <c r="J135" i="3" a="1"/>
  <c r="J135" i="3" s="1"/>
  <c r="E132" i="4" s="1"/>
  <c r="AD134" i="3" a="1"/>
  <c r="AD134" i="3" s="1"/>
  <c r="Y131" i="4" s="1"/>
  <c r="AC134" i="3" a="1"/>
  <c r="AC134" i="3" s="1"/>
  <c r="X131" i="4" s="1"/>
  <c r="AB134" i="3" a="1"/>
  <c r="AB134" i="3" s="1"/>
  <c r="W131" i="4" s="1"/>
  <c r="AA134" i="3" a="1"/>
  <c r="AA134" i="3" s="1"/>
  <c r="V131" i="4" s="1"/>
  <c r="Z134" i="3" a="1"/>
  <c r="Z134" i="3" s="1"/>
  <c r="U131" i="4" s="1"/>
  <c r="Y134" i="3" a="1"/>
  <c r="Y134" i="3" s="1"/>
  <c r="T131" i="4" s="1"/>
  <c r="X134" i="3" a="1"/>
  <c r="X134" i="3" s="1"/>
  <c r="S131" i="4" s="1"/>
  <c r="W134" i="3" a="1"/>
  <c r="W134" i="3" s="1"/>
  <c r="R131" i="4" s="1"/>
  <c r="V134" i="3" a="1"/>
  <c r="V134" i="3" s="1"/>
  <c r="Q131" i="4" s="1"/>
  <c r="U134" i="3" a="1"/>
  <c r="U134" i="3" s="1"/>
  <c r="P131" i="4" s="1"/>
  <c r="T134" i="3" a="1"/>
  <c r="T134" i="3" s="1"/>
  <c r="O131" i="4" s="1"/>
  <c r="S134" i="3" a="1"/>
  <c r="S134" i="3" s="1"/>
  <c r="N131" i="4" s="1"/>
  <c r="R134" i="3" a="1"/>
  <c r="R134" i="3" s="1"/>
  <c r="M131" i="4" s="1"/>
  <c r="Q134" i="3" a="1"/>
  <c r="Q134" i="3" s="1"/>
  <c r="L131" i="4" s="1"/>
  <c r="P134" i="3" a="1"/>
  <c r="P134" i="3" s="1"/>
  <c r="K131" i="4" s="1"/>
  <c r="O134" i="3" a="1"/>
  <c r="O134" i="3" s="1"/>
  <c r="J131" i="4" s="1"/>
  <c r="N134" i="3" a="1"/>
  <c r="N134" i="3" s="1"/>
  <c r="I131" i="4" s="1"/>
  <c r="M134" i="3" a="1"/>
  <c r="M134" i="3" s="1"/>
  <c r="H131" i="4" s="1"/>
  <c r="L134" i="3" a="1"/>
  <c r="L134" i="3" s="1"/>
  <c r="G131" i="4" s="1"/>
  <c r="K134" i="3" a="1"/>
  <c r="K134" i="3" s="1"/>
  <c r="F131" i="4" s="1"/>
  <c r="J134" i="3" a="1"/>
  <c r="J134" i="3" s="1"/>
  <c r="E131" i="4" s="1"/>
  <c r="AD133" i="3" a="1"/>
  <c r="AD133" i="3" s="1"/>
  <c r="Y130" i="4" s="1"/>
  <c r="AC133" i="3" a="1"/>
  <c r="AC133" i="3" s="1"/>
  <c r="X130" i="4" s="1"/>
  <c r="AB133" i="3" a="1"/>
  <c r="AB133" i="3" s="1"/>
  <c r="W130" i="4" s="1"/>
  <c r="AA133" i="3" a="1"/>
  <c r="AA133" i="3" s="1"/>
  <c r="V130" i="4" s="1"/>
  <c r="Z133" i="3" a="1"/>
  <c r="Z133" i="3" s="1"/>
  <c r="U130" i="4" s="1"/>
  <c r="Y133" i="3" a="1"/>
  <c r="Y133" i="3" s="1"/>
  <c r="T130" i="4" s="1"/>
  <c r="X133" i="3" a="1"/>
  <c r="X133" i="3" s="1"/>
  <c r="S130" i="4" s="1"/>
  <c r="W133" i="3" a="1"/>
  <c r="W133" i="3" s="1"/>
  <c r="R130" i="4" s="1"/>
  <c r="V133" i="3" a="1"/>
  <c r="V133" i="3" s="1"/>
  <c r="Q130" i="4" s="1"/>
  <c r="U133" i="3" a="1"/>
  <c r="U133" i="3" s="1"/>
  <c r="P130" i="4" s="1"/>
  <c r="T133" i="3" a="1"/>
  <c r="T133" i="3" s="1"/>
  <c r="O130" i="4" s="1"/>
  <c r="S133" i="3" a="1"/>
  <c r="S133" i="3" s="1"/>
  <c r="N130" i="4" s="1"/>
  <c r="R133" i="3" a="1"/>
  <c r="R133" i="3" s="1"/>
  <c r="M130" i="4" s="1"/>
  <c r="Q133" i="3" a="1"/>
  <c r="Q133" i="3" s="1"/>
  <c r="L130" i="4" s="1"/>
  <c r="P133" i="3" a="1"/>
  <c r="P133" i="3" s="1"/>
  <c r="K130" i="4" s="1"/>
  <c r="O133" i="3" a="1"/>
  <c r="O133" i="3" s="1"/>
  <c r="J130" i="4" s="1"/>
  <c r="N133" i="3" a="1"/>
  <c r="N133" i="3" s="1"/>
  <c r="I130" i="4" s="1"/>
  <c r="M133" i="3" a="1"/>
  <c r="M133" i="3" s="1"/>
  <c r="H130" i="4" s="1"/>
  <c r="L133" i="3" a="1"/>
  <c r="L133" i="3" s="1"/>
  <c r="G130" i="4" s="1"/>
  <c r="K133" i="3" a="1"/>
  <c r="K133" i="3" s="1"/>
  <c r="F130" i="4" s="1"/>
  <c r="J133" i="3" a="1"/>
  <c r="J133" i="3" s="1"/>
  <c r="E130" i="4" s="1"/>
  <c r="AD132" i="3" a="1"/>
  <c r="AD132" i="3" s="1"/>
  <c r="Y129" i="4" s="1"/>
  <c r="AC132" i="3" a="1"/>
  <c r="AC132" i="3" s="1"/>
  <c r="X129" i="4" s="1"/>
  <c r="AB132" i="3" a="1"/>
  <c r="AB132" i="3" s="1"/>
  <c r="W129" i="4" s="1"/>
  <c r="AA132" i="3" a="1"/>
  <c r="AA132" i="3" s="1"/>
  <c r="V129" i="4" s="1"/>
  <c r="Z132" i="3" a="1"/>
  <c r="Z132" i="3" s="1"/>
  <c r="U129" i="4" s="1"/>
  <c r="Y132" i="3" a="1"/>
  <c r="Y132" i="3" s="1"/>
  <c r="T129" i="4" s="1"/>
  <c r="X132" i="3" a="1"/>
  <c r="X132" i="3" s="1"/>
  <c r="S129" i="4" s="1"/>
  <c r="W132" i="3" a="1"/>
  <c r="W132" i="3" s="1"/>
  <c r="R129" i="4" s="1"/>
  <c r="V132" i="3" a="1"/>
  <c r="V132" i="3" s="1"/>
  <c r="Q129" i="4" s="1"/>
  <c r="U132" i="3" a="1"/>
  <c r="U132" i="3" s="1"/>
  <c r="P129" i="4" s="1"/>
  <c r="T132" i="3" a="1"/>
  <c r="T132" i="3" s="1"/>
  <c r="O129" i="4" s="1"/>
  <c r="S132" i="3" a="1"/>
  <c r="S132" i="3" s="1"/>
  <c r="N129" i="4" s="1"/>
  <c r="R132" i="3" a="1"/>
  <c r="R132" i="3" s="1"/>
  <c r="M129" i="4" s="1"/>
  <c r="Q132" i="3" a="1"/>
  <c r="Q132" i="3" s="1"/>
  <c r="L129" i="4" s="1"/>
  <c r="P132" i="3" a="1"/>
  <c r="P132" i="3" s="1"/>
  <c r="K129" i="4" s="1"/>
  <c r="O132" i="3" a="1"/>
  <c r="O132" i="3" s="1"/>
  <c r="J129" i="4" s="1"/>
  <c r="N132" i="3" a="1"/>
  <c r="N132" i="3" s="1"/>
  <c r="I129" i="4" s="1"/>
  <c r="M132" i="3" a="1"/>
  <c r="M132" i="3" s="1"/>
  <c r="H129" i="4" s="1"/>
  <c r="L132" i="3" a="1"/>
  <c r="L132" i="3" s="1"/>
  <c r="G129" i="4" s="1"/>
  <c r="K132" i="3" a="1"/>
  <c r="K132" i="3" s="1"/>
  <c r="F129" i="4" s="1"/>
  <c r="J132" i="3" a="1"/>
  <c r="J132" i="3" s="1"/>
  <c r="E129" i="4" s="1"/>
  <c r="AD131" i="3" a="1"/>
  <c r="AD131" i="3" s="1"/>
  <c r="Y128" i="4" s="1"/>
  <c r="AC131" i="3" a="1"/>
  <c r="AC131" i="3" s="1"/>
  <c r="X128" i="4" s="1"/>
  <c r="AB131" i="3" a="1"/>
  <c r="AB131" i="3" s="1"/>
  <c r="W128" i="4" s="1"/>
  <c r="AA131" i="3" a="1"/>
  <c r="AA131" i="3" s="1"/>
  <c r="V128" i="4" s="1"/>
  <c r="Z131" i="3" a="1"/>
  <c r="Z131" i="3" s="1"/>
  <c r="U128" i="4" s="1"/>
  <c r="Y131" i="3" a="1"/>
  <c r="Y131" i="3" s="1"/>
  <c r="T128" i="4" s="1"/>
  <c r="X131" i="3" a="1"/>
  <c r="X131" i="3" s="1"/>
  <c r="S128" i="4" s="1"/>
  <c r="W131" i="3" a="1"/>
  <c r="W131" i="3" s="1"/>
  <c r="R128" i="4" s="1"/>
  <c r="V131" i="3" a="1"/>
  <c r="V131" i="3" s="1"/>
  <c r="Q128" i="4" s="1"/>
  <c r="U131" i="3" a="1"/>
  <c r="U131" i="3" s="1"/>
  <c r="P128" i="4" s="1"/>
  <c r="T131" i="3" a="1"/>
  <c r="T131" i="3" s="1"/>
  <c r="O128" i="4" s="1"/>
  <c r="S131" i="3" a="1"/>
  <c r="S131" i="3" s="1"/>
  <c r="N128" i="4" s="1"/>
  <c r="R131" i="3" a="1"/>
  <c r="R131" i="3" s="1"/>
  <c r="M128" i="4" s="1"/>
  <c r="Q131" i="3" a="1"/>
  <c r="Q131" i="3" s="1"/>
  <c r="L128" i="4" s="1"/>
  <c r="P131" i="3" a="1"/>
  <c r="P131" i="3" s="1"/>
  <c r="K128" i="4" s="1"/>
  <c r="O131" i="3" a="1"/>
  <c r="O131" i="3" s="1"/>
  <c r="J128" i="4" s="1"/>
  <c r="N131" i="3" a="1"/>
  <c r="N131" i="3" s="1"/>
  <c r="I128" i="4" s="1"/>
  <c r="M131" i="3" a="1"/>
  <c r="M131" i="3" s="1"/>
  <c r="H128" i="4" s="1"/>
  <c r="L131" i="3" a="1"/>
  <c r="L131" i="3" s="1"/>
  <c r="G128" i="4" s="1"/>
  <c r="K131" i="3" a="1"/>
  <c r="K131" i="3" s="1"/>
  <c r="F128" i="4" s="1"/>
  <c r="J131" i="3" a="1"/>
  <c r="J131" i="3" s="1"/>
  <c r="E128" i="4" s="1"/>
  <c r="AD130" i="3" a="1"/>
  <c r="AD130" i="3" s="1"/>
  <c r="Y127" i="4" s="1"/>
  <c r="AC130" i="3" a="1"/>
  <c r="AC130" i="3" s="1"/>
  <c r="X127" i="4" s="1"/>
  <c r="AB130" i="3" a="1"/>
  <c r="AB130" i="3" s="1"/>
  <c r="W127" i="4" s="1"/>
  <c r="AA130" i="3" a="1"/>
  <c r="AA130" i="3" s="1"/>
  <c r="V127" i="4" s="1"/>
  <c r="Z130" i="3" a="1"/>
  <c r="Z130" i="3" s="1"/>
  <c r="U127" i="4" s="1"/>
  <c r="Y130" i="3" a="1"/>
  <c r="Y130" i="3" s="1"/>
  <c r="T127" i="4" s="1"/>
  <c r="X130" i="3" a="1"/>
  <c r="X130" i="3" s="1"/>
  <c r="S127" i="4" s="1"/>
  <c r="W130" i="3" a="1"/>
  <c r="W130" i="3" s="1"/>
  <c r="R127" i="4" s="1"/>
  <c r="V130" i="3" a="1"/>
  <c r="V130" i="3" s="1"/>
  <c r="Q127" i="4" s="1"/>
  <c r="U130" i="3" a="1"/>
  <c r="U130" i="3" s="1"/>
  <c r="P127" i="4" s="1"/>
  <c r="T130" i="3" a="1"/>
  <c r="T130" i="3" s="1"/>
  <c r="O127" i="4" s="1"/>
  <c r="S130" i="3" a="1"/>
  <c r="S130" i="3" s="1"/>
  <c r="N127" i="4" s="1"/>
  <c r="R130" i="3" a="1"/>
  <c r="R130" i="3" s="1"/>
  <c r="M127" i="4" s="1"/>
  <c r="Q130" i="3" a="1"/>
  <c r="Q130" i="3" s="1"/>
  <c r="L127" i="4" s="1"/>
  <c r="P130" i="3" a="1"/>
  <c r="P130" i="3" s="1"/>
  <c r="K127" i="4" s="1"/>
  <c r="O130" i="3" a="1"/>
  <c r="O130" i="3" s="1"/>
  <c r="J127" i="4" s="1"/>
  <c r="N130" i="3" a="1"/>
  <c r="N130" i="3" s="1"/>
  <c r="I127" i="4" s="1"/>
  <c r="M130" i="3" a="1"/>
  <c r="M130" i="3" s="1"/>
  <c r="H127" i="4" s="1"/>
  <c r="L130" i="3" a="1"/>
  <c r="L130" i="3" s="1"/>
  <c r="G127" i="4" s="1"/>
  <c r="K130" i="3" a="1"/>
  <c r="K130" i="3" s="1"/>
  <c r="F127" i="4" s="1"/>
  <c r="J130" i="3" a="1"/>
  <c r="J130" i="3" s="1"/>
  <c r="E127" i="4" s="1"/>
  <c r="AD129" i="3" a="1"/>
  <c r="AD129" i="3" s="1"/>
  <c r="Y126" i="4" s="1"/>
  <c r="AC129" i="3" a="1"/>
  <c r="AC129" i="3" s="1"/>
  <c r="X126" i="4" s="1"/>
  <c r="AB129" i="3" a="1"/>
  <c r="AB129" i="3" s="1"/>
  <c r="W126" i="4" s="1"/>
  <c r="AA129" i="3" a="1"/>
  <c r="AA129" i="3" s="1"/>
  <c r="V126" i="4" s="1"/>
  <c r="Z129" i="3" a="1"/>
  <c r="Z129" i="3" s="1"/>
  <c r="U126" i="4" s="1"/>
  <c r="Y129" i="3" a="1"/>
  <c r="Y129" i="3" s="1"/>
  <c r="T126" i="4" s="1"/>
  <c r="X129" i="3" a="1"/>
  <c r="X129" i="3" s="1"/>
  <c r="S126" i="4" s="1"/>
  <c r="W129" i="3" a="1"/>
  <c r="W129" i="3" s="1"/>
  <c r="R126" i="4" s="1"/>
  <c r="V129" i="3" a="1"/>
  <c r="V129" i="3" s="1"/>
  <c r="Q126" i="4" s="1"/>
  <c r="U129" i="3" a="1"/>
  <c r="U129" i="3" s="1"/>
  <c r="P126" i="4" s="1"/>
  <c r="T129" i="3" a="1"/>
  <c r="T129" i="3" s="1"/>
  <c r="O126" i="4" s="1"/>
  <c r="S129" i="3" a="1"/>
  <c r="S129" i="3" s="1"/>
  <c r="N126" i="4" s="1"/>
  <c r="R129" i="3" a="1"/>
  <c r="R129" i="3" s="1"/>
  <c r="M126" i="4" s="1"/>
  <c r="Q129" i="3" a="1"/>
  <c r="Q129" i="3" s="1"/>
  <c r="L126" i="4" s="1"/>
  <c r="P129" i="3" a="1"/>
  <c r="P129" i="3" s="1"/>
  <c r="K126" i="4" s="1"/>
  <c r="O129" i="3" a="1"/>
  <c r="O129" i="3" s="1"/>
  <c r="J126" i="4" s="1"/>
  <c r="N129" i="3" a="1"/>
  <c r="N129" i="3" s="1"/>
  <c r="I126" i="4" s="1"/>
  <c r="M129" i="3" a="1"/>
  <c r="M129" i="3" s="1"/>
  <c r="H126" i="4" s="1"/>
  <c r="L129" i="3" a="1"/>
  <c r="L129" i="3" s="1"/>
  <c r="G126" i="4" s="1"/>
  <c r="K129" i="3" a="1"/>
  <c r="K129" i="3" s="1"/>
  <c r="F126" i="4" s="1"/>
  <c r="J129" i="3" a="1"/>
  <c r="J129" i="3" s="1"/>
  <c r="E126" i="4" s="1"/>
  <c r="AD128" i="3" a="1"/>
  <c r="AD128" i="3" s="1"/>
  <c r="Y125" i="4" s="1"/>
  <c r="AC128" i="3" a="1"/>
  <c r="AC128" i="3" s="1"/>
  <c r="X125" i="4" s="1"/>
  <c r="AB128" i="3" a="1"/>
  <c r="AB128" i="3" s="1"/>
  <c r="W125" i="4" s="1"/>
  <c r="AA128" i="3" a="1"/>
  <c r="AA128" i="3" s="1"/>
  <c r="V125" i="4" s="1"/>
  <c r="Z128" i="3" a="1"/>
  <c r="Z128" i="3" s="1"/>
  <c r="U125" i="4" s="1"/>
  <c r="Y128" i="3" a="1"/>
  <c r="Y128" i="3" s="1"/>
  <c r="T125" i="4" s="1"/>
  <c r="X128" i="3" a="1"/>
  <c r="X128" i="3" s="1"/>
  <c r="S125" i="4" s="1"/>
  <c r="W128" i="3" a="1"/>
  <c r="W128" i="3" s="1"/>
  <c r="R125" i="4" s="1"/>
  <c r="V128" i="3" a="1"/>
  <c r="V128" i="3" s="1"/>
  <c r="Q125" i="4" s="1"/>
  <c r="U128" i="3" a="1"/>
  <c r="U128" i="3" s="1"/>
  <c r="P125" i="4" s="1"/>
  <c r="T128" i="3" a="1"/>
  <c r="T128" i="3" s="1"/>
  <c r="O125" i="4" s="1"/>
  <c r="S128" i="3" a="1"/>
  <c r="S128" i="3" s="1"/>
  <c r="N125" i="4" s="1"/>
  <c r="R128" i="3" a="1"/>
  <c r="R128" i="3" s="1"/>
  <c r="M125" i="4" s="1"/>
  <c r="Q128" i="3" a="1"/>
  <c r="Q128" i="3" s="1"/>
  <c r="L125" i="4" s="1"/>
  <c r="P128" i="3" a="1"/>
  <c r="P128" i="3" s="1"/>
  <c r="K125" i="4" s="1"/>
  <c r="O128" i="3" a="1"/>
  <c r="O128" i="3" s="1"/>
  <c r="J125" i="4" s="1"/>
  <c r="N128" i="3" a="1"/>
  <c r="N128" i="3" s="1"/>
  <c r="I125" i="4" s="1"/>
  <c r="M128" i="3" a="1"/>
  <c r="M128" i="3" s="1"/>
  <c r="H125" i="4" s="1"/>
  <c r="L128" i="3" a="1"/>
  <c r="L128" i="3" s="1"/>
  <c r="G125" i="4" s="1"/>
  <c r="K128" i="3" a="1"/>
  <c r="K128" i="3" s="1"/>
  <c r="F125" i="4" s="1"/>
  <c r="J128" i="3" a="1"/>
  <c r="J128" i="3" s="1"/>
  <c r="E125" i="4" s="1"/>
  <c r="AD127" i="3" a="1"/>
  <c r="AD127" i="3" s="1"/>
  <c r="Y124" i="4" s="1"/>
  <c r="AC127" i="3" a="1"/>
  <c r="AC127" i="3" s="1"/>
  <c r="X124" i="4" s="1"/>
  <c r="AB127" i="3" a="1"/>
  <c r="AB127" i="3" s="1"/>
  <c r="W124" i="4" s="1"/>
  <c r="AA127" i="3" a="1"/>
  <c r="AA127" i="3" s="1"/>
  <c r="V124" i="4" s="1"/>
  <c r="Z127" i="3" a="1"/>
  <c r="Z127" i="3" s="1"/>
  <c r="U124" i="4" s="1"/>
  <c r="Y127" i="3" a="1"/>
  <c r="Y127" i="3" s="1"/>
  <c r="T124" i="4" s="1"/>
  <c r="X127" i="3" a="1"/>
  <c r="X127" i="3" s="1"/>
  <c r="S124" i="4" s="1"/>
  <c r="W127" i="3" a="1"/>
  <c r="W127" i="3" s="1"/>
  <c r="R124" i="4" s="1"/>
  <c r="V127" i="3" a="1"/>
  <c r="V127" i="3" s="1"/>
  <c r="Q124" i="4" s="1"/>
  <c r="U127" i="3" a="1"/>
  <c r="U127" i="3" s="1"/>
  <c r="P124" i="4" s="1"/>
  <c r="T127" i="3" a="1"/>
  <c r="T127" i="3" s="1"/>
  <c r="O124" i="4" s="1"/>
  <c r="S127" i="3" a="1"/>
  <c r="S127" i="3" s="1"/>
  <c r="N124" i="4" s="1"/>
  <c r="R127" i="3" a="1"/>
  <c r="R127" i="3" s="1"/>
  <c r="M124" i="4" s="1"/>
  <c r="Q127" i="3" a="1"/>
  <c r="Q127" i="3" s="1"/>
  <c r="L124" i="4" s="1"/>
  <c r="P127" i="3" a="1"/>
  <c r="P127" i="3" s="1"/>
  <c r="K124" i="4" s="1"/>
  <c r="O127" i="3" a="1"/>
  <c r="O127" i="3" s="1"/>
  <c r="J124" i="4" s="1"/>
  <c r="N127" i="3" a="1"/>
  <c r="N127" i="3" s="1"/>
  <c r="I124" i="4" s="1"/>
  <c r="M127" i="3" a="1"/>
  <c r="M127" i="3" s="1"/>
  <c r="H124" i="4" s="1"/>
  <c r="L127" i="3" a="1"/>
  <c r="L127" i="3" s="1"/>
  <c r="G124" i="4" s="1"/>
  <c r="K127" i="3" a="1"/>
  <c r="K127" i="3" s="1"/>
  <c r="F124" i="4" s="1"/>
  <c r="J127" i="3" a="1"/>
  <c r="J127" i="3" s="1"/>
  <c r="E124" i="4" s="1"/>
  <c r="AD126" i="3" a="1"/>
  <c r="AD126" i="3" s="1"/>
  <c r="Y123" i="4" s="1"/>
  <c r="AC126" i="3" a="1"/>
  <c r="AC126" i="3" s="1"/>
  <c r="X123" i="4" s="1"/>
  <c r="AB126" i="3" a="1"/>
  <c r="AB126" i="3" s="1"/>
  <c r="W123" i="4" s="1"/>
  <c r="AA126" i="3" a="1"/>
  <c r="AA126" i="3" s="1"/>
  <c r="V123" i="4" s="1"/>
  <c r="Z126" i="3" a="1"/>
  <c r="Z126" i="3" s="1"/>
  <c r="U123" i="4" s="1"/>
  <c r="Y126" i="3" a="1"/>
  <c r="Y126" i="3" s="1"/>
  <c r="T123" i="4" s="1"/>
  <c r="X126" i="3" a="1"/>
  <c r="X126" i="3" s="1"/>
  <c r="S123" i="4" s="1"/>
  <c r="W126" i="3" a="1"/>
  <c r="W126" i="3" s="1"/>
  <c r="R123" i="4" s="1"/>
  <c r="V126" i="3" a="1"/>
  <c r="V126" i="3" s="1"/>
  <c r="Q123" i="4" s="1"/>
  <c r="U126" i="3" a="1"/>
  <c r="U126" i="3" s="1"/>
  <c r="P123" i="4" s="1"/>
  <c r="T126" i="3" a="1"/>
  <c r="T126" i="3" s="1"/>
  <c r="O123" i="4" s="1"/>
  <c r="S126" i="3" a="1"/>
  <c r="S126" i="3" s="1"/>
  <c r="N123" i="4" s="1"/>
  <c r="R126" i="3" a="1"/>
  <c r="R126" i="3" s="1"/>
  <c r="M123" i="4" s="1"/>
  <c r="Q126" i="3" a="1"/>
  <c r="Q126" i="3" s="1"/>
  <c r="L123" i="4" s="1"/>
  <c r="P126" i="3" a="1"/>
  <c r="P126" i="3" s="1"/>
  <c r="K123" i="4" s="1"/>
  <c r="O126" i="3" a="1"/>
  <c r="O126" i="3" s="1"/>
  <c r="J123" i="4" s="1"/>
  <c r="N126" i="3" a="1"/>
  <c r="N126" i="3" s="1"/>
  <c r="I123" i="4" s="1"/>
  <c r="M126" i="3" a="1"/>
  <c r="M126" i="3" s="1"/>
  <c r="H123" i="4" s="1"/>
  <c r="L126" i="3" a="1"/>
  <c r="L126" i="3" s="1"/>
  <c r="G123" i="4" s="1"/>
  <c r="K126" i="3" a="1"/>
  <c r="K126" i="3" s="1"/>
  <c r="F123" i="4" s="1"/>
  <c r="J126" i="3" a="1"/>
  <c r="J126" i="3" s="1"/>
  <c r="E123" i="4" s="1"/>
  <c r="AD125" i="3" a="1"/>
  <c r="AD125" i="3" s="1"/>
  <c r="Y122" i="4" s="1"/>
  <c r="AC125" i="3" a="1"/>
  <c r="AC125" i="3" s="1"/>
  <c r="X122" i="4" s="1"/>
  <c r="AB125" i="3" a="1"/>
  <c r="AB125" i="3" s="1"/>
  <c r="W122" i="4" s="1"/>
  <c r="AA125" i="3" a="1"/>
  <c r="AA125" i="3" s="1"/>
  <c r="V122" i="4" s="1"/>
  <c r="Z125" i="3" a="1"/>
  <c r="Z125" i="3" s="1"/>
  <c r="U122" i="4" s="1"/>
  <c r="Y125" i="3" a="1"/>
  <c r="Y125" i="3" s="1"/>
  <c r="T122" i="4" s="1"/>
  <c r="X125" i="3" a="1"/>
  <c r="X125" i="3" s="1"/>
  <c r="S122" i="4" s="1"/>
  <c r="W125" i="3" a="1"/>
  <c r="W125" i="3" s="1"/>
  <c r="R122" i="4" s="1"/>
  <c r="V125" i="3" a="1"/>
  <c r="V125" i="3" s="1"/>
  <c r="Q122" i="4" s="1"/>
  <c r="U125" i="3" a="1"/>
  <c r="U125" i="3" s="1"/>
  <c r="P122" i="4" s="1"/>
  <c r="T125" i="3" a="1"/>
  <c r="T125" i="3" s="1"/>
  <c r="O122" i="4" s="1"/>
  <c r="S125" i="3" a="1"/>
  <c r="S125" i="3" s="1"/>
  <c r="N122" i="4" s="1"/>
  <c r="R125" i="3" a="1"/>
  <c r="R125" i="3" s="1"/>
  <c r="M122" i="4" s="1"/>
  <c r="Q125" i="3" a="1"/>
  <c r="Q125" i="3" s="1"/>
  <c r="L122" i="4" s="1"/>
  <c r="P125" i="3" a="1"/>
  <c r="P125" i="3" s="1"/>
  <c r="K122" i="4" s="1"/>
  <c r="O125" i="3" a="1"/>
  <c r="O125" i="3" s="1"/>
  <c r="J122" i="4" s="1"/>
  <c r="N125" i="3" a="1"/>
  <c r="N125" i="3" s="1"/>
  <c r="I122" i="4" s="1"/>
  <c r="M125" i="3" a="1"/>
  <c r="M125" i="3" s="1"/>
  <c r="H122" i="4" s="1"/>
  <c r="L125" i="3" a="1"/>
  <c r="L125" i="3" s="1"/>
  <c r="G122" i="4" s="1"/>
  <c r="K125" i="3" a="1"/>
  <c r="K125" i="3" s="1"/>
  <c r="F122" i="4" s="1"/>
  <c r="J125" i="3" a="1"/>
  <c r="J125" i="3" s="1"/>
  <c r="E122" i="4" s="1"/>
  <c r="AD124" i="3" a="1"/>
  <c r="AD124" i="3" s="1"/>
  <c r="Y121" i="4" s="1"/>
  <c r="AC124" i="3" a="1"/>
  <c r="AC124" i="3" s="1"/>
  <c r="X121" i="4" s="1"/>
  <c r="AB124" i="3" a="1"/>
  <c r="AB124" i="3" s="1"/>
  <c r="W121" i="4" s="1"/>
  <c r="AA124" i="3" a="1"/>
  <c r="AA124" i="3" s="1"/>
  <c r="V121" i="4" s="1"/>
  <c r="Z124" i="3" a="1"/>
  <c r="Z124" i="3" s="1"/>
  <c r="U121" i="4" s="1"/>
  <c r="Y124" i="3" a="1"/>
  <c r="Y124" i="3" s="1"/>
  <c r="T121" i="4" s="1"/>
  <c r="X124" i="3" a="1"/>
  <c r="X124" i="3" s="1"/>
  <c r="S121" i="4" s="1"/>
  <c r="W124" i="3" a="1"/>
  <c r="W124" i="3" s="1"/>
  <c r="R121" i="4" s="1"/>
  <c r="V124" i="3" a="1"/>
  <c r="V124" i="3" s="1"/>
  <c r="Q121" i="4" s="1"/>
  <c r="U124" i="3" a="1"/>
  <c r="U124" i="3" s="1"/>
  <c r="P121" i="4" s="1"/>
  <c r="T124" i="3" a="1"/>
  <c r="T124" i="3" s="1"/>
  <c r="O121" i="4" s="1"/>
  <c r="S124" i="3" a="1"/>
  <c r="S124" i="3" s="1"/>
  <c r="N121" i="4" s="1"/>
  <c r="R124" i="3" a="1"/>
  <c r="R124" i="3" s="1"/>
  <c r="M121" i="4" s="1"/>
  <c r="Q124" i="3" a="1"/>
  <c r="Q124" i="3" s="1"/>
  <c r="L121" i="4" s="1"/>
  <c r="P124" i="3" a="1"/>
  <c r="P124" i="3" s="1"/>
  <c r="K121" i="4" s="1"/>
  <c r="O124" i="3" a="1"/>
  <c r="O124" i="3" s="1"/>
  <c r="J121" i="4" s="1"/>
  <c r="N124" i="3" a="1"/>
  <c r="N124" i="3" s="1"/>
  <c r="I121" i="4" s="1"/>
  <c r="M124" i="3" a="1"/>
  <c r="M124" i="3" s="1"/>
  <c r="H121" i="4" s="1"/>
  <c r="L124" i="3" a="1"/>
  <c r="L124" i="3" s="1"/>
  <c r="G121" i="4" s="1"/>
  <c r="K124" i="3" a="1"/>
  <c r="K124" i="3" s="1"/>
  <c r="F121" i="4" s="1"/>
  <c r="J124" i="3" a="1"/>
  <c r="J124" i="3" s="1"/>
  <c r="E121" i="4" s="1"/>
  <c r="AD123" i="3" a="1"/>
  <c r="AD123" i="3" s="1"/>
  <c r="Y120" i="4" s="1"/>
  <c r="AC123" i="3" a="1"/>
  <c r="AC123" i="3" s="1"/>
  <c r="X120" i="4" s="1"/>
  <c r="AB123" i="3" a="1"/>
  <c r="AB123" i="3" s="1"/>
  <c r="W120" i="4" s="1"/>
  <c r="AA123" i="3" a="1"/>
  <c r="AA123" i="3" s="1"/>
  <c r="V120" i="4" s="1"/>
  <c r="Z123" i="3" a="1"/>
  <c r="Z123" i="3" s="1"/>
  <c r="U120" i="4" s="1"/>
  <c r="Y123" i="3" a="1"/>
  <c r="Y123" i="3" s="1"/>
  <c r="T120" i="4" s="1"/>
  <c r="X123" i="3" a="1"/>
  <c r="X123" i="3" s="1"/>
  <c r="S120" i="4" s="1"/>
  <c r="W123" i="3" a="1"/>
  <c r="W123" i="3" s="1"/>
  <c r="R120" i="4" s="1"/>
  <c r="V123" i="3" a="1"/>
  <c r="V123" i="3" s="1"/>
  <c r="Q120" i="4" s="1"/>
  <c r="U123" i="3" a="1"/>
  <c r="U123" i="3" s="1"/>
  <c r="P120" i="4" s="1"/>
  <c r="T123" i="3" a="1"/>
  <c r="T123" i="3" s="1"/>
  <c r="O120" i="4" s="1"/>
  <c r="S123" i="3" a="1"/>
  <c r="S123" i="3" s="1"/>
  <c r="N120" i="4" s="1"/>
  <c r="R123" i="3" a="1"/>
  <c r="R123" i="3" s="1"/>
  <c r="M120" i="4" s="1"/>
  <c r="Q123" i="3" a="1"/>
  <c r="Q123" i="3" s="1"/>
  <c r="L120" i="4" s="1"/>
  <c r="P123" i="3" a="1"/>
  <c r="P123" i="3" s="1"/>
  <c r="K120" i="4" s="1"/>
  <c r="O123" i="3" a="1"/>
  <c r="O123" i="3" s="1"/>
  <c r="J120" i="4" s="1"/>
  <c r="N123" i="3" a="1"/>
  <c r="N123" i="3" s="1"/>
  <c r="I120" i="4" s="1"/>
  <c r="M123" i="3" a="1"/>
  <c r="M123" i="3" s="1"/>
  <c r="H120" i="4" s="1"/>
  <c r="L123" i="3" a="1"/>
  <c r="L123" i="3" s="1"/>
  <c r="G120" i="4" s="1"/>
  <c r="K123" i="3" a="1"/>
  <c r="K123" i="3" s="1"/>
  <c r="F120" i="4" s="1"/>
  <c r="J123" i="3" a="1"/>
  <c r="J123" i="3" s="1"/>
  <c r="E120" i="4" s="1"/>
  <c r="AD122" i="3" a="1"/>
  <c r="AD122" i="3" s="1"/>
  <c r="Y119" i="4" s="1"/>
  <c r="AC122" i="3" a="1"/>
  <c r="AC122" i="3" s="1"/>
  <c r="X119" i="4" s="1"/>
  <c r="AB122" i="3" a="1"/>
  <c r="AB122" i="3" s="1"/>
  <c r="W119" i="4" s="1"/>
  <c r="AA122" i="3" a="1"/>
  <c r="AA122" i="3" s="1"/>
  <c r="V119" i="4" s="1"/>
  <c r="Z122" i="3" a="1"/>
  <c r="Z122" i="3" s="1"/>
  <c r="U119" i="4" s="1"/>
  <c r="Y122" i="3" a="1"/>
  <c r="Y122" i="3" s="1"/>
  <c r="T119" i="4" s="1"/>
  <c r="X122" i="3" a="1"/>
  <c r="X122" i="3" s="1"/>
  <c r="S119" i="4" s="1"/>
  <c r="W122" i="3" a="1"/>
  <c r="W122" i="3" s="1"/>
  <c r="R119" i="4" s="1"/>
  <c r="V122" i="3" a="1"/>
  <c r="V122" i="3" s="1"/>
  <c r="Q119" i="4" s="1"/>
  <c r="U122" i="3" a="1"/>
  <c r="U122" i="3" s="1"/>
  <c r="P119" i="4" s="1"/>
  <c r="T122" i="3" a="1"/>
  <c r="T122" i="3" s="1"/>
  <c r="O119" i="4" s="1"/>
  <c r="S122" i="3" a="1"/>
  <c r="S122" i="3" s="1"/>
  <c r="N119" i="4" s="1"/>
  <c r="R122" i="3" a="1"/>
  <c r="R122" i="3" s="1"/>
  <c r="M119" i="4" s="1"/>
  <c r="Q122" i="3" a="1"/>
  <c r="Q122" i="3" s="1"/>
  <c r="L119" i="4" s="1"/>
  <c r="P122" i="3" a="1"/>
  <c r="P122" i="3" s="1"/>
  <c r="K119" i="4" s="1"/>
  <c r="O122" i="3" a="1"/>
  <c r="O122" i="3" s="1"/>
  <c r="J119" i="4" s="1"/>
  <c r="N122" i="3" a="1"/>
  <c r="N122" i="3" s="1"/>
  <c r="I119" i="4" s="1"/>
  <c r="M122" i="3" a="1"/>
  <c r="M122" i="3" s="1"/>
  <c r="H119" i="4" s="1"/>
  <c r="L122" i="3" a="1"/>
  <c r="L122" i="3" s="1"/>
  <c r="G119" i="4" s="1"/>
  <c r="K122" i="3" a="1"/>
  <c r="K122" i="3" s="1"/>
  <c r="F119" i="4" s="1"/>
  <c r="J122" i="3" a="1"/>
  <c r="J122" i="3" s="1"/>
  <c r="E119" i="4" s="1"/>
  <c r="AD121" i="3" a="1"/>
  <c r="AD121" i="3" s="1"/>
  <c r="Y118" i="4" s="1"/>
  <c r="AC121" i="3" a="1"/>
  <c r="AC121" i="3" s="1"/>
  <c r="X118" i="4" s="1"/>
  <c r="AB121" i="3" a="1"/>
  <c r="AB121" i="3" s="1"/>
  <c r="W118" i="4" s="1"/>
  <c r="AA121" i="3" a="1"/>
  <c r="AA121" i="3" s="1"/>
  <c r="V118" i="4" s="1"/>
  <c r="Z121" i="3" a="1"/>
  <c r="Z121" i="3" s="1"/>
  <c r="U118" i="4" s="1"/>
  <c r="Y121" i="3" a="1"/>
  <c r="Y121" i="3" s="1"/>
  <c r="T118" i="4" s="1"/>
  <c r="X121" i="3" a="1"/>
  <c r="X121" i="3" s="1"/>
  <c r="S118" i="4" s="1"/>
  <c r="W121" i="3" a="1"/>
  <c r="W121" i="3" s="1"/>
  <c r="R118" i="4" s="1"/>
  <c r="V121" i="3" a="1"/>
  <c r="V121" i="3" s="1"/>
  <c r="Q118" i="4" s="1"/>
  <c r="U121" i="3" a="1"/>
  <c r="U121" i="3" s="1"/>
  <c r="P118" i="4" s="1"/>
  <c r="T121" i="3" a="1"/>
  <c r="T121" i="3" s="1"/>
  <c r="O118" i="4" s="1"/>
  <c r="S121" i="3" a="1"/>
  <c r="S121" i="3" s="1"/>
  <c r="N118" i="4" s="1"/>
  <c r="R121" i="3" a="1"/>
  <c r="R121" i="3" s="1"/>
  <c r="M118" i="4" s="1"/>
  <c r="Q121" i="3" a="1"/>
  <c r="Q121" i="3" s="1"/>
  <c r="L118" i="4" s="1"/>
  <c r="P121" i="3" a="1"/>
  <c r="P121" i="3" s="1"/>
  <c r="K118" i="4" s="1"/>
  <c r="O121" i="3" a="1"/>
  <c r="O121" i="3" s="1"/>
  <c r="J118" i="4" s="1"/>
  <c r="N121" i="3" a="1"/>
  <c r="N121" i="3" s="1"/>
  <c r="I118" i="4" s="1"/>
  <c r="M121" i="3" a="1"/>
  <c r="M121" i="3" s="1"/>
  <c r="H118" i="4" s="1"/>
  <c r="L121" i="3" a="1"/>
  <c r="L121" i="3" s="1"/>
  <c r="G118" i="4" s="1"/>
  <c r="K121" i="3" a="1"/>
  <c r="K121" i="3" s="1"/>
  <c r="F118" i="4" s="1"/>
  <c r="J121" i="3" a="1"/>
  <c r="J121" i="3" s="1"/>
  <c r="E118" i="4" s="1"/>
  <c r="AD120" i="3" a="1"/>
  <c r="AD120" i="3" s="1"/>
  <c r="Y117" i="4" s="1"/>
  <c r="AC120" i="3" a="1"/>
  <c r="AC120" i="3" s="1"/>
  <c r="X117" i="4" s="1"/>
  <c r="AB120" i="3" a="1"/>
  <c r="AB120" i="3" s="1"/>
  <c r="W117" i="4" s="1"/>
  <c r="AA120" i="3" a="1"/>
  <c r="AA120" i="3" s="1"/>
  <c r="V117" i="4" s="1"/>
  <c r="Z120" i="3" a="1"/>
  <c r="Z120" i="3" s="1"/>
  <c r="U117" i="4" s="1"/>
  <c r="Y120" i="3" a="1"/>
  <c r="Y120" i="3" s="1"/>
  <c r="T117" i="4" s="1"/>
  <c r="X120" i="3" a="1"/>
  <c r="X120" i="3" s="1"/>
  <c r="S117" i="4" s="1"/>
  <c r="W120" i="3" a="1"/>
  <c r="W120" i="3" s="1"/>
  <c r="R117" i="4" s="1"/>
  <c r="V120" i="3" a="1"/>
  <c r="V120" i="3" s="1"/>
  <c r="Q117" i="4" s="1"/>
  <c r="U120" i="3" a="1"/>
  <c r="U120" i="3" s="1"/>
  <c r="P117" i="4" s="1"/>
  <c r="T120" i="3" a="1"/>
  <c r="T120" i="3" s="1"/>
  <c r="O117" i="4" s="1"/>
  <c r="S120" i="3" a="1"/>
  <c r="S120" i="3" s="1"/>
  <c r="N117" i="4" s="1"/>
  <c r="R120" i="3" a="1"/>
  <c r="R120" i="3" s="1"/>
  <c r="M117" i="4" s="1"/>
  <c r="Q120" i="3" a="1"/>
  <c r="Q120" i="3" s="1"/>
  <c r="L117" i="4" s="1"/>
  <c r="P120" i="3" a="1"/>
  <c r="P120" i="3" s="1"/>
  <c r="K117" i="4" s="1"/>
  <c r="O120" i="3" a="1"/>
  <c r="O120" i="3" s="1"/>
  <c r="J117" i="4" s="1"/>
  <c r="N120" i="3" a="1"/>
  <c r="N120" i="3" s="1"/>
  <c r="I117" i="4" s="1"/>
  <c r="M120" i="3" a="1"/>
  <c r="M120" i="3" s="1"/>
  <c r="H117" i="4" s="1"/>
  <c r="L120" i="3" a="1"/>
  <c r="L120" i="3" s="1"/>
  <c r="G117" i="4" s="1"/>
  <c r="K120" i="3" a="1"/>
  <c r="K120" i="3" s="1"/>
  <c r="F117" i="4" s="1"/>
  <c r="J120" i="3" a="1"/>
  <c r="J120" i="3" s="1"/>
  <c r="E117" i="4" s="1"/>
  <c r="AD119" i="3" a="1"/>
  <c r="AD119" i="3" s="1"/>
  <c r="Y116" i="4" s="1"/>
  <c r="AC119" i="3" a="1"/>
  <c r="AC119" i="3" s="1"/>
  <c r="X116" i="4" s="1"/>
  <c r="AB119" i="3" a="1"/>
  <c r="AB119" i="3" s="1"/>
  <c r="W116" i="4" s="1"/>
  <c r="AA119" i="3" a="1"/>
  <c r="AA119" i="3" s="1"/>
  <c r="V116" i="4" s="1"/>
  <c r="Z119" i="3" a="1"/>
  <c r="Z119" i="3" s="1"/>
  <c r="U116" i="4" s="1"/>
  <c r="Y119" i="3" a="1"/>
  <c r="Y119" i="3" s="1"/>
  <c r="T116" i="4" s="1"/>
  <c r="X119" i="3" a="1"/>
  <c r="X119" i="3" s="1"/>
  <c r="S116" i="4" s="1"/>
  <c r="W119" i="3" a="1"/>
  <c r="W119" i="3" s="1"/>
  <c r="R116" i="4" s="1"/>
  <c r="V119" i="3" a="1"/>
  <c r="V119" i="3" s="1"/>
  <c r="Q116" i="4" s="1"/>
  <c r="U119" i="3" a="1"/>
  <c r="U119" i="3" s="1"/>
  <c r="P116" i="4" s="1"/>
  <c r="T119" i="3" a="1"/>
  <c r="T119" i="3" s="1"/>
  <c r="O116" i="4" s="1"/>
  <c r="S119" i="3" a="1"/>
  <c r="S119" i="3" s="1"/>
  <c r="N116" i="4" s="1"/>
  <c r="R119" i="3" a="1"/>
  <c r="R119" i="3" s="1"/>
  <c r="M116" i="4" s="1"/>
  <c r="Q119" i="3" a="1"/>
  <c r="Q119" i="3" s="1"/>
  <c r="L116" i="4" s="1"/>
  <c r="P119" i="3" a="1"/>
  <c r="P119" i="3" s="1"/>
  <c r="K116" i="4" s="1"/>
  <c r="O119" i="3" a="1"/>
  <c r="O119" i="3" s="1"/>
  <c r="J116" i="4" s="1"/>
  <c r="N119" i="3" a="1"/>
  <c r="N119" i="3" s="1"/>
  <c r="I116" i="4" s="1"/>
  <c r="M119" i="3" a="1"/>
  <c r="M119" i="3" s="1"/>
  <c r="H116" i="4" s="1"/>
  <c r="L119" i="3" a="1"/>
  <c r="L119" i="3" s="1"/>
  <c r="G116" i="4" s="1"/>
  <c r="K119" i="3" a="1"/>
  <c r="K119" i="3" s="1"/>
  <c r="F116" i="4" s="1"/>
  <c r="J119" i="3" a="1"/>
  <c r="J119" i="3" s="1"/>
  <c r="E116" i="4" s="1"/>
  <c r="AD118" i="3" a="1"/>
  <c r="AD118" i="3" s="1"/>
  <c r="Y115" i="4" s="1"/>
  <c r="AC118" i="3" a="1"/>
  <c r="AC118" i="3" s="1"/>
  <c r="X115" i="4" s="1"/>
  <c r="AB118" i="3" a="1"/>
  <c r="AB118" i="3" s="1"/>
  <c r="W115" i="4" s="1"/>
  <c r="AA118" i="3" a="1"/>
  <c r="AA118" i="3" s="1"/>
  <c r="V115" i="4" s="1"/>
  <c r="Z118" i="3" a="1"/>
  <c r="Z118" i="3" s="1"/>
  <c r="U115" i="4" s="1"/>
  <c r="Y118" i="3" a="1"/>
  <c r="Y118" i="3" s="1"/>
  <c r="T115" i="4" s="1"/>
  <c r="X118" i="3" a="1"/>
  <c r="X118" i="3" s="1"/>
  <c r="S115" i="4" s="1"/>
  <c r="W118" i="3" a="1"/>
  <c r="W118" i="3" s="1"/>
  <c r="R115" i="4" s="1"/>
  <c r="V118" i="3" a="1"/>
  <c r="V118" i="3" s="1"/>
  <c r="Q115" i="4" s="1"/>
  <c r="U118" i="3" a="1"/>
  <c r="U118" i="3" s="1"/>
  <c r="P115" i="4" s="1"/>
  <c r="T118" i="3" a="1"/>
  <c r="T118" i="3" s="1"/>
  <c r="O115" i="4" s="1"/>
  <c r="S118" i="3" a="1"/>
  <c r="S118" i="3" s="1"/>
  <c r="N115" i="4" s="1"/>
  <c r="R118" i="3" a="1"/>
  <c r="R118" i="3" s="1"/>
  <c r="M115" i="4" s="1"/>
  <c r="Q118" i="3" a="1"/>
  <c r="Q118" i="3" s="1"/>
  <c r="L115" i="4" s="1"/>
  <c r="P118" i="3" a="1"/>
  <c r="P118" i="3" s="1"/>
  <c r="K115" i="4" s="1"/>
  <c r="O118" i="3" a="1"/>
  <c r="O118" i="3" s="1"/>
  <c r="J115" i="4" s="1"/>
  <c r="N118" i="3" a="1"/>
  <c r="N118" i="3" s="1"/>
  <c r="I115" i="4" s="1"/>
  <c r="M118" i="3" a="1"/>
  <c r="M118" i="3" s="1"/>
  <c r="H115" i="4" s="1"/>
  <c r="L118" i="3" a="1"/>
  <c r="L118" i="3" s="1"/>
  <c r="G115" i="4" s="1"/>
  <c r="K118" i="3" a="1"/>
  <c r="K118" i="3" s="1"/>
  <c r="F115" i="4" s="1"/>
  <c r="J118" i="3" a="1"/>
  <c r="J118" i="3" s="1"/>
  <c r="E115" i="4" s="1"/>
  <c r="AD117" i="3" a="1"/>
  <c r="AD117" i="3" s="1"/>
  <c r="Y114" i="4" s="1"/>
  <c r="AC117" i="3" a="1"/>
  <c r="AC117" i="3" s="1"/>
  <c r="X114" i="4" s="1"/>
  <c r="AB117" i="3" a="1"/>
  <c r="AB117" i="3" s="1"/>
  <c r="W114" i="4" s="1"/>
  <c r="AA117" i="3" a="1"/>
  <c r="AA117" i="3" s="1"/>
  <c r="V114" i="4" s="1"/>
  <c r="Z117" i="3" a="1"/>
  <c r="Z117" i="3" s="1"/>
  <c r="U114" i="4" s="1"/>
  <c r="Y117" i="3" a="1"/>
  <c r="Y117" i="3" s="1"/>
  <c r="T114" i="4" s="1"/>
  <c r="X117" i="3" a="1"/>
  <c r="X117" i="3" s="1"/>
  <c r="S114" i="4" s="1"/>
  <c r="W117" i="3" a="1"/>
  <c r="W117" i="3" s="1"/>
  <c r="R114" i="4" s="1"/>
  <c r="V117" i="3" a="1"/>
  <c r="V117" i="3" s="1"/>
  <c r="Q114" i="4" s="1"/>
  <c r="U117" i="3" a="1"/>
  <c r="U117" i="3" s="1"/>
  <c r="P114" i="4" s="1"/>
  <c r="T117" i="3" a="1"/>
  <c r="T117" i="3" s="1"/>
  <c r="O114" i="4" s="1"/>
  <c r="S117" i="3" a="1"/>
  <c r="S117" i="3" s="1"/>
  <c r="N114" i="4" s="1"/>
  <c r="R117" i="3" a="1"/>
  <c r="R117" i="3" s="1"/>
  <c r="M114" i="4" s="1"/>
  <c r="Q117" i="3" a="1"/>
  <c r="Q117" i="3" s="1"/>
  <c r="L114" i="4" s="1"/>
  <c r="P117" i="3" a="1"/>
  <c r="P117" i="3" s="1"/>
  <c r="K114" i="4" s="1"/>
  <c r="O117" i="3" a="1"/>
  <c r="O117" i="3" s="1"/>
  <c r="J114" i="4" s="1"/>
  <c r="N117" i="3" a="1"/>
  <c r="N117" i="3" s="1"/>
  <c r="I114" i="4" s="1"/>
  <c r="M117" i="3" a="1"/>
  <c r="M117" i="3" s="1"/>
  <c r="H114" i="4" s="1"/>
  <c r="L117" i="3" a="1"/>
  <c r="L117" i="3" s="1"/>
  <c r="G114" i="4" s="1"/>
  <c r="K117" i="3" a="1"/>
  <c r="K117" i="3" s="1"/>
  <c r="F114" i="4" s="1"/>
  <c r="J117" i="3" a="1"/>
  <c r="J117" i="3" s="1"/>
  <c r="E114" i="4" s="1"/>
  <c r="AD116" i="3" a="1"/>
  <c r="AD116" i="3" s="1"/>
  <c r="Y113" i="4" s="1"/>
  <c r="AC116" i="3" a="1"/>
  <c r="AC116" i="3" s="1"/>
  <c r="X113" i="4" s="1"/>
  <c r="AB116" i="3" a="1"/>
  <c r="AB116" i="3" s="1"/>
  <c r="W113" i="4" s="1"/>
  <c r="AA116" i="3" a="1"/>
  <c r="AA116" i="3" s="1"/>
  <c r="V113" i="4" s="1"/>
  <c r="Z116" i="3" a="1"/>
  <c r="Z116" i="3" s="1"/>
  <c r="U113" i="4" s="1"/>
  <c r="Y116" i="3" a="1"/>
  <c r="Y116" i="3" s="1"/>
  <c r="T113" i="4" s="1"/>
  <c r="X116" i="3" a="1"/>
  <c r="X116" i="3" s="1"/>
  <c r="S113" i="4" s="1"/>
  <c r="W116" i="3" a="1"/>
  <c r="W116" i="3" s="1"/>
  <c r="R113" i="4" s="1"/>
  <c r="V116" i="3" a="1"/>
  <c r="V116" i="3" s="1"/>
  <c r="Q113" i="4" s="1"/>
  <c r="U116" i="3" a="1"/>
  <c r="U116" i="3" s="1"/>
  <c r="P113" i="4" s="1"/>
  <c r="T116" i="3" a="1"/>
  <c r="T116" i="3" s="1"/>
  <c r="O113" i="4" s="1"/>
  <c r="S116" i="3" a="1"/>
  <c r="S116" i="3" s="1"/>
  <c r="N113" i="4" s="1"/>
  <c r="R116" i="3" a="1"/>
  <c r="R116" i="3" s="1"/>
  <c r="M113" i="4" s="1"/>
  <c r="Q116" i="3" a="1"/>
  <c r="Q116" i="3" s="1"/>
  <c r="L113" i="4" s="1"/>
  <c r="P116" i="3" a="1"/>
  <c r="P116" i="3" s="1"/>
  <c r="K113" i="4" s="1"/>
  <c r="O116" i="3" a="1"/>
  <c r="O116" i="3" s="1"/>
  <c r="J113" i="4" s="1"/>
  <c r="N116" i="3" a="1"/>
  <c r="N116" i="3" s="1"/>
  <c r="I113" i="4" s="1"/>
  <c r="M116" i="3" a="1"/>
  <c r="M116" i="3" s="1"/>
  <c r="H113" i="4" s="1"/>
  <c r="L116" i="3" a="1"/>
  <c r="L116" i="3" s="1"/>
  <c r="G113" i="4" s="1"/>
  <c r="K116" i="3" a="1"/>
  <c r="K116" i="3" s="1"/>
  <c r="F113" i="4" s="1"/>
  <c r="J116" i="3" a="1"/>
  <c r="J116" i="3" s="1"/>
  <c r="E113" i="4" s="1"/>
  <c r="AD115" i="3" a="1"/>
  <c r="AD115" i="3" s="1"/>
  <c r="Y112" i="4" s="1"/>
  <c r="AC115" i="3" a="1"/>
  <c r="AC115" i="3" s="1"/>
  <c r="X112" i="4" s="1"/>
  <c r="AB115" i="3" a="1"/>
  <c r="AB115" i="3" s="1"/>
  <c r="W112" i="4" s="1"/>
  <c r="AA115" i="3" a="1"/>
  <c r="AA115" i="3" s="1"/>
  <c r="V112" i="4" s="1"/>
  <c r="Z115" i="3" a="1"/>
  <c r="Z115" i="3" s="1"/>
  <c r="U112" i="4" s="1"/>
  <c r="Y115" i="3" a="1"/>
  <c r="Y115" i="3" s="1"/>
  <c r="T112" i="4" s="1"/>
  <c r="X115" i="3" a="1"/>
  <c r="X115" i="3" s="1"/>
  <c r="S112" i="4" s="1"/>
  <c r="W115" i="3" a="1"/>
  <c r="W115" i="3" s="1"/>
  <c r="R112" i="4" s="1"/>
  <c r="V115" i="3" a="1"/>
  <c r="V115" i="3" s="1"/>
  <c r="Q112" i="4" s="1"/>
  <c r="U115" i="3" a="1"/>
  <c r="U115" i="3" s="1"/>
  <c r="P112" i="4" s="1"/>
  <c r="T115" i="3" a="1"/>
  <c r="T115" i="3" s="1"/>
  <c r="O112" i="4" s="1"/>
  <c r="S115" i="3" a="1"/>
  <c r="S115" i="3" s="1"/>
  <c r="N112" i="4" s="1"/>
  <c r="R115" i="3" a="1"/>
  <c r="R115" i="3" s="1"/>
  <c r="M112" i="4" s="1"/>
  <c r="Q115" i="3" a="1"/>
  <c r="Q115" i="3" s="1"/>
  <c r="L112" i="4" s="1"/>
  <c r="P115" i="3" a="1"/>
  <c r="P115" i="3" s="1"/>
  <c r="K112" i="4" s="1"/>
  <c r="O115" i="3" a="1"/>
  <c r="O115" i="3" s="1"/>
  <c r="J112" i="4" s="1"/>
  <c r="N115" i="3" a="1"/>
  <c r="N115" i="3" s="1"/>
  <c r="I112" i="4" s="1"/>
  <c r="M115" i="3" a="1"/>
  <c r="M115" i="3" s="1"/>
  <c r="H112" i="4" s="1"/>
  <c r="L115" i="3" a="1"/>
  <c r="L115" i="3" s="1"/>
  <c r="G112" i="4" s="1"/>
  <c r="K115" i="3" a="1"/>
  <c r="K115" i="3" s="1"/>
  <c r="F112" i="4" s="1"/>
  <c r="J115" i="3" a="1"/>
  <c r="J115" i="3" s="1"/>
  <c r="E112" i="4" s="1"/>
  <c r="AD114" i="3" a="1"/>
  <c r="AD114" i="3" s="1"/>
  <c r="Y111" i="4" s="1"/>
  <c r="AC114" i="3" a="1"/>
  <c r="AC114" i="3" s="1"/>
  <c r="X111" i="4" s="1"/>
  <c r="AB114" i="3" a="1"/>
  <c r="AB114" i="3" s="1"/>
  <c r="W111" i="4" s="1"/>
  <c r="AA114" i="3" a="1"/>
  <c r="AA114" i="3" s="1"/>
  <c r="V111" i="4" s="1"/>
  <c r="Z114" i="3" a="1"/>
  <c r="Z114" i="3" s="1"/>
  <c r="U111" i="4" s="1"/>
  <c r="Y114" i="3" a="1"/>
  <c r="Y114" i="3" s="1"/>
  <c r="T111" i="4" s="1"/>
  <c r="X114" i="3" a="1"/>
  <c r="X114" i="3" s="1"/>
  <c r="S111" i="4" s="1"/>
  <c r="W114" i="3" a="1"/>
  <c r="W114" i="3" s="1"/>
  <c r="R111" i="4" s="1"/>
  <c r="V114" i="3" a="1"/>
  <c r="V114" i="3" s="1"/>
  <c r="Q111" i="4" s="1"/>
  <c r="U114" i="3" a="1"/>
  <c r="U114" i="3" s="1"/>
  <c r="P111" i="4" s="1"/>
  <c r="T114" i="3" a="1"/>
  <c r="T114" i="3" s="1"/>
  <c r="O111" i="4" s="1"/>
  <c r="S114" i="3" a="1"/>
  <c r="S114" i="3" s="1"/>
  <c r="N111" i="4" s="1"/>
  <c r="R114" i="3" a="1"/>
  <c r="R114" i="3" s="1"/>
  <c r="M111" i="4" s="1"/>
  <c r="Q114" i="3" a="1"/>
  <c r="Q114" i="3" s="1"/>
  <c r="L111" i="4" s="1"/>
  <c r="P114" i="3" a="1"/>
  <c r="P114" i="3" s="1"/>
  <c r="K111" i="4" s="1"/>
  <c r="O114" i="3" a="1"/>
  <c r="O114" i="3" s="1"/>
  <c r="J111" i="4" s="1"/>
  <c r="N114" i="3" a="1"/>
  <c r="N114" i="3" s="1"/>
  <c r="I111" i="4" s="1"/>
  <c r="M114" i="3" a="1"/>
  <c r="M114" i="3" s="1"/>
  <c r="H111" i="4" s="1"/>
  <c r="L114" i="3" a="1"/>
  <c r="L114" i="3" s="1"/>
  <c r="G111" i="4" s="1"/>
  <c r="K114" i="3" a="1"/>
  <c r="K114" i="3" s="1"/>
  <c r="F111" i="4" s="1"/>
  <c r="J114" i="3" a="1"/>
  <c r="J114" i="3" s="1"/>
  <c r="E111" i="4" s="1"/>
  <c r="AD113" i="3" a="1"/>
  <c r="AD113" i="3" s="1"/>
  <c r="Y110" i="4" s="1"/>
  <c r="AC113" i="3" a="1"/>
  <c r="AC113" i="3" s="1"/>
  <c r="X110" i="4" s="1"/>
  <c r="AB113" i="3" a="1"/>
  <c r="AB113" i="3" s="1"/>
  <c r="W110" i="4" s="1"/>
  <c r="AA113" i="3" a="1"/>
  <c r="AA113" i="3" s="1"/>
  <c r="V110" i="4" s="1"/>
  <c r="Z113" i="3" a="1"/>
  <c r="Z113" i="3" s="1"/>
  <c r="U110" i="4" s="1"/>
  <c r="Y113" i="3" a="1"/>
  <c r="Y113" i="3" s="1"/>
  <c r="T110" i="4" s="1"/>
  <c r="X113" i="3" a="1"/>
  <c r="X113" i="3" s="1"/>
  <c r="S110" i="4" s="1"/>
  <c r="W113" i="3" a="1"/>
  <c r="W113" i="3" s="1"/>
  <c r="R110" i="4" s="1"/>
  <c r="V113" i="3" a="1"/>
  <c r="V113" i="3" s="1"/>
  <c r="Q110" i="4" s="1"/>
  <c r="U113" i="3" a="1"/>
  <c r="U113" i="3" s="1"/>
  <c r="P110" i="4" s="1"/>
  <c r="T113" i="3" a="1"/>
  <c r="T113" i="3" s="1"/>
  <c r="O110" i="4" s="1"/>
  <c r="S113" i="3" a="1"/>
  <c r="S113" i="3" s="1"/>
  <c r="N110" i="4" s="1"/>
  <c r="R113" i="3" a="1"/>
  <c r="R113" i="3" s="1"/>
  <c r="M110" i="4" s="1"/>
  <c r="Q113" i="3" a="1"/>
  <c r="Q113" i="3" s="1"/>
  <c r="L110" i="4" s="1"/>
  <c r="P113" i="3" a="1"/>
  <c r="P113" i="3" s="1"/>
  <c r="K110" i="4" s="1"/>
  <c r="O113" i="3" a="1"/>
  <c r="O113" i="3" s="1"/>
  <c r="J110" i="4" s="1"/>
  <c r="N113" i="3" a="1"/>
  <c r="N113" i="3" s="1"/>
  <c r="I110" i="4" s="1"/>
  <c r="M113" i="3" a="1"/>
  <c r="M113" i="3" s="1"/>
  <c r="H110" i="4" s="1"/>
  <c r="L113" i="3" a="1"/>
  <c r="L113" i="3" s="1"/>
  <c r="G110" i="4" s="1"/>
  <c r="K113" i="3" a="1"/>
  <c r="K113" i="3" s="1"/>
  <c r="F110" i="4" s="1"/>
  <c r="J113" i="3" a="1"/>
  <c r="J113" i="3" s="1"/>
  <c r="E110" i="4" s="1"/>
  <c r="AD112" i="3" a="1"/>
  <c r="AD112" i="3" s="1"/>
  <c r="Y109" i="4" s="1"/>
  <c r="AC112" i="3" a="1"/>
  <c r="AC112" i="3" s="1"/>
  <c r="X109" i="4" s="1"/>
  <c r="AB112" i="3" a="1"/>
  <c r="AB112" i="3" s="1"/>
  <c r="W109" i="4" s="1"/>
  <c r="AA112" i="3" a="1"/>
  <c r="AA112" i="3" s="1"/>
  <c r="V109" i="4" s="1"/>
  <c r="Z112" i="3" a="1"/>
  <c r="Z112" i="3" s="1"/>
  <c r="U109" i="4" s="1"/>
  <c r="Y112" i="3" a="1"/>
  <c r="Y112" i="3" s="1"/>
  <c r="T109" i="4" s="1"/>
  <c r="X112" i="3" a="1"/>
  <c r="X112" i="3" s="1"/>
  <c r="S109" i="4" s="1"/>
  <c r="W112" i="3" a="1"/>
  <c r="W112" i="3" s="1"/>
  <c r="R109" i="4" s="1"/>
  <c r="V112" i="3" a="1"/>
  <c r="V112" i="3" s="1"/>
  <c r="Q109" i="4" s="1"/>
  <c r="U112" i="3" a="1"/>
  <c r="U112" i="3" s="1"/>
  <c r="P109" i="4" s="1"/>
  <c r="T112" i="3" a="1"/>
  <c r="T112" i="3" s="1"/>
  <c r="O109" i="4" s="1"/>
  <c r="S112" i="3" a="1"/>
  <c r="S112" i="3" s="1"/>
  <c r="N109" i="4" s="1"/>
  <c r="R112" i="3" a="1"/>
  <c r="R112" i="3" s="1"/>
  <c r="M109" i="4" s="1"/>
  <c r="Q112" i="3" a="1"/>
  <c r="Q112" i="3" s="1"/>
  <c r="L109" i="4" s="1"/>
  <c r="P112" i="3" a="1"/>
  <c r="P112" i="3" s="1"/>
  <c r="K109" i="4" s="1"/>
  <c r="O112" i="3" a="1"/>
  <c r="O112" i="3" s="1"/>
  <c r="J109" i="4" s="1"/>
  <c r="N112" i="3" a="1"/>
  <c r="N112" i="3" s="1"/>
  <c r="I109" i="4" s="1"/>
  <c r="M112" i="3" a="1"/>
  <c r="M112" i="3" s="1"/>
  <c r="H109" i="4" s="1"/>
  <c r="L112" i="3" a="1"/>
  <c r="L112" i="3" s="1"/>
  <c r="G109" i="4" s="1"/>
  <c r="K112" i="3" a="1"/>
  <c r="K112" i="3" s="1"/>
  <c r="F109" i="4" s="1"/>
  <c r="J112" i="3" a="1"/>
  <c r="J112" i="3" s="1"/>
  <c r="E109" i="4" s="1"/>
  <c r="AD111" i="3" a="1"/>
  <c r="AD111" i="3" s="1"/>
  <c r="Y108" i="4" s="1"/>
  <c r="AC111" i="3" a="1"/>
  <c r="AC111" i="3" s="1"/>
  <c r="X108" i="4" s="1"/>
  <c r="AB111" i="3" a="1"/>
  <c r="AB111" i="3" s="1"/>
  <c r="W108" i="4" s="1"/>
  <c r="AA111" i="3" a="1"/>
  <c r="AA111" i="3" s="1"/>
  <c r="V108" i="4" s="1"/>
  <c r="Z111" i="3" a="1"/>
  <c r="Z111" i="3" s="1"/>
  <c r="U108" i="4" s="1"/>
  <c r="Y111" i="3" a="1"/>
  <c r="Y111" i="3" s="1"/>
  <c r="T108" i="4" s="1"/>
  <c r="X111" i="3" a="1"/>
  <c r="X111" i="3" s="1"/>
  <c r="S108" i="4" s="1"/>
  <c r="W111" i="3" a="1"/>
  <c r="W111" i="3" s="1"/>
  <c r="R108" i="4" s="1"/>
  <c r="V111" i="3" a="1"/>
  <c r="V111" i="3" s="1"/>
  <c r="Q108" i="4" s="1"/>
  <c r="U111" i="3" a="1"/>
  <c r="U111" i="3" s="1"/>
  <c r="P108" i="4" s="1"/>
  <c r="T111" i="3" a="1"/>
  <c r="T111" i="3" s="1"/>
  <c r="O108" i="4" s="1"/>
  <c r="S111" i="3" a="1"/>
  <c r="S111" i="3" s="1"/>
  <c r="N108" i="4" s="1"/>
  <c r="R111" i="3" a="1"/>
  <c r="R111" i="3" s="1"/>
  <c r="M108" i="4" s="1"/>
  <c r="Q111" i="3" a="1"/>
  <c r="Q111" i="3" s="1"/>
  <c r="L108" i="4" s="1"/>
  <c r="P111" i="3" a="1"/>
  <c r="P111" i="3" s="1"/>
  <c r="K108" i="4" s="1"/>
  <c r="O111" i="3" a="1"/>
  <c r="O111" i="3" s="1"/>
  <c r="J108" i="4" s="1"/>
  <c r="N111" i="3" a="1"/>
  <c r="N111" i="3" s="1"/>
  <c r="I108" i="4" s="1"/>
  <c r="M111" i="3" a="1"/>
  <c r="M111" i="3" s="1"/>
  <c r="H108" i="4" s="1"/>
  <c r="L111" i="3" a="1"/>
  <c r="L111" i="3" s="1"/>
  <c r="G108" i="4" s="1"/>
  <c r="K111" i="3" a="1"/>
  <c r="K111" i="3" s="1"/>
  <c r="F108" i="4" s="1"/>
  <c r="J111" i="3" a="1"/>
  <c r="J111" i="3" s="1"/>
  <c r="E108" i="4" s="1"/>
  <c r="AD110" i="3" a="1"/>
  <c r="AD110" i="3" s="1"/>
  <c r="Y107" i="4" s="1"/>
  <c r="AC110" i="3" a="1"/>
  <c r="AC110" i="3" s="1"/>
  <c r="X107" i="4" s="1"/>
  <c r="AB110" i="3" a="1"/>
  <c r="AB110" i="3" s="1"/>
  <c r="W107" i="4" s="1"/>
  <c r="AA110" i="3" a="1"/>
  <c r="AA110" i="3" s="1"/>
  <c r="V107" i="4" s="1"/>
  <c r="Z110" i="3" a="1"/>
  <c r="Z110" i="3" s="1"/>
  <c r="U107" i="4" s="1"/>
  <c r="Y110" i="3" a="1"/>
  <c r="Y110" i="3" s="1"/>
  <c r="T107" i="4" s="1"/>
  <c r="X110" i="3" a="1"/>
  <c r="X110" i="3" s="1"/>
  <c r="S107" i="4" s="1"/>
  <c r="W110" i="3" a="1"/>
  <c r="W110" i="3" s="1"/>
  <c r="R107" i="4" s="1"/>
  <c r="V110" i="3" a="1"/>
  <c r="V110" i="3" s="1"/>
  <c r="Q107" i="4" s="1"/>
  <c r="U110" i="3" a="1"/>
  <c r="U110" i="3" s="1"/>
  <c r="P107" i="4" s="1"/>
  <c r="T110" i="3" a="1"/>
  <c r="T110" i="3" s="1"/>
  <c r="O107" i="4" s="1"/>
  <c r="S110" i="3" a="1"/>
  <c r="S110" i="3" s="1"/>
  <c r="N107" i="4" s="1"/>
  <c r="R110" i="3" a="1"/>
  <c r="R110" i="3" s="1"/>
  <c r="M107" i="4" s="1"/>
  <c r="Q110" i="3" a="1"/>
  <c r="Q110" i="3" s="1"/>
  <c r="L107" i="4" s="1"/>
  <c r="P110" i="3" a="1"/>
  <c r="P110" i="3" s="1"/>
  <c r="K107" i="4" s="1"/>
  <c r="O110" i="3" a="1"/>
  <c r="O110" i="3" s="1"/>
  <c r="J107" i="4" s="1"/>
  <c r="N110" i="3" a="1"/>
  <c r="N110" i="3" s="1"/>
  <c r="I107" i="4" s="1"/>
  <c r="M110" i="3" a="1"/>
  <c r="M110" i="3" s="1"/>
  <c r="H107" i="4" s="1"/>
  <c r="L110" i="3" a="1"/>
  <c r="L110" i="3" s="1"/>
  <c r="G107" i="4" s="1"/>
  <c r="K110" i="3" a="1"/>
  <c r="K110" i="3" s="1"/>
  <c r="F107" i="4" s="1"/>
  <c r="J110" i="3" a="1"/>
  <c r="J110" i="3" s="1"/>
  <c r="E107" i="4" s="1"/>
  <c r="AD109" i="3" a="1"/>
  <c r="AD109" i="3" s="1"/>
  <c r="Y106" i="4" s="1"/>
  <c r="AC109" i="3" a="1"/>
  <c r="AC109" i="3" s="1"/>
  <c r="X106" i="4" s="1"/>
  <c r="AB109" i="3" a="1"/>
  <c r="AB109" i="3" s="1"/>
  <c r="W106" i="4" s="1"/>
  <c r="AA109" i="3" a="1"/>
  <c r="AA109" i="3" s="1"/>
  <c r="V106" i="4" s="1"/>
  <c r="Z109" i="3" a="1"/>
  <c r="Z109" i="3" s="1"/>
  <c r="U106" i="4" s="1"/>
  <c r="Y109" i="3" a="1"/>
  <c r="Y109" i="3" s="1"/>
  <c r="T106" i="4" s="1"/>
  <c r="X109" i="3" a="1"/>
  <c r="X109" i="3" s="1"/>
  <c r="S106" i="4" s="1"/>
  <c r="W109" i="3" a="1"/>
  <c r="W109" i="3" s="1"/>
  <c r="R106" i="4" s="1"/>
  <c r="V109" i="3" a="1"/>
  <c r="V109" i="3" s="1"/>
  <c r="Q106" i="4" s="1"/>
  <c r="U109" i="3" a="1"/>
  <c r="U109" i="3" s="1"/>
  <c r="P106" i="4" s="1"/>
  <c r="T109" i="3" a="1"/>
  <c r="T109" i="3" s="1"/>
  <c r="O106" i="4" s="1"/>
  <c r="S109" i="3" a="1"/>
  <c r="S109" i="3" s="1"/>
  <c r="N106" i="4" s="1"/>
  <c r="R109" i="3" a="1"/>
  <c r="R109" i="3" s="1"/>
  <c r="M106" i="4" s="1"/>
  <c r="Q109" i="3" a="1"/>
  <c r="Q109" i="3" s="1"/>
  <c r="L106" i="4" s="1"/>
  <c r="P109" i="3" a="1"/>
  <c r="P109" i="3" s="1"/>
  <c r="K106" i="4" s="1"/>
  <c r="O109" i="3" a="1"/>
  <c r="O109" i="3" s="1"/>
  <c r="J106" i="4" s="1"/>
  <c r="N109" i="3" a="1"/>
  <c r="N109" i="3" s="1"/>
  <c r="I106" i="4" s="1"/>
  <c r="M109" i="3" a="1"/>
  <c r="M109" i="3" s="1"/>
  <c r="H106" i="4" s="1"/>
  <c r="L109" i="3" a="1"/>
  <c r="L109" i="3" s="1"/>
  <c r="G106" i="4" s="1"/>
  <c r="K109" i="3" a="1"/>
  <c r="K109" i="3" s="1"/>
  <c r="F106" i="4" s="1"/>
  <c r="J109" i="3" a="1"/>
  <c r="J109" i="3" s="1"/>
  <c r="E106" i="4" s="1"/>
  <c r="AD108" i="3" a="1"/>
  <c r="AD108" i="3" s="1"/>
  <c r="Y105" i="4" s="1"/>
  <c r="AC108" i="3" a="1"/>
  <c r="AC108" i="3" s="1"/>
  <c r="X105" i="4" s="1"/>
  <c r="AB108" i="3" a="1"/>
  <c r="AB108" i="3" s="1"/>
  <c r="W105" i="4" s="1"/>
  <c r="AA108" i="3" a="1"/>
  <c r="AA108" i="3" s="1"/>
  <c r="V105" i="4" s="1"/>
  <c r="Z108" i="3" a="1"/>
  <c r="Z108" i="3" s="1"/>
  <c r="U105" i="4" s="1"/>
  <c r="Y108" i="3" a="1"/>
  <c r="Y108" i="3" s="1"/>
  <c r="T105" i="4" s="1"/>
  <c r="X108" i="3" a="1"/>
  <c r="X108" i="3" s="1"/>
  <c r="S105" i="4" s="1"/>
  <c r="W108" i="3" a="1"/>
  <c r="W108" i="3" s="1"/>
  <c r="R105" i="4" s="1"/>
  <c r="V108" i="3" a="1"/>
  <c r="V108" i="3" s="1"/>
  <c r="Q105" i="4" s="1"/>
  <c r="U108" i="3" a="1"/>
  <c r="U108" i="3" s="1"/>
  <c r="P105" i="4" s="1"/>
  <c r="T108" i="3" a="1"/>
  <c r="T108" i="3" s="1"/>
  <c r="O105" i="4" s="1"/>
  <c r="S108" i="3" a="1"/>
  <c r="S108" i="3" s="1"/>
  <c r="N105" i="4" s="1"/>
  <c r="R108" i="3" a="1"/>
  <c r="R108" i="3" s="1"/>
  <c r="M105" i="4" s="1"/>
  <c r="Q108" i="3" a="1"/>
  <c r="Q108" i="3" s="1"/>
  <c r="L105" i="4" s="1"/>
  <c r="P108" i="3" a="1"/>
  <c r="P108" i="3" s="1"/>
  <c r="K105" i="4" s="1"/>
  <c r="O108" i="3" a="1"/>
  <c r="O108" i="3" s="1"/>
  <c r="J105" i="4" s="1"/>
  <c r="N108" i="3" a="1"/>
  <c r="N108" i="3" s="1"/>
  <c r="I105" i="4" s="1"/>
  <c r="M108" i="3" a="1"/>
  <c r="M108" i="3" s="1"/>
  <c r="H105" i="4" s="1"/>
  <c r="L108" i="3" a="1"/>
  <c r="L108" i="3" s="1"/>
  <c r="G105" i="4" s="1"/>
  <c r="K108" i="3" a="1"/>
  <c r="K108" i="3" s="1"/>
  <c r="F105" i="4" s="1"/>
  <c r="J108" i="3" a="1"/>
  <c r="J108" i="3" s="1"/>
  <c r="E105" i="4" s="1"/>
  <c r="AD107" i="3" a="1"/>
  <c r="AD107" i="3" s="1"/>
  <c r="Y104" i="4" s="1"/>
  <c r="AC107" i="3" a="1"/>
  <c r="AC107" i="3" s="1"/>
  <c r="X104" i="4" s="1"/>
  <c r="AB107" i="3" a="1"/>
  <c r="AB107" i="3" s="1"/>
  <c r="W104" i="4" s="1"/>
  <c r="AA107" i="3" a="1"/>
  <c r="AA107" i="3" s="1"/>
  <c r="V104" i="4" s="1"/>
  <c r="Z107" i="3" a="1"/>
  <c r="Z107" i="3" s="1"/>
  <c r="U104" i="4" s="1"/>
  <c r="Y107" i="3" a="1"/>
  <c r="Y107" i="3" s="1"/>
  <c r="T104" i="4" s="1"/>
  <c r="X107" i="3" a="1"/>
  <c r="X107" i="3" s="1"/>
  <c r="S104" i="4" s="1"/>
  <c r="W107" i="3" a="1"/>
  <c r="W107" i="3" s="1"/>
  <c r="R104" i="4" s="1"/>
  <c r="V107" i="3" a="1"/>
  <c r="V107" i="3" s="1"/>
  <c r="Q104" i="4" s="1"/>
  <c r="U107" i="3" a="1"/>
  <c r="U107" i="3" s="1"/>
  <c r="P104" i="4" s="1"/>
  <c r="T107" i="3" a="1"/>
  <c r="T107" i="3" s="1"/>
  <c r="O104" i="4" s="1"/>
  <c r="S107" i="3" a="1"/>
  <c r="S107" i="3" s="1"/>
  <c r="N104" i="4" s="1"/>
  <c r="R107" i="3" a="1"/>
  <c r="R107" i="3" s="1"/>
  <c r="M104" i="4" s="1"/>
  <c r="Q107" i="3" a="1"/>
  <c r="Q107" i="3" s="1"/>
  <c r="L104" i="4" s="1"/>
  <c r="P107" i="3" a="1"/>
  <c r="P107" i="3" s="1"/>
  <c r="K104" i="4" s="1"/>
  <c r="O107" i="3" a="1"/>
  <c r="O107" i="3" s="1"/>
  <c r="J104" i="4" s="1"/>
  <c r="N107" i="3" a="1"/>
  <c r="N107" i="3" s="1"/>
  <c r="I104" i="4" s="1"/>
  <c r="M107" i="3" a="1"/>
  <c r="M107" i="3" s="1"/>
  <c r="H104" i="4" s="1"/>
  <c r="L107" i="3" a="1"/>
  <c r="L107" i="3" s="1"/>
  <c r="G104" i="4" s="1"/>
  <c r="K107" i="3" a="1"/>
  <c r="K107" i="3" s="1"/>
  <c r="F104" i="4" s="1"/>
  <c r="J107" i="3" a="1"/>
  <c r="J107" i="3" s="1"/>
  <c r="E104" i="4" s="1"/>
  <c r="AD106" i="3" a="1"/>
  <c r="AD106" i="3" s="1"/>
  <c r="Y103" i="4" s="1"/>
  <c r="AC106" i="3" a="1"/>
  <c r="AC106" i="3" s="1"/>
  <c r="X103" i="4" s="1"/>
  <c r="AB106" i="3" a="1"/>
  <c r="AB106" i="3" s="1"/>
  <c r="W103" i="4" s="1"/>
  <c r="AA106" i="3" a="1"/>
  <c r="AA106" i="3" s="1"/>
  <c r="V103" i="4" s="1"/>
  <c r="Z106" i="3" a="1"/>
  <c r="Z106" i="3" s="1"/>
  <c r="U103" i="4" s="1"/>
  <c r="Y106" i="3" a="1"/>
  <c r="Y106" i="3" s="1"/>
  <c r="T103" i="4" s="1"/>
  <c r="X106" i="3" a="1"/>
  <c r="X106" i="3" s="1"/>
  <c r="S103" i="4" s="1"/>
  <c r="W106" i="3" a="1"/>
  <c r="W106" i="3" s="1"/>
  <c r="R103" i="4" s="1"/>
  <c r="V106" i="3" a="1"/>
  <c r="V106" i="3" s="1"/>
  <c r="Q103" i="4" s="1"/>
  <c r="U106" i="3" a="1"/>
  <c r="U106" i="3" s="1"/>
  <c r="P103" i="4" s="1"/>
  <c r="T106" i="3" a="1"/>
  <c r="T106" i="3" s="1"/>
  <c r="O103" i="4" s="1"/>
  <c r="S106" i="3" a="1"/>
  <c r="S106" i="3" s="1"/>
  <c r="N103" i="4" s="1"/>
  <c r="R106" i="3" a="1"/>
  <c r="R106" i="3" s="1"/>
  <c r="M103" i="4" s="1"/>
  <c r="Q106" i="3" a="1"/>
  <c r="Q106" i="3" s="1"/>
  <c r="L103" i="4" s="1"/>
  <c r="P106" i="3" a="1"/>
  <c r="P106" i="3" s="1"/>
  <c r="K103" i="4" s="1"/>
  <c r="O106" i="3" a="1"/>
  <c r="O106" i="3" s="1"/>
  <c r="J103" i="4" s="1"/>
  <c r="N106" i="3" a="1"/>
  <c r="N106" i="3" s="1"/>
  <c r="I103" i="4" s="1"/>
  <c r="M106" i="3" a="1"/>
  <c r="M106" i="3" s="1"/>
  <c r="H103" i="4" s="1"/>
  <c r="L106" i="3" a="1"/>
  <c r="L106" i="3" s="1"/>
  <c r="G103" i="4" s="1"/>
  <c r="K106" i="3" a="1"/>
  <c r="K106" i="3" s="1"/>
  <c r="F103" i="4" s="1"/>
  <c r="J106" i="3" a="1"/>
  <c r="J106" i="3" s="1"/>
  <c r="E103" i="4" s="1"/>
  <c r="AD105" i="3" a="1"/>
  <c r="AD105" i="3" s="1"/>
  <c r="Y102" i="4" s="1"/>
  <c r="AC105" i="3" a="1"/>
  <c r="AC105" i="3" s="1"/>
  <c r="X102" i="4" s="1"/>
  <c r="AB105" i="3" a="1"/>
  <c r="AB105" i="3" s="1"/>
  <c r="W102" i="4" s="1"/>
  <c r="AA105" i="3" a="1"/>
  <c r="AA105" i="3" s="1"/>
  <c r="V102" i="4" s="1"/>
  <c r="Z105" i="3" a="1"/>
  <c r="Z105" i="3" s="1"/>
  <c r="U102" i="4" s="1"/>
  <c r="Y105" i="3" a="1"/>
  <c r="Y105" i="3" s="1"/>
  <c r="T102" i="4" s="1"/>
  <c r="X105" i="3" a="1"/>
  <c r="X105" i="3" s="1"/>
  <c r="S102" i="4" s="1"/>
  <c r="W105" i="3" a="1"/>
  <c r="W105" i="3" s="1"/>
  <c r="R102" i="4" s="1"/>
  <c r="V105" i="3" a="1"/>
  <c r="V105" i="3" s="1"/>
  <c r="Q102" i="4" s="1"/>
  <c r="U105" i="3" a="1"/>
  <c r="U105" i="3" s="1"/>
  <c r="P102" i="4" s="1"/>
  <c r="T105" i="3" a="1"/>
  <c r="T105" i="3" s="1"/>
  <c r="O102" i="4" s="1"/>
  <c r="S105" i="3" a="1"/>
  <c r="S105" i="3" s="1"/>
  <c r="N102" i="4" s="1"/>
  <c r="R105" i="3" a="1"/>
  <c r="R105" i="3" s="1"/>
  <c r="M102" i="4" s="1"/>
  <c r="Q105" i="3" a="1"/>
  <c r="Q105" i="3" s="1"/>
  <c r="L102" i="4" s="1"/>
  <c r="P105" i="3" a="1"/>
  <c r="P105" i="3" s="1"/>
  <c r="K102" i="4" s="1"/>
  <c r="O105" i="3" a="1"/>
  <c r="O105" i="3" s="1"/>
  <c r="J102" i="4" s="1"/>
  <c r="N105" i="3" a="1"/>
  <c r="N105" i="3" s="1"/>
  <c r="I102" i="4" s="1"/>
  <c r="M105" i="3" a="1"/>
  <c r="M105" i="3" s="1"/>
  <c r="H102" i="4" s="1"/>
  <c r="L105" i="3" a="1"/>
  <c r="L105" i="3" s="1"/>
  <c r="G102" i="4" s="1"/>
  <c r="K105" i="3" a="1"/>
  <c r="K105" i="3" s="1"/>
  <c r="F102" i="4" s="1"/>
  <c r="J105" i="3" a="1"/>
  <c r="J105" i="3" s="1"/>
  <c r="E102" i="4" s="1"/>
  <c r="AD104" i="3" a="1"/>
  <c r="AD104" i="3" s="1"/>
  <c r="Y101" i="4" s="1"/>
  <c r="AC104" i="3" a="1"/>
  <c r="AC104" i="3" s="1"/>
  <c r="X101" i="4" s="1"/>
  <c r="AB104" i="3" a="1"/>
  <c r="AB104" i="3" s="1"/>
  <c r="W101" i="4" s="1"/>
  <c r="AA104" i="3" a="1"/>
  <c r="AA104" i="3" s="1"/>
  <c r="V101" i="4" s="1"/>
  <c r="Z104" i="3" a="1"/>
  <c r="Z104" i="3" s="1"/>
  <c r="U101" i="4" s="1"/>
  <c r="Y104" i="3" a="1"/>
  <c r="Y104" i="3" s="1"/>
  <c r="T101" i="4" s="1"/>
  <c r="X104" i="3" a="1"/>
  <c r="X104" i="3" s="1"/>
  <c r="S101" i="4" s="1"/>
  <c r="W104" i="3" a="1"/>
  <c r="W104" i="3" s="1"/>
  <c r="R101" i="4" s="1"/>
  <c r="V104" i="3" a="1"/>
  <c r="V104" i="3" s="1"/>
  <c r="Q101" i="4" s="1"/>
  <c r="U104" i="3" a="1"/>
  <c r="U104" i="3" s="1"/>
  <c r="P101" i="4" s="1"/>
  <c r="T104" i="3" a="1"/>
  <c r="T104" i="3" s="1"/>
  <c r="O101" i="4" s="1"/>
  <c r="S104" i="3" a="1"/>
  <c r="S104" i="3" s="1"/>
  <c r="N101" i="4" s="1"/>
  <c r="R104" i="3" a="1"/>
  <c r="R104" i="3" s="1"/>
  <c r="M101" i="4" s="1"/>
  <c r="Q104" i="3" a="1"/>
  <c r="Q104" i="3" s="1"/>
  <c r="L101" i="4" s="1"/>
  <c r="P104" i="3" a="1"/>
  <c r="P104" i="3" s="1"/>
  <c r="K101" i="4" s="1"/>
  <c r="O104" i="3" a="1"/>
  <c r="O104" i="3" s="1"/>
  <c r="J101" i="4" s="1"/>
  <c r="N104" i="3" a="1"/>
  <c r="N104" i="3" s="1"/>
  <c r="I101" i="4" s="1"/>
  <c r="M104" i="3" a="1"/>
  <c r="M104" i="3" s="1"/>
  <c r="H101" i="4" s="1"/>
  <c r="L104" i="3" a="1"/>
  <c r="L104" i="3" s="1"/>
  <c r="G101" i="4" s="1"/>
  <c r="K104" i="3" a="1"/>
  <c r="K104" i="3" s="1"/>
  <c r="F101" i="4" s="1"/>
  <c r="J104" i="3" a="1"/>
  <c r="J104" i="3" s="1"/>
  <c r="E101" i="4" s="1"/>
  <c r="AD103" i="3" a="1"/>
  <c r="AD103" i="3" s="1"/>
  <c r="Y100" i="4" s="1"/>
  <c r="AC103" i="3" a="1"/>
  <c r="AC103" i="3" s="1"/>
  <c r="X100" i="4" s="1"/>
  <c r="AB103" i="3" a="1"/>
  <c r="AB103" i="3" s="1"/>
  <c r="W100" i="4" s="1"/>
  <c r="AA103" i="3" a="1"/>
  <c r="AA103" i="3" s="1"/>
  <c r="V100" i="4" s="1"/>
  <c r="Z103" i="3" a="1"/>
  <c r="Z103" i="3" s="1"/>
  <c r="U100" i="4" s="1"/>
  <c r="Y103" i="3" a="1"/>
  <c r="Y103" i="3" s="1"/>
  <c r="T100" i="4" s="1"/>
  <c r="X103" i="3" a="1"/>
  <c r="X103" i="3" s="1"/>
  <c r="S100" i="4" s="1"/>
  <c r="W103" i="3" a="1"/>
  <c r="W103" i="3" s="1"/>
  <c r="R100" i="4" s="1"/>
  <c r="V103" i="3" a="1"/>
  <c r="V103" i="3" s="1"/>
  <c r="Q100" i="4" s="1"/>
  <c r="U103" i="3" a="1"/>
  <c r="U103" i="3" s="1"/>
  <c r="P100" i="4" s="1"/>
  <c r="T103" i="3" a="1"/>
  <c r="T103" i="3" s="1"/>
  <c r="O100" i="4" s="1"/>
  <c r="S103" i="3" a="1"/>
  <c r="S103" i="3" s="1"/>
  <c r="N100" i="4" s="1"/>
  <c r="R103" i="3" a="1"/>
  <c r="R103" i="3" s="1"/>
  <c r="M100" i="4" s="1"/>
  <c r="Q103" i="3" a="1"/>
  <c r="Q103" i="3" s="1"/>
  <c r="L100" i="4" s="1"/>
  <c r="P103" i="3" a="1"/>
  <c r="P103" i="3" s="1"/>
  <c r="K100" i="4" s="1"/>
  <c r="O103" i="3" a="1"/>
  <c r="O103" i="3" s="1"/>
  <c r="J100" i="4" s="1"/>
  <c r="N103" i="3" a="1"/>
  <c r="N103" i="3" s="1"/>
  <c r="I100" i="4" s="1"/>
  <c r="M103" i="3" a="1"/>
  <c r="M103" i="3" s="1"/>
  <c r="H100" i="4" s="1"/>
  <c r="L103" i="3" a="1"/>
  <c r="L103" i="3" s="1"/>
  <c r="G100" i="4" s="1"/>
  <c r="K103" i="3" a="1"/>
  <c r="K103" i="3" s="1"/>
  <c r="F100" i="4" s="1"/>
  <c r="J103" i="3" a="1"/>
  <c r="J103" i="3" s="1"/>
  <c r="E100" i="4" s="1"/>
  <c r="AD102" i="3" a="1"/>
  <c r="AD102" i="3" s="1"/>
  <c r="Y99" i="4" s="1"/>
  <c r="AC102" i="3" a="1"/>
  <c r="AC102" i="3" s="1"/>
  <c r="X99" i="4" s="1"/>
  <c r="AB102" i="3" a="1"/>
  <c r="AB102" i="3" s="1"/>
  <c r="W99" i="4" s="1"/>
  <c r="AA102" i="3" a="1"/>
  <c r="AA102" i="3" s="1"/>
  <c r="V99" i="4" s="1"/>
  <c r="Z102" i="3" a="1"/>
  <c r="Z102" i="3" s="1"/>
  <c r="U99" i="4" s="1"/>
  <c r="Y102" i="3" a="1"/>
  <c r="Y102" i="3" s="1"/>
  <c r="T99" i="4" s="1"/>
  <c r="X102" i="3" a="1"/>
  <c r="X102" i="3" s="1"/>
  <c r="S99" i="4" s="1"/>
  <c r="W102" i="3" a="1"/>
  <c r="W102" i="3" s="1"/>
  <c r="R99" i="4" s="1"/>
  <c r="V102" i="3" a="1"/>
  <c r="V102" i="3" s="1"/>
  <c r="Q99" i="4" s="1"/>
  <c r="U102" i="3" a="1"/>
  <c r="U102" i="3" s="1"/>
  <c r="P99" i="4" s="1"/>
  <c r="T102" i="3" a="1"/>
  <c r="T102" i="3" s="1"/>
  <c r="O99" i="4" s="1"/>
  <c r="S102" i="3" a="1"/>
  <c r="S102" i="3" s="1"/>
  <c r="N99" i="4" s="1"/>
  <c r="R102" i="3" a="1"/>
  <c r="R102" i="3" s="1"/>
  <c r="M99" i="4" s="1"/>
  <c r="Q102" i="3" a="1"/>
  <c r="Q102" i="3" s="1"/>
  <c r="L99" i="4" s="1"/>
  <c r="P102" i="3" a="1"/>
  <c r="P102" i="3" s="1"/>
  <c r="K99" i="4" s="1"/>
  <c r="O102" i="3" a="1"/>
  <c r="O102" i="3" s="1"/>
  <c r="J99" i="4" s="1"/>
  <c r="N102" i="3" a="1"/>
  <c r="N102" i="3" s="1"/>
  <c r="I99" i="4" s="1"/>
  <c r="M102" i="3" a="1"/>
  <c r="M102" i="3" s="1"/>
  <c r="H99" i="4" s="1"/>
  <c r="L102" i="3" a="1"/>
  <c r="L102" i="3" s="1"/>
  <c r="G99" i="4" s="1"/>
  <c r="K102" i="3" a="1"/>
  <c r="K102" i="3" s="1"/>
  <c r="F99" i="4" s="1"/>
  <c r="J102" i="3" a="1"/>
  <c r="J102" i="3" s="1"/>
  <c r="E99" i="4" s="1"/>
  <c r="AD101" i="3" a="1"/>
  <c r="AD101" i="3" s="1"/>
  <c r="Y98" i="4" s="1"/>
  <c r="AC101" i="3" a="1"/>
  <c r="AC101" i="3" s="1"/>
  <c r="X98" i="4" s="1"/>
  <c r="AB101" i="3" a="1"/>
  <c r="AB101" i="3" s="1"/>
  <c r="W98" i="4" s="1"/>
  <c r="AA101" i="3" a="1"/>
  <c r="AA101" i="3" s="1"/>
  <c r="V98" i="4" s="1"/>
  <c r="Z101" i="3" a="1"/>
  <c r="Z101" i="3" s="1"/>
  <c r="U98" i="4" s="1"/>
  <c r="Y101" i="3" a="1"/>
  <c r="Y101" i="3" s="1"/>
  <c r="T98" i="4" s="1"/>
  <c r="X101" i="3" a="1"/>
  <c r="X101" i="3" s="1"/>
  <c r="S98" i="4" s="1"/>
  <c r="W101" i="3" a="1"/>
  <c r="W101" i="3" s="1"/>
  <c r="R98" i="4" s="1"/>
  <c r="V101" i="3" a="1"/>
  <c r="V101" i="3" s="1"/>
  <c r="Q98" i="4" s="1"/>
  <c r="U101" i="3" a="1"/>
  <c r="U101" i="3" s="1"/>
  <c r="P98" i="4" s="1"/>
  <c r="T101" i="3" a="1"/>
  <c r="T101" i="3" s="1"/>
  <c r="O98" i="4" s="1"/>
  <c r="S101" i="3" a="1"/>
  <c r="S101" i="3" s="1"/>
  <c r="N98" i="4" s="1"/>
  <c r="R101" i="3" a="1"/>
  <c r="R101" i="3" s="1"/>
  <c r="M98" i="4" s="1"/>
  <c r="Q101" i="3" a="1"/>
  <c r="Q101" i="3" s="1"/>
  <c r="L98" i="4" s="1"/>
  <c r="P101" i="3" a="1"/>
  <c r="P101" i="3" s="1"/>
  <c r="K98" i="4" s="1"/>
  <c r="O101" i="3" a="1"/>
  <c r="O101" i="3" s="1"/>
  <c r="J98" i="4" s="1"/>
  <c r="N101" i="3" a="1"/>
  <c r="N101" i="3" s="1"/>
  <c r="I98" i="4" s="1"/>
  <c r="M101" i="3" a="1"/>
  <c r="M101" i="3" s="1"/>
  <c r="H98" i="4" s="1"/>
  <c r="L101" i="3" a="1"/>
  <c r="L101" i="3" s="1"/>
  <c r="G98" i="4" s="1"/>
  <c r="K101" i="3" a="1"/>
  <c r="K101" i="3" s="1"/>
  <c r="F98" i="4" s="1"/>
  <c r="J101" i="3" a="1"/>
  <c r="J101" i="3" s="1"/>
  <c r="E98" i="4" s="1"/>
  <c r="AD100" i="3" a="1"/>
  <c r="AD100" i="3" s="1"/>
  <c r="Y97" i="4" s="1"/>
  <c r="AC100" i="3" a="1"/>
  <c r="AC100" i="3" s="1"/>
  <c r="X97" i="4" s="1"/>
  <c r="AB100" i="3" a="1"/>
  <c r="AB100" i="3" s="1"/>
  <c r="W97" i="4" s="1"/>
  <c r="AA100" i="3" a="1"/>
  <c r="AA100" i="3" s="1"/>
  <c r="V97" i="4" s="1"/>
  <c r="Z100" i="3" a="1"/>
  <c r="Z100" i="3" s="1"/>
  <c r="U97" i="4" s="1"/>
  <c r="Y100" i="3" a="1"/>
  <c r="Y100" i="3" s="1"/>
  <c r="T97" i="4" s="1"/>
  <c r="X100" i="3" a="1"/>
  <c r="X100" i="3" s="1"/>
  <c r="S97" i="4" s="1"/>
  <c r="W100" i="3" a="1"/>
  <c r="W100" i="3" s="1"/>
  <c r="R97" i="4" s="1"/>
  <c r="V100" i="3" a="1"/>
  <c r="V100" i="3" s="1"/>
  <c r="Q97" i="4" s="1"/>
  <c r="U100" i="3" a="1"/>
  <c r="U100" i="3" s="1"/>
  <c r="P97" i="4" s="1"/>
  <c r="T100" i="3" a="1"/>
  <c r="T100" i="3" s="1"/>
  <c r="O97" i="4" s="1"/>
  <c r="S100" i="3" a="1"/>
  <c r="S100" i="3" s="1"/>
  <c r="N97" i="4" s="1"/>
  <c r="R100" i="3" a="1"/>
  <c r="R100" i="3" s="1"/>
  <c r="M97" i="4" s="1"/>
  <c r="Q100" i="3" a="1"/>
  <c r="Q100" i="3" s="1"/>
  <c r="L97" i="4" s="1"/>
  <c r="P100" i="3" a="1"/>
  <c r="P100" i="3" s="1"/>
  <c r="K97" i="4" s="1"/>
  <c r="O100" i="3" a="1"/>
  <c r="O100" i="3" s="1"/>
  <c r="J97" i="4" s="1"/>
  <c r="N100" i="3" a="1"/>
  <c r="N100" i="3" s="1"/>
  <c r="I97" i="4" s="1"/>
  <c r="M100" i="3" a="1"/>
  <c r="M100" i="3" s="1"/>
  <c r="H97" i="4" s="1"/>
  <c r="L100" i="3" a="1"/>
  <c r="L100" i="3" s="1"/>
  <c r="G97" i="4" s="1"/>
  <c r="K100" i="3" a="1"/>
  <c r="K100" i="3" s="1"/>
  <c r="F97" i="4" s="1"/>
  <c r="J100" i="3" a="1"/>
  <c r="J100" i="3" s="1"/>
  <c r="E97" i="4" s="1"/>
  <c r="AD99" i="3" a="1"/>
  <c r="AD99" i="3" s="1"/>
  <c r="Y96" i="4" s="1"/>
  <c r="AC99" i="3" a="1"/>
  <c r="AC99" i="3" s="1"/>
  <c r="X96" i="4" s="1"/>
  <c r="AB99" i="3" a="1"/>
  <c r="AB99" i="3" s="1"/>
  <c r="W96" i="4" s="1"/>
  <c r="AA99" i="3" a="1"/>
  <c r="AA99" i="3" s="1"/>
  <c r="V96" i="4" s="1"/>
  <c r="Z99" i="3" a="1"/>
  <c r="Z99" i="3" s="1"/>
  <c r="U96" i="4" s="1"/>
  <c r="Y99" i="3" a="1"/>
  <c r="Y99" i="3" s="1"/>
  <c r="T96" i="4" s="1"/>
  <c r="X99" i="3" a="1"/>
  <c r="X99" i="3" s="1"/>
  <c r="S96" i="4" s="1"/>
  <c r="W99" i="3" a="1"/>
  <c r="W99" i="3" s="1"/>
  <c r="R96" i="4" s="1"/>
  <c r="V99" i="3" a="1"/>
  <c r="V99" i="3" s="1"/>
  <c r="Q96" i="4" s="1"/>
  <c r="U99" i="3" a="1"/>
  <c r="U99" i="3" s="1"/>
  <c r="P96" i="4" s="1"/>
  <c r="T99" i="3" a="1"/>
  <c r="T99" i="3" s="1"/>
  <c r="O96" i="4" s="1"/>
  <c r="S99" i="3" a="1"/>
  <c r="S99" i="3" s="1"/>
  <c r="N96" i="4" s="1"/>
  <c r="R99" i="3" a="1"/>
  <c r="R99" i="3" s="1"/>
  <c r="M96" i="4" s="1"/>
  <c r="Q99" i="3" a="1"/>
  <c r="Q99" i="3" s="1"/>
  <c r="L96" i="4" s="1"/>
  <c r="P99" i="3" a="1"/>
  <c r="P99" i="3" s="1"/>
  <c r="K96" i="4" s="1"/>
  <c r="O99" i="3" a="1"/>
  <c r="O99" i="3" s="1"/>
  <c r="J96" i="4" s="1"/>
  <c r="N99" i="3" a="1"/>
  <c r="N99" i="3" s="1"/>
  <c r="I96" i="4" s="1"/>
  <c r="M99" i="3" a="1"/>
  <c r="M99" i="3" s="1"/>
  <c r="H96" i="4" s="1"/>
  <c r="L99" i="3" a="1"/>
  <c r="L99" i="3" s="1"/>
  <c r="G96" i="4" s="1"/>
  <c r="K99" i="3" a="1"/>
  <c r="K99" i="3" s="1"/>
  <c r="F96" i="4" s="1"/>
  <c r="J99" i="3" a="1"/>
  <c r="J99" i="3" s="1"/>
  <c r="E96" i="4" s="1"/>
  <c r="AD98" i="3" a="1"/>
  <c r="AD98" i="3" s="1"/>
  <c r="Y95" i="4" s="1"/>
  <c r="AC98" i="3" a="1"/>
  <c r="AC98" i="3" s="1"/>
  <c r="X95" i="4" s="1"/>
  <c r="AB98" i="3" a="1"/>
  <c r="AB98" i="3" s="1"/>
  <c r="W95" i="4" s="1"/>
  <c r="AA98" i="3" a="1"/>
  <c r="AA98" i="3" s="1"/>
  <c r="V95" i="4" s="1"/>
  <c r="Z98" i="3" a="1"/>
  <c r="Z98" i="3" s="1"/>
  <c r="U95" i="4" s="1"/>
  <c r="Y98" i="3" a="1"/>
  <c r="Y98" i="3" s="1"/>
  <c r="T95" i="4" s="1"/>
  <c r="X98" i="3" a="1"/>
  <c r="X98" i="3" s="1"/>
  <c r="S95" i="4" s="1"/>
  <c r="W98" i="3" a="1"/>
  <c r="W98" i="3" s="1"/>
  <c r="R95" i="4" s="1"/>
  <c r="V98" i="3" a="1"/>
  <c r="V98" i="3" s="1"/>
  <c r="Q95" i="4" s="1"/>
  <c r="U98" i="3" a="1"/>
  <c r="U98" i="3" s="1"/>
  <c r="P95" i="4" s="1"/>
  <c r="T98" i="3" a="1"/>
  <c r="T98" i="3" s="1"/>
  <c r="O95" i="4" s="1"/>
  <c r="S98" i="3" a="1"/>
  <c r="S98" i="3" s="1"/>
  <c r="N95" i="4" s="1"/>
  <c r="R98" i="3" a="1"/>
  <c r="R98" i="3" s="1"/>
  <c r="M95" i="4" s="1"/>
  <c r="Q98" i="3" a="1"/>
  <c r="Q98" i="3" s="1"/>
  <c r="L95" i="4" s="1"/>
  <c r="P98" i="3" a="1"/>
  <c r="P98" i="3" s="1"/>
  <c r="K95" i="4" s="1"/>
  <c r="O98" i="3" a="1"/>
  <c r="O98" i="3" s="1"/>
  <c r="J95" i="4" s="1"/>
  <c r="N98" i="3" a="1"/>
  <c r="N98" i="3" s="1"/>
  <c r="I95" i="4" s="1"/>
  <c r="M98" i="3" a="1"/>
  <c r="M98" i="3" s="1"/>
  <c r="H95" i="4" s="1"/>
  <c r="L98" i="3" a="1"/>
  <c r="L98" i="3" s="1"/>
  <c r="G95" i="4" s="1"/>
  <c r="K98" i="3" a="1"/>
  <c r="K98" i="3" s="1"/>
  <c r="F95" i="4" s="1"/>
  <c r="J98" i="3" a="1"/>
  <c r="J98" i="3" s="1"/>
  <c r="E95" i="4" s="1"/>
  <c r="AD97" i="3" a="1"/>
  <c r="AD97" i="3" s="1"/>
  <c r="Y94" i="4" s="1"/>
  <c r="AC97" i="3" a="1"/>
  <c r="AC97" i="3" s="1"/>
  <c r="X94" i="4" s="1"/>
  <c r="AB97" i="3" a="1"/>
  <c r="AB97" i="3" s="1"/>
  <c r="W94" i="4" s="1"/>
  <c r="AA97" i="3" a="1"/>
  <c r="AA97" i="3" s="1"/>
  <c r="V94" i="4" s="1"/>
  <c r="Z97" i="3" a="1"/>
  <c r="Z97" i="3" s="1"/>
  <c r="U94" i="4" s="1"/>
  <c r="Y97" i="3" a="1"/>
  <c r="Y97" i="3" s="1"/>
  <c r="T94" i="4" s="1"/>
  <c r="X97" i="3" a="1"/>
  <c r="X97" i="3" s="1"/>
  <c r="S94" i="4" s="1"/>
  <c r="W97" i="3" a="1"/>
  <c r="W97" i="3" s="1"/>
  <c r="R94" i="4" s="1"/>
  <c r="V97" i="3" a="1"/>
  <c r="V97" i="3" s="1"/>
  <c r="Q94" i="4" s="1"/>
  <c r="U97" i="3" a="1"/>
  <c r="U97" i="3" s="1"/>
  <c r="P94" i="4" s="1"/>
  <c r="T97" i="3" a="1"/>
  <c r="T97" i="3" s="1"/>
  <c r="O94" i="4" s="1"/>
  <c r="S97" i="3" a="1"/>
  <c r="S97" i="3" s="1"/>
  <c r="N94" i="4" s="1"/>
  <c r="R97" i="3" a="1"/>
  <c r="R97" i="3" s="1"/>
  <c r="M94" i="4" s="1"/>
  <c r="Q97" i="3" a="1"/>
  <c r="Q97" i="3" s="1"/>
  <c r="L94" i="4" s="1"/>
  <c r="P97" i="3" a="1"/>
  <c r="P97" i="3" s="1"/>
  <c r="K94" i="4" s="1"/>
  <c r="O97" i="3" a="1"/>
  <c r="O97" i="3" s="1"/>
  <c r="J94" i="4" s="1"/>
  <c r="N97" i="3" a="1"/>
  <c r="N97" i="3" s="1"/>
  <c r="I94" i="4" s="1"/>
  <c r="M97" i="3" a="1"/>
  <c r="M97" i="3" s="1"/>
  <c r="H94" i="4" s="1"/>
  <c r="L97" i="3" a="1"/>
  <c r="L97" i="3" s="1"/>
  <c r="G94" i="4" s="1"/>
  <c r="K97" i="3" a="1"/>
  <c r="K97" i="3" s="1"/>
  <c r="F94" i="4" s="1"/>
  <c r="J97" i="3" a="1"/>
  <c r="J97" i="3" s="1"/>
  <c r="E94" i="4" s="1"/>
  <c r="AD96" i="3" a="1"/>
  <c r="AD96" i="3" s="1"/>
  <c r="Y93" i="4" s="1"/>
  <c r="AC96" i="3" a="1"/>
  <c r="AC96" i="3" s="1"/>
  <c r="X93" i="4" s="1"/>
  <c r="AB96" i="3" a="1"/>
  <c r="AB96" i="3" s="1"/>
  <c r="W93" i="4" s="1"/>
  <c r="AA96" i="3" a="1"/>
  <c r="AA96" i="3" s="1"/>
  <c r="V93" i="4" s="1"/>
  <c r="Z96" i="3" a="1"/>
  <c r="Z96" i="3" s="1"/>
  <c r="U93" i="4" s="1"/>
  <c r="Y96" i="3" a="1"/>
  <c r="Y96" i="3" s="1"/>
  <c r="T93" i="4" s="1"/>
  <c r="X96" i="3" a="1"/>
  <c r="X96" i="3" s="1"/>
  <c r="S93" i="4" s="1"/>
  <c r="W96" i="3" a="1"/>
  <c r="W96" i="3" s="1"/>
  <c r="R93" i="4" s="1"/>
  <c r="V96" i="3" a="1"/>
  <c r="V96" i="3" s="1"/>
  <c r="Q93" i="4" s="1"/>
  <c r="U96" i="3" a="1"/>
  <c r="U96" i="3" s="1"/>
  <c r="P93" i="4" s="1"/>
  <c r="T96" i="3" a="1"/>
  <c r="T96" i="3" s="1"/>
  <c r="O93" i="4" s="1"/>
  <c r="S96" i="3" a="1"/>
  <c r="S96" i="3" s="1"/>
  <c r="N93" i="4" s="1"/>
  <c r="R96" i="3" a="1"/>
  <c r="R96" i="3" s="1"/>
  <c r="M93" i="4" s="1"/>
  <c r="Q96" i="3" a="1"/>
  <c r="Q96" i="3" s="1"/>
  <c r="L93" i="4" s="1"/>
  <c r="P96" i="3" a="1"/>
  <c r="P96" i="3" s="1"/>
  <c r="K93" i="4" s="1"/>
  <c r="O96" i="3" a="1"/>
  <c r="O96" i="3" s="1"/>
  <c r="J93" i="4" s="1"/>
  <c r="N96" i="3" a="1"/>
  <c r="N96" i="3" s="1"/>
  <c r="I93" i="4" s="1"/>
  <c r="M96" i="3" a="1"/>
  <c r="M96" i="3" s="1"/>
  <c r="H93" i="4" s="1"/>
  <c r="L96" i="3" a="1"/>
  <c r="L96" i="3" s="1"/>
  <c r="G93" i="4" s="1"/>
  <c r="K96" i="3" a="1"/>
  <c r="K96" i="3" s="1"/>
  <c r="F93" i="4" s="1"/>
  <c r="J96" i="3" a="1"/>
  <c r="J96" i="3" s="1"/>
  <c r="E93" i="4" s="1"/>
  <c r="AD95" i="3" a="1"/>
  <c r="AD95" i="3" s="1"/>
  <c r="Y92" i="4" s="1"/>
  <c r="AC95" i="3" a="1"/>
  <c r="AC95" i="3" s="1"/>
  <c r="X92" i="4" s="1"/>
  <c r="AB95" i="3" a="1"/>
  <c r="AB95" i="3" s="1"/>
  <c r="W92" i="4" s="1"/>
  <c r="AA95" i="3" a="1"/>
  <c r="AA95" i="3" s="1"/>
  <c r="V92" i="4" s="1"/>
  <c r="Z95" i="3" a="1"/>
  <c r="Z95" i="3" s="1"/>
  <c r="U92" i="4" s="1"/>
  <c r="Y95" i="3" a="1"/>
  <c r="Y95" i="3" s="1"/>
  <c r="T92" i="4" s="1"/>
  <c r="X95" i="3" a="1"/>
  <c r="X95" i="3" s="1"/>
  <c r="S92" i="4" s="1"/>
  <c r="W95" i="3" a="1"/>
  <c r="W95" i="3" s="1"/>
  <c r="R92" i="4" s="1"/>
  <c r="V95" i="3" a="1"/>
  <c r="V95" i="3" s="1"/>
  <c r="Q92" i="4" s="1"/>
  <c r="U95" i="3" a="1"/>
  <c r="U95" i="3" s="1"/>
  <c r="P92" i="4" s="1"/>
  <c r="T95" i="3" a="1"/>
  <c r="T95" i="3" s="1"/>
  <c r="O92" i="4" s="1"/>
  <c r="S95" i="3" a="1"/>
  <c r="S95" i="3" s="1"/>
  <c r="N92" i="4" s="1"/>
  <c r="R95" i="3" a="1"/>
  <c r="R95" i="3" s="1"/>
  <c r="M92" i="4" s="1"/>
  <c r="Q95" i="3" a="1"/>
  <c r="Q95" i="3" s="1"/>
  <c r="L92" i="4" s="1"/>
  <c r="P95" i="3" a="1"/>
  <c r="P95" i="3" s="1"/>
  <c r="K92" i="4" s="1"/>
  <c r="O95" i="3" a="1"/>
  <c r="O95" i="3" s="1"/>
  <c r="J92" i="4" s="1"/>
  <c r="N95" i="3" a="1"/>
  <c r="N95" i="3" s="1"/>
  <c r="I92" i="4" s="1"/>
  <c r="M95" i="3" a="1"/>
  <c r="M95" i="3" s="1"/>
  <c r="H92" i="4" s="1"/>
  <c r="L95" i="3" a="1"/>
  <c r="L95" i="3" s="1"/>
  <c r="G92" i="4" s="1"/>
  <c r="K95" i="3" a="1"/>
  <c r="K95" i="3" s="1"/>
  <c r="F92" i="4" s="1"/>
  <c r="J95" i="3" a="1"/>
  <c r="J95" i="3" s="1"/>
  <c r="E92" i="4" s="1"/>
  <c r="AD94" i="3" a="1"/>
  <c r="AD94" i="3" s="1"/>
  <c r="Y91" i="4" s="1"/>
  <c r="AC94" i="3" a="1"/>
  <c r="AC94" i="3" s="1"/>
  <c r="X91" i="4" s="1"/>
  <c r="AB94" i="3" a="1"/>
  <c r="AB94" i="3" s="1"/>
  <c r="W91" i="4" s="1"/>
  <c r="AA94" i="3" a="1"/>
  <c r="AA94" i="3" s="1"/>
  <c r="V91" i="4" s="1"/>
  <c r="Z94" i="3" a="1"/>
  <c r="Z94" i="3" s="1"/>
  <c r="U91" i="4" s="1"/>
  <c r="Y94" i="3" a="1"/>
  <c r="Y94" i="3" s="1"/>
  <c r="T91" i="4" s="1"/>
  <c r="X94" i="3" a="1"/>
  <c r="X94" i="3" s="1"/>
  <c r="S91" i="4" s="1"/>
  <c r="W94" i="3" a="1"/>
  <c r="W94" i="3" s="1"/>
  <c r="R91" i="4" s="1"/>
  <c r="V94" i="3" a="1"/>
  <c r="V94" i="3" s="1"/>
  <c r="Q91" i="4" s="1"/>
  <c r="U94" i="3" a="1"/>
  <c r="U94" i="3" s="1"/>
  <c r="P91" i="4" s="1"/>
  <c r="T94" i="3" a="1"/>
  <c r="T94" i="3" s="1"/>
  <c r="O91" i="4" s="1"/>
  <c r="S94" i="3" a="1"/>
  <c r="S94" i="3" s="1"/>
  <c r="N91" i="4" s="1"/>
  <c r="R94" i="3" a="1"/>
  <c r="R94" i="3" s="1"/>
  <c r="M91" i="4" s="1"/>
  <c r="Q94" i="3" a="1"/>
  <c r="Q94" i="3" s="1"/>
  <c r="L91" i="4" s="1"/>
  <c r="P94" i="3" a="1"/>
  <c r="P94" i="3" s="1"/>
  <c r="K91" i="4" s="1"/>
  <c r="O94" i="3" a="1"/>
  <c r="O94" i="3" s="1"/>
  <c r="J91" i="4" s="1"/>
  <c r="N94" i="3" a="1"/>
  <c r="N94" i="3" s="1"/>
  <c r="I91" i="4" s="1"/>
  <c r="M94" i="3" a="1"/>
  <c r="M94" i="3" s="1"/>
  <c r="H91" i="4" s="1"/>
  <c r="L94" i="3" a="1"/>
  <c r="L94" i="3" s="1"/>
  <c r="G91" i="4" s="1"/>
  <c r="K94" i="3" a="1"/>
  <c r="K94" i="3" s="1"/>
  <c r="F91" i="4" s="1"/>
  <c r="J94" i="3" a="1"/>
  <c r="J94" i="3" s="1"/>
  <c r="E91" i="4" s="1"/>
  <c r="AD93" i="3" a="1"/>
  <c r="AD93" i="3" s="1"/>
  <c r="Y90" i="4" s="1"/>
  <c r="AC93" i="3" a="1"/>
  <c r="AC93" i="3" s="1"/>
  <c r="X90" i="4" s="1"/>
  <c r="AB93" i="3" a="1"/>
  <c r="AB93" i="3" s="1"/>
  <c r="W90" i="4" s="1"/>
  <c r="AA93" i="3" a="1"/>
  <c r="AA93" i="3" s="1"/>
  <c r="V90" i="4" s="1"/>
  <c r="Z93" i="3" a="1"/>
  <c r="Z93" i="3" s="1"/>
  <c r="U90" i="4" s="1"/>
  <c r="Y93" i="3" a="1"/>
  <c r="Y93" i="3" s="1"/>
  <c r="T90" i="4" s="1"/>
  <c r="X93" i="3" a="1"/>
  <c r="X93" i="3" s="1"/>
  <c r="S90" i="4" s="1"/>
  <c r="W93" i="3" a="1"/>
  <c r="W93" i="3" s="1"/>
  <c r="R90" i="4" s="1"/>
  <c r="V93" i="3" a="1"/>
  <c r="V93" i="3" s="1"/>
  <c r="Q90" i="4" s="1"/>
  <c r="U93" i="3" a="1"/>
  <c r="U93" i="3" s="1"/>
  <c r="P90" i="4" s="1"/>
  <c r="T93" i="3" a="1"/>
  <c r="T93" i="3" s="1"/>
  <c r="O90" i="4" s="1"/>
  <c r="S93" i="3" a="1"/>
  <c r="S93" i="3" s="1"/>
  <c r="N90" i="4" s="1"/>
  <c r="R93" i="3" a="1"/>
  <c r="R93" i="3" s="1"/>
  <c r="M90" i="4" s="1"/>
  <c r="Q93" i="3" a="1"/>
  <c r="Q93" i="3" s="1"/>
  <c r="L90" i="4" s="1"/>
  <c r="P93" i="3" a="1"/>
  <c r="P93" i="3" s="1"/>
  <c r="K90" i="4" s="1"/>
  <c r="O93" i="3" a="1"/>
  <c r="O93" i="3" s="1"/>
  <c r="J90" i="4" s="1"/>
  <c r="N93" i="3" a="1"/>
  <c r="N93" i="3" s="1"/>
  <c r="I90" i="4" s="1"/>
  <c r="M93" i="3" a="1"/>
  <c r="M93" i="3" s="1"/>
  <c r="H90" i="4" s="1"/>
  <c r="L93" i="3" a="1"/>
  <c r="L93" i="3" s="1"/>
  <c r="G90" i="4" s="1"/>
  <c r="K93" i="3" a="1"/>
  <c r="K93" i="3" s="1"/>
  <c r="F90" i="4" s="1"/>
  <c r="J93" i="3" a="1"/>
  <c r="J93" i="3" s="1"/>
  <c r="E90" i="4" s="1"/>
  <c r="AD92" i="3" a="1"/>
  <c r="AD92" i="3" s="1"/>
  <c r="Y89" i="4" s="1"/>
  <c r="AC92" i="3" a="1"/>
  <c r="AC92" i="3" s="1"/>
  <c r="X89" i="4" s="1"/>
  <c r="AB92" i="3" a="1"/>
  <c r="AB92" i="3" s="1"/>
  <c r="W89" i="4" s="1"/>
  <c r="AA92" i="3" a="1"/>
  <c r="AA92" i="3" s="1"/>
  <c r="V89" i="4" s="1"/>
  <c r="Z92" i="3" a="1"/>
  <c r="Z92" i="3" s="1"/>
  <c r="U89" i="4" s="1"/>
  <c r="Y92" i="3" a="1"/>
  <c r="Y92" i="3" s="1"/>
  <c r="T89" i="4" s="1"/>
  <c r="X92" i="3" a="1"/>
  <c r="X92" i="3" s="1"/>
  <c r="S89" i="4" s="1"/>
  <c r="W92" i="3" a="1"/>
  <c r="W92" i="3" s="1"/>
  <c r="R89" i="4" s="1"/>
  <c r="V92" i="3" a="1"/>
  <c r="V92" i="3" s="1"/>
  <c r="Q89" i="4" s="1"/>
  <c r="U92" i="3" a="1"/>
  <c r="U92" i="3" s="1"/>
  <c r="P89" i="4" s="1"/>
  <c r="T92" i="3" a="1"/>
  <c r="T92" i="3" s="1"/>
  <c r="O89" i="4" s="1"/>
  <c r="S92" i="3" a="1"/>
  <c r="S92" i="3" s="1"/>
  <c r="N89" i="4" s="1"/>
  <c r="R92" i="3" a="1"/>
  <c r="R92" i="3" s="1"/>
  <c r="M89" i="4" s="1"/>
  <c r="Q92" i="3" a="1"/>
  <c r="Q92" i="3" s="1"/>
  <c r="L89" i="4" s="1"/>
  <c r="P92" i="3" a="1"/>
  <c r="P92" i="3" s="1"/>
  <c r="K89" i="4" s="1"/>
  <c r="O92" i="3" a="1"/>
  <c r="O92" i="3" s="1"/>
  <c r="J89" i="4" s="1"/>
  <c r="N92" i="3" a="1"/>
  <c r="N92" i="3" s="1"/>
  <c r="I89" i="4" s="1"/>
  <c r="M92" i="3" a="1"/>
  <c r="M92" i="3" s="1"/>
  <c r="H89" i="4" s="1"/>
  <c r="L92" i="3" a="1"/>
  <c r="L92" i="3" s="1"/>
  <c r="G89" i="4" s="1"/>
  <c r="K92" i="3" a="1"/>
  <c r="K92" i="3" s="1"/>
  <c r="F89" i="4" s="1"/>
  <c r="J92" i="3" a="1"/>
  <c r="J92" i="3" s="1"/>
  <c r="E89" i="4" s="1"/>
  <c r="AD91" i="3" a="1"/>
  <c r="AD91" i="3" s="1"/>
  <c r="Y88" i="4" s="1"/>
  <c r="AC91" i="3" a="1"/>
  <c r="AC91" i="3" s="1"/>
  <c r="X88" i="4" s="1"/>
  <c r="AB91" i="3" a="1"/>
  <c r="AB91" i="3" s="1"/>
  <c r="W88" i="4" s="1"/>
  <c r="AA91" i="3" a="1"/>
  <c r="AA91" i="3" s="1"/>
  <c r="V88" i="4" s="1"/>
  <c r="Z91" i="3" a="1"/>
  <c r="Z91" i="3" s="1"/>
  <c r="U88" i="4" s="1"/>
  <c r="Y91" i="3" a="1"/>
  <c r="Y91" i="3" s="1"/>
  <c r="T88" i="4" s="1"/>
  <c r="X91" i="3" a="1"/>
  <c r="X91" i="3" s="1"/>
  <c r="S88" i="4" s="1"/>
  <c r="W91" i="3" a="1"/>
  <c r="W91" i="3" s="1"/>
  <c r="R88" i="4" s="1"/>
  <c r="V91" i="3" a="1"/>
  <c r="V91" i="3" s="1"/>
  <c r="Q88" i="4" s="1"/>
  <c r="U91" i="3" a="1"/>
  <c r="U91" i="3" s="1"/>
  <c r="P88" i="4" s="1"/>
  <c r="T91" i="3" a="1"/>
  <c r="T91" i="3" s="1"/>
  <c r="O88" i="4" s="1"/>
  <c r="S91" i="3" a="1"/>
  <c r="S91" i="3" s="1"/>
  <c r="N88" i="4" s="1"/>
  <c r="R91" i="3" a="1"/>
  <c r="R91" i="3" s="1"/>
  <c r="M88" i="4" s="1"/>
  <c r="Q91" i="3" a="1"/>
  <c r="Q91" i="3" s="1"/>
  <c r="L88" i="4" s="1"/>
  <c r="P91" i="3" a="1"/>
  <c r="P91" i="3" s="1"/>
  <c r="K88" i="4" s="1"/>
  <c r="O91" i="3" a="1"/>
  <c r="O91" i="3" s="1"/>
  <c r="J88" i="4" s="1"/>
  <c r="N91" i="3" a="1"/>
  <c r="N91" i="3" s="1"/>
  <c r="I88" i="4" s="1"/>
  <c r="M91" i="3" a="1"/>
  <c r="M91" i="3" s="1"/>
  <c r="H88" i="4" s="1"/>
  <c r="L91" i="3" a="1"/>
  <c r="L91" i="3" s="1"/>
  <c r="G88" i="4" s="1"/>
  <c r="K91" i="3" a="1"/>
  <c r="K91" i="3" s="1"/>
  <c r="F88" i="4" s="1"/>
  <c r="J91" i="3" a="1"/>
  <c r="J91" i="3" s="1"/>
  <c r="E88" i="4" s="1"/>
  <c r="AD90" i="3" a="1"/>
  <c r="AD90" i="3" s="1"/>
  <c r="Y87" i="4" s="1"/>
  <c r="AC90" i="3" a="1"/>
  <c r="AC90" i="3" s="1"/>
  <c r="X87" i="4" s="1"/>
  <c r="AB90" i="3" a="1"/>
  <c r="AB90" i="3" s="1"/>
  <c r="W87" i="4" s="1"/>
  <c r="AA90" i="3" a="1"/>
  <c r="AA90" i="3" s="1"/>
  <c r="V87" i="4" s="1"/>
  <c r="Z90" i="3" a="1"/>
  <c r="Z90" i="3" s="1"/>
  <c r="U87" i="4" s="1"/>
  <c r="Y90" i="3" a="1"/>
  <c r="Y90" i="3" s="1"/>
  <c r="T87" i="4" s="1"/>
  <c r="X90" i="3" a="1"/>
  <c r="X90" i="3" s="1"/>
  <c r="S87" i="4" s="1"/>
  <c r="W90" i="3" a="1"/>
  <c r="W90" i="3" s="1"/>
  <c r="R87" i="4" s="1"/>
  <c r="V90" i="3" a="1"/>
  <c r="V90" i="3" s="1"/>
  <c r="Q87" i="4" s="1"/>
  <c r="U90" i="3" a="1"/>
  <c r="U90" i="3" s="1"/>
  <c r="P87" i="4" s="1"/>
  <c r="T90" i="3" a="1"/>
  <c r="T90" i="3" s="1"/>
  <c r="O87" i="4" s="1"/>
  <c r="S90" i="3" a="1"/>
  <c r="S90" i="3" s="1"/>
  <c r="N87" i="4" s="1"/>
  <c r="R90" i="3" a="1"/>
  <c r="R90" i="3" s="1"/>
  <c r="M87" i="4" s="1"/>
  <c r="Q90" i="3" a="1"/>
  <c r="Q90" i="3" s="1"/>
  <c r="L87" i="4" s="1"/>
  <c r="P90" i="3" a="1"/>
  <c r="P90" i="3" s="1"/>
  <c r="K87" i="4" s="1"/>
  <c r="O90" i="3" a="1"/>
  <c r="O90" i="3" s="1"/>
  <c r="J87" i="4" s="1"/>
  <c r="N90" i="3" a="1"/>
  <c r="N90" i="3" s="1"/>
  <c r="I87" i="4" s="1"/>
  <c r="M90" i="3" a="1"/>
  <c r="M90" i="3" s="1"/>
  <c r="H87" i="4" s="1"/>
  <c r="L90" i="3" a="1"/>
  <c r="L90" i="3" s="1"/>
  <c r="G87" i="4" s="1"/>
  <c r="K90" i="3" a="1"/>
  <c r="K90" i="3" s="1"/>
  <c r="F87" i="4" s="1"/>
  <c r="J90" i="3" a="1"/>
  <c r="J90" i="3" s="1"/>
  <c r="E87" i="4" s="1"/>
  <c r="AD89" i="3" a="1"/>
  <c r="AD89" i="3" s="1"/>
  <c r="Y86" i="4" s="1"/>
  <c r="AC89" i="3" a="1"/>
  <c r="AC89" i="3" s="1"/>
  <c r="X86" i="4" s="1"/>
  <c r="AB89" i="3" a="1"/>
  <c r="AB89" i="3" s="1"/>
  <c r="W86" i="4" s="1"/>
  <c r="AA89" i="3" a="1"/>
  <c r="AA89" i="3" s="1"/>
  <c r="V86" i="4" s="1"/>
  <c r="Z89" i="3" a="1"/>
  <c r="Z89" i="3" s="1"/>
  <c r="U86" i="4" s="1"/>
  <c r="Y89" i="3" a="1"/>
  <c r="Y89" i="3" s="1"/>
  <c r="T86" i="4" s="1"/>
  <c r="X89" i="3" a="1"/>
  <c r="X89" i="3" s="1"/>
  <c r="S86" i="4" s="1"/>
  <c r="W89" i="3" a="1"/>
  <c r="W89" i="3" s="1"/>
  <c r="R86" i="4" s="1"/>
  <c r="V89" i="3" a="1"/>
  <c r="V89" i="3" s="1"/>
  <c r="Q86" i="4" s="1"/>
  <c r="U89" i="3" a="1"/>
  <c r="U89" i="3" s="1"/>
  <c r="P86" i="4" s="1"/>
  <c r="T89" i="3" a="1"/>
  <c r="T89" i="3" s="1"/>
  <c r="O86" i="4" s="1"/>
  <c r="S89" i="3" a="1"/>
  <c r="S89" i="3" s="1"/>
  <c r="N86" i="4" s="1"/>
  <c r="R89" i="3" a="1"/>
  <c r="R89" i="3" s="1"/>
  <c r="M86" i="4" s="1"/>
  <c r="Q89" i="3" a="1"/>
  <c r="Q89" i="3" s="1"/>
  <c r="L86" i="4" s="1"/>
  <c r="P89" i="3" a="1"/>
  <c r="P89" i="3" s="1"/>
  <c r="K86" i="4" s="1"/>
  <c r="O89" i="3" a="1"/>
  <c r="O89" i="3" s="1"/>
  <c r="J86" i="4" s="1"/>
  <c r="N89" i="3" a="1"/>
  <c r="N89" i="3" s="1"/>
  <c r="I86" i="4" s="1"/>
  <c r="M89" i="3" a="1"/>
  <c r="M89" i="3" s="1"/>
  <c r="H86" i="4" s="1"/>
  <c r="L89" i="3" a="1"/>
  <c r="L89" i="3" s="1"/>
  <c r="G86" i="4" s="1"/>
  <c r="K89" i="3" a="1"/>
  <c r="K89" i="3" s="1"/>
  <c r="F86" i="4" s="1"/>
  <c r="J89" i="3" a="1"/>
  <c r="J89" i="3" s="1"/>
  <c r="E86" i="4" s="1"/>
  <c r="AD88" i="3" a="1"/>
  <c r="AD88" i="3" s="1"/>
  <c r="Y85" i="4" s="1"/>
  <c r="AC88" i="3" a="1"/>
  <c r="AC88" i="3" s="1"/>
  <c r="X85" i="4" s="1"/>
  <c r="AB88" i="3" a="1"/>
  <c r="AB88" i="3" s="1"/>
  <c r="W85" i="4" s="1"/>
  <c r="AA88" i="3" a="1"/>
  <c r="AA88" i="3" s="1"/>
  <c r="V85" i="4" s="1"/>
  <c r="Z88" i="3" a="1"/>
  <c r="Z88" i="3" s="1"/>
  <c r="U85" i="4" s="1"/>
  <c r="Y88" i="3" a="1"/>
  <c r="Y88" i="3" s="1"/>
  <c r="T85" i="4" s="1"/>
  <c r="X88" i="3" a="1"/>
  <c r="X88" i="3" s="1"/>
  <c r="S85" i="4" s="1"/>
  <c r="W88" i="3" a="1"/>
  <c r="W88" i="3" s="1"/>
  <c r="R85" i="4" s="1"/>
  <c r="V88" i="3" a="1"/>
  <c r="V88" i="3" s="1"/>
  <c r="Q85" i="4" s="1"/>
  <c r="U88" i="3" a="1"/>
  <c r="U88" i="3" s="1"/>
  <c r="P85" i="4" s="1"/>
  <c r="T88" i="3" a="1"/>
  <c r="T88" i="3" s="1"/>
  <c r="O85" i="4" s="1"/>
  <c r="S88" i="3" a="1"/>
  <c r="S88" i="3" s="1"/>
  <c r="N85" i="4" s="1"/>
  <c r="R88" i="3" a="1"/>
  <c r="R88" i="3" s="1"/>
  <c r="M85" i="4" s="1"/>
  <c r="Q88" i="3" a="1"/>
  <c r="Q88" i="3" s="1"/>
  <c r="L85" i="4" s="1"/>
  <c r="P88" i="3" a="1"/>
  <c r="P88" i="3" s="1"/>
  <c r="K85" i="4" s="1"/>
  <c r="O88" i="3" a="1"/>
  <c r="O88" i="3" s="1"/>
  <c r="J85" i="4" s="1"/>
  <c r="N88" i="3" a="1"/>
  <c r="N88" i="3" s="1"/>
  <c r="I85" i="4" s="1"/>
  <c r="M88" i="3" a="1"/>
  <c r="M88" i="3" s="1"/>
  <c r="H85" i="4" s="1"/>
  <c r="L88" i="3" a="1"/>
  <c r="L88" i="3" s="1"/>
  <c r="G85" i="4" s="1"/>
  <c r="K88" i="3" a="1"/>
  <c r="K88" i="3" s="1"/>
  <c r="F85" i="4" s="1"/>
  <c r="J88" i="3" a="1"/>
  <c r="J88" i="3" s="1"/>
  <c r="E85" i="4" s="1"/>
  <c r="AD87" i="3" a="1"/>
  <c r="AD87" i="3" s="1"/>
  <c r="Y84" i="4" s="1"/>
  <c r="AC87" i="3" a="1"/>
  <c r="AC87" i="3" s="1"/>
  <c r="X84" i="4" s="1"/>
  <c r="AB87" i="3" a="1"/>
  <c r="AB87" i="3" s="1"/>
  <c r="W84" i="4" s="1"/>
  <c r="AA87" i="3" a="1"/>
  <c r="AA87" i="3" s="1"/>
  <c r="V84" i="4" s="1"/>
  <c r="Z87" i="3" a="1"/>
  <c r="Z87" i="3" s="1"/>
  <c r="U84" i="4" s="1"/>
  <c r="Y87" i="3" a="1"/>
  <c r="Y87" i="3" s="1"/>
  <c r="T84" i="4" s="1"/>
  <c r="X87" i="3" a="1"/>
  <c r="X87" i="3" s="1"/>
  <c r="S84" i="4" s="1"/>
  <c r="W87" i="3" a="1"/>
  <c r="W87" i="3" s="1"/>
  <c r="R84" i="4" s="1"/>
  <c r="V87" i="3" a="1"/>
  <c r="V87" i="3" s="1"/>
  <c r="Q84" i="4" s="1"/>
  <c r="U87" i="3" a="1"/>
  <c r="U87" i="3" s="1"/>
  <c r="P84" i="4" s="1"/>
  <c r="T87" i="3" a="1"/>
  <c r="T87" i="3" s="1"/>
  <c r="O84" i="4" s="1"/>
  <c r="S87" i="3" a="1"/>
  <c r="S87" i="3" s="1"/>
  <c r="N84" i="4" s="1"/>
  <c r="R87" i="3" a="1"/>
  <c r="R87" i="3" s="1"/>
  <c r="M84" i="4" s="1"/>
  <c r="Q87" i="3" a="1"/>
  <c r="Q87" i="3" s="1"/>
  <c r="L84" i="4" s="1"/>
  <c r="P87" i="3" a="1"/>
  <c r="P87" i="3" s="1"/>
  <c r="K84" i="4" s="1"/>
  <c r="O87" i="3" a="1"/>
  <c r="O87" i="3" s="1"/>
  <c r="J84" i="4" s="1"/>
  <c r="N87" i="3" a="1"/>
  <c r="N87" i="3" s="1"/>
  <c r="I84" i="4" s="1"/>
  <c r="M87" i="3" a="1"/>
  <c r="M87" i="3" s="1"/>
  <c r="H84" i="4" s="1"/>
  <c r="L87" i="3" a="1"/>
  <c r="L87" i="3" s="1"/>
  <c r="G84" i="4" s="1"/>
  <c r="K87" i="3" a="1"/>
  <c r="K87" i="3" s="1"/>
  <c r="F84" i="4" s="1"/>
  <c r="J87" i="3" a="1"/>
  <c r="J87" i="3" s="1"/>
  <c r="E84" i="4" s="1"/>
  <c r="AD86" i="3" a="1"/>
  <c r="AD86" i="3" s="1"/>
  <c r="Y83" i="4" s="1"/>
  <c r="AC86" i="3" a="1"/>
  <c r="AC86" i="3" s="1"/>
  <c r="X83" i="4" s="1"/>
  <c r="AB86" i="3" a="1"/>
  <c r="AB86" i="3" s="1"/>
  <c r="W83" i="4" s="1"/>
  <c r="AA86" i="3" a="1"/>
  <c r="AA86" i="3" s="1"/>
  <c r="V83" i="4" s="1"/>
  <c r="Z86" i="3" a="1"/>
  <c r="Z86" i="3" s="1"/>
  <c r="U83" i="4" s="1"/>
  <c r="Y86" i="3" a="1"/>
  <c r="Y86" i="3" s="1"/>
  <c r="T83" i="4" s="1"/>
  <c r="X86" i="3" a="1"/>
  <c r="X86" i="3" s="1"/>
  <c r="S83" i="4" s="1"/>
  <c r="W86" i="3" a="1"/>
  <c r="W86" i="3" s="1"/>
  <c r="R83" i="4" s="1"/>
  <c r="V86" i="3" a="1"/>
  <c r="V86" i="3" s="1"/>
  <c r="Q83" i="4" s="1"/>
  <c r="U86" i="3" a="1"/>
  <c r="U86" i="3" s="1"/>
  <c r="P83" i="4" s="1"/>
  <c r="T86" i="3" a="1"/>
  <c r="T86" i="3" s="1"/>
  <c r="O83" i="4" s="1"/>
  <c r="S86" i="3" a="1"/>
  <c r="S86" i="3" s="1"/>
  <c r="N83" i="4" s="1"/>
  <c r="R86" i="3" a="1"/>
  <c r="R86" i="3" s="1"/>
  <c r="M83" i="4" s="1"/>
  <c r="Q86" i="3" a="1"/>
  <c r="Q86" i="3" s="1"/>
  <c r="L83" i="4" s="1"/>
  <c r="P86" i="3" a="1"/>
  <c r="P86" i="3" s="1"/>
  <c r="K83" i="4" s="1"/>
  <c r="O86" i="3" a="1"/>
  <c r="O86" i="3" s="1"/>
  <c r="J83" i="4" s="1"/>
  <c r="N86" i="3" a="1"/>
  <c r="N86" i="3" s="1"/>
  <c r="I83" i="4" s="1"/>
  <c r="M86" i="3" a="1"/>
  <c r="M86" i="3" s="1"/>
  <c r="H83" i="4" s="1"/>
  <c r="L86" i="3" a="1"/>
  <c r="L86" i="3" s="1"/>
  <c r="G83" i="4" s="1"/>
  <c r="K86" i="3" a="1"/>
  <c r="K86" i="3" s="1"/>
  <c r="F83" i="4" s="1"/>
  <c r="J86" i="3" a="1"/>
  <c r="J86" i="3" s="1"/>
  <c r="E83" i="4" s="1"/>
  <c r="AD85" i="3" a="1"/>
  <c r="AD85" i="3" s="1"/>
  <c r="Y82" i="4" s="1"/>
  <c r="AC85" i="3" a="1"/>
  <c r="AC85" i="3" s="1"/>
  <c r="X82" i="4" s="1"/>
  <c r="AB85" i="3" a="1"/>
  <c r="AB85" i="3" s="1"/>
  <c r="W82" i="4" s="1"/>
  <c r="AA85" i="3" a="1"/>
  <c r="AA85" i="3" s="1"/>
  <c r="V82" i="4" s="1"/>
  <c r="Z85" i="3" a="1"/>
  <c r="Z85" i="3" s="1"/>
  <c r="U82" i="4" s="1"/>
  <c r="Y85" i="3" a="1"/>
  <c r="Y85" i="3" s="1"/>
  <c r="T82" i="4" s="1"/>
  <c r="X85" i="3" a="1"/>
  <c r="X85" i="3" s="1"/>
  <c r="S82" i="4" s="1"/>
  <c r="W85" i="3" a="1"/>
  <c r="W85" i="3" s="1"/>
  <c r="R82" i="4" s="1"/>
  <c r="V85" i="3" a="1"/>
  <c r="V85" i="3" s="1"/>
  <c r="Q82" i="4" s="1"/>
  <c r="U85" i="3" a="1"/>
  <c r="U85" i="3" s="1"/>
  <c r="P82" i="4" s="1"/>
  <c r="T85" i="3" a="1"/>
  <c r="T85" i="3" s="1"/>
  <c r="O82" i="4" s="1"/>
  <c r="S85" i="3" a="1"/>
  <c r="S85" i="3" s="1"/>
  <c r="N82" i="4" s="1"/>
  <c r="R85" i="3" a="1"/>
  <c r="R85" i="3" s="1"/>
  <c r="M82" i="4" s="1"/>
  <c r="Q85" i="3" a="1"/>
  <c r="Q85" i="3" s="1"/>
  <c r="L82" i="4" s="1"/>
  <c r="P85" i="3" a="1"/>
  <c r="P85" i="3" s="1"/>
  <c r="K82" i="4" s="1"/>
  <c r="O85" i="3" a="1"/>
  <c r="O85" i="3" s="1"/>
  <c r="J82" i="4" s="1"/>
  <c r="N85" i="3" a="1"/>
  <c r="N85" i="3" s="1"/>
  <c r="I82" i="4" s="1"/>
  <c r="M85" i="3" a="1"/>
  <c r="M85" i="3" s="1"/>
  <c r="H82" i="4" s="1"/>
  <c r="L85" i="3" a="1"/>
  <c r="L85" i="3" s="1"/>
  <c r="G82" i="4" s="1"/>
  <c r="K85" i="3" a="1"/>
  <c r="K85" i="3" s="1"/>
  <c r="F82" i="4" s="1"/>
  <c r="J85" i="3" a="1"/>
  <c r="J85" i="3" s="1"/>
  <c r="E82" i="4" s="1"/>
  <c r="AD84" i="3" a="1"/>
  <c r="AD84" i="3" s="1"/>
  <c r="Y81" i="4" s="1"/>
  <c r="AC84" i="3" a="1"/>
  <c r="AC84" i="3" s="1"/>
  <c r="X81" i="4" s="1"/>
  <c r="AB84" i="3" a="1"/>
  <c r="AB84" i="3" s="1"/>
  <c r="W81" i="4" s="1"/>
  <c r="AA84" i="3" a="1"/>
  <c r="AA84" i="3" s="1"/>
  <c r="V81" i="4" s="1"/>
  <c r="Z84" i="3" a="1"/>
  <c r="Z84" i="3" s="1"/>
  <c r="U81" i="4" s="1"/>
  <c r="Y84" i="3" a="1"/>
  <c r="Y84" i="3" s="1"/>
  <c r="T81" i="4" s="1"/>
  <c r="X84" i="3" a="1"/>
  <c r="X84" i="3" s="1"/>
  <c r="S81" i="4" s="1"/>
  <c r="W84" i="3" a="1"/>
  <c r="W84" i="3" s="1"/>
  <c r="R81" i="4" s="1"/>
  <c r="V84" i="3" a="1"/>
  <c r="V84" i="3" s="1"/>
  <c r="Q81" i="4" s="1"/>
  <c r="U84" i="3" a="1"/>
  <c r="U84" i="3" s="1"/>
  <c r="P81" i="4" s="1"/>
  <c r="T84" i="3" a="1"/>
  <c r="T84" i="3" s="1"/>
  <c r="O81" i="4" s="1"/>
  <c r="S84" i="3" a="1"/>
  <c r="S84" i="3" s="1"/>
  <c r="N81" i="4" s="1"/>
  <c r="R84" i="3" a="1"/>
  <c r="R84" i="3" s="1"/>
  <c r="M81" i="4" s="1"/>
  <c r="Q84" i="3" a="1"/>
  <c r="Q84" i="3" s="1"/>
  <c r="L81" i="4" s="1"/>
  <c r="P84" i="3" a="1"/>
  <c r="P84" i="3" s="1"/>
  <c r="K81" i="4" s="1"/>
  <c r="O84" i="3" a="1"/>
  <c r="O84" i="3" s="1"/>
  <c r="J81" i="4" s="1"/>
  <c r="N84" i="3" a="1"/>
  <c r="N84" i="3" s="1"/>
  <c r="I81" i="4" s="1"/>
  <c r="M84" i="3" a="1"/>
  <c r="M84" i="3" s="1"/>
  <c r="H81" i="4" s="1"/>
  <c r="L84" i="3" a="1"/>
  <c r="L84" i="3" s="1"/>
  <c r="G81" i="4" s="1"/>
  <c r="K84" i="3" a="1"/>
  <c r="K84" i="3" s="1"/>
  <c r="F81" i="4" s="1"/>
  <c r="J84" i="3" a="1"/>
  <c r="J84" i="3" s="1"/>
  <c r="E81" i="4" s="1"/>
  <c r="AD83" i="3" a="1"/>
  <c r="AD83" i="3" s="1"/>
  <c r="Y80" i="4" s="1"/>
  <c r="AC83" i="3" a="1"/>
  <c r="AC83" i="3" s="1"/>
  <c r="X80" i="4" s="1"/>
  <c r="AB83" i="3" a="1"/>
  <c r="AB83" i="3" s="1"/>
  <c r="W80" i="4" s="1"/>
  <c r="AA83" i="3" a="1"/>
  <c r="AA83" i="3" s="1"/>
  <c r="V80" i="4" s="1"/>
  <c r="Z83" i="3" a="1"/>
  <c r="Z83" i="3" s="1"/>
  <c r="U80" i="4" s="1"/>
  <c r="Y83" i="3" a="1"/>
  <c r="Y83" i="3" s="1"/>
  <c r="T80" i="4" s="1"/>
  <c r="X83" i="3" a="1"/>
  <c r="X83" i="3" s="1"/>
  <c r="S80" i="4" s="1"/>
  <c r="W83" i="3" a="1"/>
  <c r="W83" i="3" s="1"/>
  <c r="R80" i="4" s="1"/>
  <c r="V83" i="3" a="1"/>
  <c r="V83" i="3" s="1"/>
  <c r="Q80" i="4" s="1"/>
  <c r="U83" i="3" a="1"/>
  <c r="U83" i="3" s="1"/>
  <c r="P80" i="4" s="1"/>
  <c r="T83" i="3" a="1"/>
  <c r="T83" i="3" s="1"/>
  <c r="O80" i="4" s="1"/>
  <c r="S83" i="3" a="1"/>
  <c r="S83" i="3" s="1"/>
  <c r="N80" i="4" s="1"/>
  <c r="R83" i="3" a="1"/>
  <c r="R83" i="3" s="1"/>
  <c r="M80" i="4" s="1"/>
  <c r="Q83" i="3" a="1"/>
  <c r="Q83" i="3" s="1"/>
  <c r="L80" i="4" s="1"/>
  <c r="P83" i="3" a="1"/>
  <c r="P83" i="3" s="1"/>
  <c r="K80" i="4" s="1"/>
  <c r="O83" i="3" a="1"/>
  <c r="O83" i="3" s="1"/>
  <c r="J80" i="4" s="1"/>
  <c r="N83" i="3" a="1"/>
  <c r="N83" i="3" s="1"/>
  <c r="I80" i="4" s="1"/>
  <c r="M83" i="3" a="1"/>
  <c r="M83" i="3" s="1"/>
  <c r="H80" i="4" s="1"/>
  <c r="L83" i="3" a="1"/>
  <c r="L83" i="3" s="1"/>
  <c r="G80" i="4" s="1"/>
  <c r="K83" i="3" a="1"/>
  <c r="K83" i="3" s="1"/>
  <c r="F80" i="4" s="1"/>
  <c r="J83" i="3" a="1"/>
  <c r="J83" i="3" s="1"/>
  <c r="E80" i="4" s="1"/>
  <c r="AD82" i="3" a="1"/>
  <c r="AD82" i="3" s="1"/>
  <c r="Y79" i="4" s="1"/>
  <c r="AC82" i="3" a="1"/>
  <c r="AC82" i="3" s="1"/>
  <c r="X79" i="4" s="1"/>
  <c r="AB82" i="3" a="1"/>
  <c r="AB82" i="3" s="1"/>
  <c r="W79" i="4" s="1"/>
  <c r="AA82" i="3" a="1"/>
  <c r="AA82" i="3" s="1"/>
  <c r="V79" i="4" s="1"/>
  <c r="Z82" i="3" a="1"/>
  <c r="Z82" i="3" s="1"/>
  <c r="U79" i="4" s="1"/>
  <c r="Y82" i="3" a="1"/>
  <c r="Y82" i="3" s="1"/>
  <c r="T79" i="4" s="1"/>
  <c r="X82" i="3" a="1"/>
  <c r="X82" i="3" s="1"/>
  <c r="S79" i="4" s="1"/>
  <c r="W82" i="3" a="1"/>
  <c r="W82" i="3" s="1"/>
  <c r="R79" i="4" s="1"/>
  <c r="V82" i="3" a="1"/>
  <c r="V82" i="3" s="1"/>
  <c r="Q79" i="4" s="1"/>
  <c r="U82" i="3" a="1"/>
  <c r="U82" i="3" s="1"/>
  <c r="P79" i="4" s="1"/>
  <c r="T82" i="3" a="1"/>
  <c r="T82" i="3" s="1"/>
  <c r="O79" i="4" s="1"/>
  <c r="S82" i="3" a="1"/>
  <c r="S82" i="3" s="1"/>
  <c r="N79" i="4" s="1"/>
  <c r="R82" i="3" a="1"/>
  <c r="R82" i="3" s="1"/>
  <c r="M79" i="4" s="1"/>
  <c r="Q82" i="3" a="1"/>
  <c r="Q82" i="3" s="1"/>
  <c r="L79" i="4" s="1"/>
  <c r="P82" i="3" a="1"/>
  <c r="P82" i="3" s="1"/>
  <c r="K79" i="4" s="1"/>
  <c r="O82" i="3" a="1"/>
  <c r="O82" i="3" s="1"/>
  <c r="J79" i="4" s="1"/>
  <c r="N82" i="3" a="1"/>
  <c r="N82" i="3" s="1"/>
  <c r="I79" i="4" s="1"/>
  <c r="M82" i="3" a="1"/>
  <c r="M82" i="3" s="1"/>
  <c r="H79" i="4" s="1"/>
  <c r="L82" i="3" a="1"/>
  <c r="L82" i="3" s="1"/>
  <c r="G79" i="4" s="1"/>
  <c r="K82" i="3" a="1"/>
  <c r="K82" i="3" s="1"/>
  <c r="F79" i="4" s="1"/>
  <c r="J82" i="3" a="1"/>
  <c r="J82" i="3" s="1"/>
  <c r="E79" i="4" s="1"/>
  <c r="AD81" i="3" a="1"/>
  <c r="AD81" i="3" s="1"/>
  <c r="Y78" i="4" s="1"/>
  <c r="AC81" i="3" a="1"/>
  <c r="AC81" i="3" s="1"/>
  <c r="X78" i="4" s="1"/>
  <c r="AB81" i="3" a="1"/>
  <c r="AB81" i="3" s="1"/>
  <c r="W78" i="4" s="1"/>
  <c r="AA81" i="3" a="1"/>
  <c r="AA81" i="3" s="1"/>
  <c r="V78" i="4" s="1"/>
  <c r="Z81" i="3" a="1"/>
  <c r="Z81" i="3" s="1"/>
  <c r="U78" i="4" s="1"/>
  <c r="Y81" i="3" a="1"/>
  <c r="Y81" i="3" s="1"/>
  <c r="T78" i="4" s="1"/>
  <c r="X81" i="3" a="1"/>
  <c r="X81" i="3" s="1"/>
  <c r="S78" i="4" s="1"/>
  <c r="W81" i="3" a="1"/>
  <c r="W81" i="3" s="1"/>
  <c r="R78" i="4" s="1"/>
  <c r="V81" i="3" a="1"/>
  <c r="V81" i="3" s="1"/>
  <c r="Q78" i="4" s="1"/>
  <c r="U81" i="3" a="1"/>
  <c r="U81" i="3" s="1"/>
  <c r="P78" i="4" s="1"/>
  <c r="T81" i="3" a="1"/>
  <c r="T81" i="3" s="1"/>
  <c r="O78" i="4" s="1"/>
  <c r="S81" i="3" a="1"/>
  <c r="S81" i="3" s="1"/>
  <c r="N78" i="4" s="1"/>
  <c r="R81" i="3" a="1"/>
  <c r="R81" i="3" s="1"/>
  <c r="M78" i="4" s="1"/>
  <c r="Q81" i="3" a="1"/>
  <c r="Q81" i="3" s="1"/>
  <c r="L78" i="4" s="1"/>
  <c r="P81" i="3" a="1"/>
  <c r="P81" i="3" s="1"/>
  <c r="K78" i="4" s="1"/>
  <c r="O81" i="3" a="1"/>
  <c r="O81" i="3" s="1"/>
  <c r="J78" i="4" s="1"/>
  <c r="N81" i="3" a="1"/>
  <c r="N81" i="3" s="1"/>
  <c r="I78" i="4" s="1"/>
  <c r="M81" i="3" a="1"/>
  <c r="M81" i="3" s="1"/>
  <c r="H78" i="4" s="1"/>
  <c r="L81" i="3" a="1"/>
  <c r="L81" i="3" s="1"/>
  <c r="G78" i="4" s="1"/>
  <c r="K81" i="3" a="1"/>
  <c r="K81" i="3" s="1"/>
  <c r="F78" i="4" s="1"/>
  <c r="J81" i="3" a="1"/>
  <c r="J81" i="3" s="1"/>
  <c r="E78" i="4" s="1"/>
  <c r="AD80" i="3" a="1"/>
  <c r="AD80" i="3" s="1"/>
  <c r="Y77" i="4" s="1"/>
  <c r="AC80" i="3" a="1"/>
  <c r="AC80" i="3" s="1"/>
  <c r="X77" i="4" s="1"/>
  <c r="AB80" i="3" a="1"/>
  <c r="AB80" i="3" s="1"/>
  <c r="W77" i="4" s="1"/>
  <c r="AA80" i="3" a="1"/>
  <c r="AA80" i="3" s="1"/>
  <c r="V77" i="4" s="1"/>
  <c r="Z80" i="3" a="1"/>
  <c r="Z80" i="3" s="1"/>
  <c r="U77" i="4" s="1"/>
  <c r="Y80" i="3" a="1"/>
  <c r="Y80" i="3" s="1"/>
  <c r="T77" i="4" s="1"/>
  <c r="X80" i="3" a="1"/>
  <c r="X80" i="3" s="1"/>
  <c r="S77" i="4" s="1"/>
  <c r="W80" i="3" a="1"/>
  <c r="W80" i="3" s="1"/>
  <c r="R77" i="4" s="1"/>
  <c r="V80" i="3" a="1"/>
  <c r="V80" i="3" s="1"/>
  <c r="Q77" i="4" s="1"/>
  <c r="U80" i="3" a="1"/>
  <c r="U80" i="3" s="1"/>
  <c r="P77" i="4" s="1"/>
  <c r="T80" i="3" a="1"/>
  <c r="T80" i="3" s="1"/>
  <c r="O77" i="4" s="1"/>
  <c r="S80" i="3" a="1"/>
  <c r="S80" i="3" s="1"/>
  <c r="N77" i="4" s="1"/>
  <c r="R80" i="3" a="1"/>
  <c r="R80" i="3" s="1"/>
  <c r="M77" i="4" s="1"/>
  <c r="Q80" i="3" a="1"/>
  <c r="Q80" i="3" s="1"/>
  <c r="L77" i="4" s="1"/>
  <c r="P80" i="3" a="1"/>
  <c r="P80" i="3" s="1"/>
  <c r="K77" i="4" s="1"/>
  <c r="O80" i="3" a="1"/>
  <c r="O80" i="3" s="1"/>
  <c r="J77" i="4" s="1"/>
  <c r="N80" i="3" a="1"/>
  <c r="N80" i="3" s="1"/>
  <c r="I77" i="4" s="1"/>
  <c r="M80" i="3" a="1"/>
  <c r="M80" i="3" s="1"/>
  <c r="H77" i="4" s="1"/>
  <c r="L80" i="3" a="1"/>
  <c r="L80" i="3" s="1"/>
  <c r="G77" i="4" s="1"/>
  <c r="K80" i="3" a="1"/>
  <c r="K80" i="3" s="1"/>
  <c r="F77" i="4" s="1"/>
  <c r="J80" i="3" a="1"/>
  <c r="J80" i="3" s="1"/>
  <c r="E77" i="4" s="1"/>
  <c r="AD79" i="3" a="1"/>
  <c r="AD79" i="3" s="1"/>
  <c r="Y76" i="4" s="1"/>
  <c r="AC79" i="3" a="1"/>
  <c r="AC79" i="3" s="1"/>
  <c r="X76" i="4" s="1"/>
  <c r="AB79" i="3" a="1"/>
  <c r="AB79" i="3" s="1"/>
  <c r="W76" i="4" s="1"/>
  <c r="AA79" i="3" a="1"/>
  <c r="AA79" i="3" s="1"/>
  <c r="V76" i="4" s="1"/>
  <c r="Z79" i="3" a="1"/>
  <c r="Z79" i="3" s="1"/>
  <c r="U76" i="4" s="1"/>
  <c r="Y79" i="3" a="1"/>
  <c r="Y79" i="3" s="1"/>
  <c r="T76" i="4" s="1"/>
  <c r="X79" i="3" a="1"/>
  <c r="X79" i="3" s="1"/>
  <c r="S76" i="4" s="1"/>
  <c r="W79" i="3" a="1"/>
  <c r="W79" i="3" s="1"/>
  <c r="R76" i="4" s="1"/>
  <c r="V79" i="3" a="1"/>
  <c r="V79" i="3" s="1"/>
  <c r="Q76" i="4" s="1"/>
  <c r="U79" i="3" a="1"/>
  <c r="U79" i="3" s="1"/>
  <c r="P76" i="4" s="1"/>
  <c r="T79" i="3" a="1"/>
  <c r="T79" i="3" s="1"/>
  <c r="O76" i="4" s="1"/>
  <c r="S79" i="3" a="1"/>
  <c r="S79" i="3" s="1"/>
  <c r="N76" i="4" s="1"/>
  <c r="R79" i="3" a="1"/>
  <c r="R79" i="3" s="1"/>
  <c r="M76" i="4" s="1"/>
  <c r="Q79" i="3" a="1"/>
  <c r="Q79" i="3" s="1"/>
  <c r="L76" i="4" s="1"/>
  <c r="P79" i="3" a="1"/>
  <c r="P79" i="3" s="1"/>
  <c r="K76" i="4" s="1"/>
  <c r="O79" i="3" a="1"/>
  <c r="O79" i="3" s="1"/>
  <c r="J76" i="4" s="1"/>
  <c r="N79" i="3" a="1"/>
  <c r="N79" i="3" s="1"/>
  <c r="I76" i="4" s="1"/>
  <c r="M79" i="3" a="1"/>
  <c r="M79" i="3" s="1"/>
  <c r="H76" i="4" s="1"/>
  <c r="L79" i="3" a="1"/>
  <c r="L79" i="3" s="1"/>
  <c r="G76" i="4" s="1"/>
  <c r="K79" i="3" a="1"/>
  <c r="K79" i="3" s="1"/>
  <c r="F76" i="4" s="1"/>
  <c r="J79" i="3" a="1"/>
  <c r="J79" i="3" s="1"/>
  <c r="E76" i="4" s="1"/>
  <c r="AD78" i="3" a="1"/>
  <c r="AD78" i="3" s="1"/>
  <c r="Y75" i="4" s="1"/>
  <c r="AC78" i="3" a="1"/>
  <c r="AC78" i="3" s="1"/>
  <c r="X75" i="4" s="1"/>
  <c r="AB78" i="3" a="1"/>
  <c r="AB78" i="3" s="1"/>
  <c r="W75" i="4" s="1"/>
  <c r="AA78" i="3" a="1"/>
  <c r="AA78" i="3" s="1"/>
  <c r="V75" i="4" s="1"/>
  <c r="Z78" i="3" a="1"/>
  <c r="Z78" i="3" s="1"/>
  <c r="U75" i="4" s="1"/>
  <c r="Y78" i="3" a="1"/>
  <c r="Y78" i="3" s="1"/>
  <c r="T75" i="4" s="1"/>
  <c r="X78" i="3" a="1"/>
  <c r="X78" i="3" s="1"/>
  <c r="S75" i="4" s="1"/>
  <c r="W78" i="3" a="1"/>
  <c r="W78" i="3" s="1"/>
  <c r="R75" i="4" s="1"/>
  <c r="V78" i="3" a="1"/>
  <c r="V78" i="3" s="1"/>
  <c r="Q75" i="4" s="1"/>
  <c r="U78" i="3" a="1"/>
  <c r="U78" i="3" s="1"/>
  <c r="P75" i="4" s="1"/>
  <c r="T78" i="3" a="1"/>
  <c r="T78" i="3" s="1"/>
  <c r="O75" i="4" s="1"/>
  <c r="S78" i="3" a="1"/>
  <c r="S78" i="3" s="1"/>
  <c r="N75" i="4" s="1"/>
  <c r="R78" i="3" a="1"/>
  <c r="R78" i="3" s="1"/>
  <c r="M75" i="4" s="1"/>
  <c r="Q78" i="3" a="1"/>
  <c r="Q78" i="3" s="1"/>
  <c r="L75" i="4" s="1"/>
  <c r="P78" i="3" a="1"/>
  <c r="P78" i="3" s="1"/>
  <c r="K75" i="4" s="1"/>
  <c r="O78" i="3" a="1"/>
  <c r="O78" i="3" s="1"/>
  <c r="J75" i="4" s="1"/>
  <c r="N78" i="3" a="1"/>
  <c r="N78" i="3" s="1"/>
  <c r="I75" i="4" s="1"/>
  <c r="M78" i="3" a="1"/>
  <c r="M78" i="3" s="1"/>
  <c r="H75" i="4" s="1"/>
  <c r="L78" i="3" a="1"/>
  <c r="L78" i="3" s="1"/>
  <c r="G75" i="4" s="1"/>
  <c r="K78" i="3" a="1"/>
  <c r="K78" i="3" s="1"/>
  <c r="F75" i="4" s="1"/>
  <c r="J78" i="3" a="1"/>
  <c r="J78" i="3" s="1"/>
  <c r="E75" i="4" s="1"/>
  <c r="AD77" i="3" a="1"/>
  <c r="AD77" i="3" s="1"/>
  <c r="Y74" i="4" s="1"/>
  <c r="AC77" i="3" a="1"/>
  <c r="AC77" i="3" s="1"/>
  <c r="X74" i="4" s="1"/>
  <c r="AB77" i="3" a="1"/>
  <c r="AB77" i="3" s="1"/>
  <c r="W74" i="4" s="1"/>
  <c r="AA77" i="3" a="1"/>
  <c r="AA77" i="3" s="1"/>
  <c r="V74" i="4" s="1"/>
  <c r="Z77" i="3" a="1"/>
  <c r="Z77" i="3" s="1"/>
  <c r="U74" i="4" s="1"/>
  <c r="Y77" i="3" a="1"/>
  <c r="Y77" i="3" s="1"/>
  <c r="T74" i="4" s="1"/>
  <c r="X77" i="3" a="1"/>
  <c r="X77" i="3" s="1"/>
  <c r="S74" i="4" s="1"/>
  <c r="W77" i="3" a="1"/>
  <c r="W77" i="3" s="1"/>
  <c r="R74" i="4" s="1"/>
  <c r="V77" i="3" a="1"/>
  <c r="V77" i="3" s="1"/>
  <c r="Q74" i="4" s="1"/>
  <c r="U77" i="3" a="1"/>
  <c r="U77" i="3" s="1"/>
  <c r="P74" i="4" s="1"/>
  <c r="T77" i="3" a="1"/>
  <c r="T77" i="3" s="1"/>
  <c r="O74" i="4" s="1"/>
  <c r="S77" i="3" a="1"/>
  <c r="S77" i="3" s="1"/>
  <c r="N74" i="4" s="1"/>
  <c r="R77" i="3" a="1"/>
  <c r="R77" i="3" s="1"/>
  <c r="M74" i="4" s="1"/>
  <c r="Q77" i="3" a="1"/>
  <c r="Q77" i="3" s="1"/>
  <c r="L74" i="4" s="1"/>
  <c r="P77" i="3" a="1"/>
  <c r="P77" i="3" s="1"/>
  <c r="K74" i="4" s="1"/>
  <c r="O77" i="3" a="1"/>
  <c r="O77" i="3" s="1"/>
  <c r="J74" i="4" s="1"/>
  <c r="N77" i="3" a="1"/>
  <c r="N77" i="3" s="1"/>
  <c r="I74" i="4" s="1"/>
  <c r="M77" i="3" a="1"/>
  <c r="M77" i="3" s="1"/>
  <c r="H74" i="4" s="1"/>
  <c r="L77" i="3" a="1"/>
  <c r="L77" i="3" s="1"/>
  <c r="G74" i="4" s="1"/>
  <c r="K77" i="3" a="1"/>
  <c r="K77" i="3" s="1"/>
  <c r="F74" i="4" s="1"/>
  <c r="J77" i="3" a="1"/>
  <c r="J77" i="3" s="1"/>
  <c r="E74" i="4" s="1"/>
  <c r="AD76" i="3" a="1"/>
  <c r="AD76" i="3" s="1"/>
  <c r="Y73" i="4" s="1"/>
  <c r="AC76" i="3" a="1"/>
  <c r="AC76" i="3" s="1"/>
  <c r="X73" i="4" s="1"/>
  <c r="AB76" i="3" a="1"/>
  <c r="AB76" i="3" s="1"/>
  <c r="W73" i="4" s="1"/>
  <c r="AA76" i="3" a="1"/>
  <c r="AA76" i="3" s="1"/>
  <c r="V73" i="4" s="1"/>
  <c r="Z76" i="3" a="1"/>
  <c r="Z76" i="3" s="1"/>
  <c r="U73" i="4" s="1"/>
  <c r="Y76" i="3" a="1"/>
  <c r="Y76" i="3" s="1"/>
  <c r="T73" i="4" s="1"/>
  <c r="X76" i="3" a="1"/>
  <c r="X76" i="3" s="1"/>
  <c r="S73" i="4" s="1"/>
  <c r="W76" i="3" a="1"/>
  <c r="W76" i="3" s="1"/>
  <c r="R73" i="4" s="1"/>
  <c r="V76" i="3" a="1"/>
  <c r="V76" i="3" s="1"/>
  <c r="Q73" i="4" s="1"/>
  <c r="U76" i="3" a="1"/>
  <c r="U76" i="3" s="1"/>
  <c r="P73" i="4" s="1"/>
  <c r="T76" i="3" a="1"/>
  <c r="T76" i="3" s="1"/>
  <c r="O73" i="4" s="1"/>
  <c r="S76" i="3" a="1"/>
  <c r="S76" i="3" s="1"/>
  <c r="N73" i="4" s="1"/>
  <c r="R76" i="3" a="1"/>
  <c r="R76" i="3" s="1"/>
  <c r="M73" i="4" s="1"/>
  <c r="Q76" i="3" a="1"/>
  <c r="Q76" i="3" s="1"/>
  <c r="L73" i="4" s="1"/>
  <c r="P76" i="3" a="1"/>
  <c r="P76" i="3" s="1"/>
  <c r="K73" i="4" s="1"/>
  <c r="O76" i="3" a="1"/>
  <c r="O76" i="3" s="1"/>
  <c r="J73" i="4" s="1"/>
  <c r="N76" i="3" a="1"/>
  <c r="N76" i="3" s="1"/>
  <c r="I73" i="4" s="1"/>
  <c r="M76" i="3" a="1"/>
  <c r="M76" i="3" s="1"/>
  <c r="H73" i="4" s="1"/>
  <c r="L76" i="3" a="1"/>
  <c r="L76" i="3" s="1"/>
  <c r="G73" i="4" s="1"/>
  <c r="K76" i="3" a="1"/>
  <c r="K76" i="3" s="1"/>
  <c r="F73" i="4" s="1"/>
  <c r="J76" i="3" a="1"/>
  <c r="J76" i="3" s="1"/>
  <c r="E73" i="4" s="1"/>
  <c r="AD75" i="3" a="1"/>
  <c r="AD75" i="3" s="1"/>
  <c r="Y72" i="4" s="1"/>
  <c r="AC75" i="3" a="1"/>
  <c r="AC75" i="3" s="1"/>
  <c r="X72" i="4" s="1"/>
  <c r="AB75" i="3" a="1"/>
  <c r="AB75" i="3" s="1"/>
  <c r="W72" i="4" s="1"/>
  <c r="AA75" i="3" a="1"/>
  <c r="AA75" i="3" s="1"/>
  <c r="V72" i="4" s="1"/>
  <c r="Z75" i="3" a="1"/>
  <c r="Z75" i="3" s="1"/>
  <c r="U72" i="4" s="1"/>
  <c r="Y75" i="3" a="1"/>
  <c r="Y75" i="3" s="1"/>
  <c r="T72" i="4" s="1"/>
  <c r="X75" i="3" a="1"/>
  <c r="X75" i="3" s="1"/>
  <c r="S72" i="4" s="1"/>
  <c r="W75" i="3" a="1"/>
  <c r="W75" i="3" s="1"/>
  <c r="R72" i="4" s="1"/>
  <c r="V75" i="3" a="1"/>
  <c r="V75" i="3" s="1"/>
  <c r="Q72" i="4" s="1"/>
  <c r="U75" i="3" a="1"/>
  <c r="U75" i="3" s="1"/>
  <c r="P72" i="4" s="1"/>
  <c r="T75" i="3" a="1"/>
  <c r="T75" i="3" s="1"/>
  <c r="O72" i="4" s="1"/>
  <c r="S75" i="3" a="1"/>
  <c r="S75" i="3" s="1"/>
  <c r="N72" i="4" s="1"/>
  <c r="R75" i="3" a="1"/>
  <c r="R75" i="3" s="1"/>
  <c r="M72" i="4" s="1"/>
  <c r="Q75" i="3" a="1"/>
  <c r="Q75" i="3" s="1"/>
  <c r="L72" i="4" s="1"/>
  <c r="P75" i="3" a="1"/>
  <c r="P75" i="3" s="1"/>
  <c r="K72" i="4" s="1"/>
  <c r="O75" i="3" a="1"/>
  <c r="O75" i="3" s="1"/>
  <c r="J72" i="4" s="1"/>
  <c r="N75" i="3" a="1"/>
  <c r="N75" i="3" s="1"/>
  <c r="I72" i="4" s="1"/>
  <c r="M75" i="3" a="1"/>
  <c r="M75" i="3" s="1"/>
  <c r="H72" i="4" s="1"/>
  <c r="L75" i="3" a="1"/>
  <c r="L75" i="3" s="1"/>
  <c r="G72" i="4" s="1"/>
  <c r="K75" i="3" a="1"/>
  <c r="K75" i="3" s="1"/>
  <c r="F72" i="4" s="1"/>
  <c r="J75" i="3" a="1"/>
  <c r="J75" i="3" s="1"/>
  <c r="E72" i="4" s="1"/>
  <c r="AD74" i="3" a="1"/>
  <c r="AD74" i="3" s="1"/>
  <c r="Y71" i="4" s="1"/>
  <c r="AC74" i="3" a="1"/>
  <c r="AC74" i="3" s="1"/>
  <c r="X71" i="4" s="1"/>
  <c r="AB74" i="3" a="1"/>
  <c r="AB74" i="3" s="1"/>
  <c r="W71" i="4" s="1"/>
  <c r="AA74" i="3" a="1"/>
  <c r="AA74" i="3" s="1"/>
  <c r="V71" i="4" s="1"/>
  <c r="Z74" i="3" a="1"/>
  <c r="Z74" i="3" s="1"/>
  <c r="U71" i="4" s="1"/>
  <c r="Y74" i="3" a="1"/>
  <c r="Y74" i="3" s="1"/>
  <c r="T71" i="4" s="1"/>
  <c r="X74" i="3" a="1"/>
  <c r="X74" i="3" s="1"/>
  <c r="S71" i="4" s="1"/>
  <c r="W74" i="3" a="1"/>
  <c r="W74" i="3" s="1"/>
  <c r="R71" i="4" s="1"/>
  <c r="V74" i="3" a="1"/>
  <c r="V74" i="3" s="1"/>
  <c r="Q71" i="4" s="1"/>
  <c r="U74" i="3" a="1"/>
  <c r="U74" i="3" s="1"/>
  <c r="P71" i="4" s="1"/>
  <c r="T74" i="3" a="1"/>
  <c r="T74" i="3" s="1"/>
  <c r="O71" i="4" s="1"/>
  <c r="S74" i="3" a="1"/>
  <c r="S74" i="3" s="1"/>
  <c r="N71" i="4" s="1"/>
  <c r="R74" i="3" a="1"/>
  <c r="R74" i="3" s="1"/>
  <c r="M71" i="4" s="1"/>
  <c r="Q74" i="3" a="1"/>
  <c r="Q74" i="3" s="1"/>
  <c r="L71" i="4" s="1"/>
  <c r="P74" i="3" a="1"/>
  <c r="P74" i="3" s="1"/>
  <c r="K71" i="4" s="1"/>
  <c r="O74" i="3" a="1"/>
  <c r="O74" i="3" s="1"/>
  <c r="J71" i="4" s="1"/>
  <c r="N74" i="3" a="1"/>
  <c r="N74" i="3" s="1"/>
  <c r="I71" i="4" s="1"/>
  <c r="M74" i="3" a="1"/>
  <c r="M74" i="3" s="1"/>
  <c r="H71" i="4" s="1"/>
  <c r="L74" i="3" a="1"/>
  <c r="L74" i="3" s="1"/>
  <c r="G71" i="4" s="1"/>
  <c r="K74" i="3" a="1"/>
  <c r="K74" i="3" s="1"/>
  <c r="F71" i="4" s="1"/>
  <c r="J74" i="3" a="1"/>
  <c r="J74" i="3" s="1"/>
  <c r="E71" i="4" s="1"/>
  <c r="AD73" i="3" a="1"/>
  <c r="AD73" i="3" s="1"/>
  <c r="Y70" i="4" s="1"/>
  <c r="AC73" i="3" a="1"/>
  <c r="AC73" i="3" s="1"/>
  <c r="X70" i="4" s="1"/>
  <c r="AB73" i="3" a="1"/>
  <c r="AB73" i="3" s="1"/>
  <c r="W70" i="4" s="1"/>
  <c r="AA73" i="3" a="1"/>
  <c r="AA73" i="3" s="1"/>
  <c r="V70" i="4" s="1"/>
  <c r="Z73" i="3" a="1"/>
  <c r="Z73" i="3" s="1"/>
  <c r="U70" i="4" s="1"/>
  <c r="Y73" i="3" a="1"/>
  <c r="Y73" i="3" s="1"/>
  <c r="T70" i="4" s="1"/>
  <c r="X73" i="3" a="1"/>
  <c r="X73" i="3" s="1"/>
  <c r="S70" i="4" s="1"/>
  <c r="W73" i="3" a="1"/>
  <c r="W73" i="3" s="1"/>
  <c r="R70" i="4" s="1"/>
  <c r="V73" i="3" a="1"/>
  <c r="V73" i="3" s="1"/>
  <c r="Q70" i="4" s="1"/>
  <c r="U73" i="3" a="1"/>
  <c r="U73" i="3" s="1"/>
  <c r="P70" i="4" s="1"/>
  <c r="T73" i="3" a="1"/>
  <c r="T73" i="3" s="1"/>
  <c r="O70" i="4" s="1"/>
  <c r="S73" i="3" a="1"/>
  <c r="S73" i="3" s="1"/>
  <c r="N70" i="4" s="1"/>
  <c r="R73" i="3" a="1"/>
  <c r="R73" i="3" s="1"/>
  <c r="M70" i="4" s="1"/>
  <c r="Q73" i="3" a="1"/>
  <c r="Q73" i="3" s="1"/>
  <c r="L70" i="4" s="1"/>
  <c r="P73" i="3" a="1"/>
  <c r="P73" i="3" s="1"/>
  <c r="K70" i="4" s="1"/>
  <c r="O73" i="3" a="1"/>
  <c r="O73" i="3" s="1"/>
  <c r="J70" i="4" s="1"/>
  <c r="N73" i="3" a="1"/>
  <c r="N73" i="3" s="1"/>
  <c r="I70" i="4" s="1"/>
  <c r="M73" i="3" a="1"/>
  <c r="M73" i="3" s="1"/>
  <c r="H70" i="4" s="1"/>
  <c r="L73" i="3" a="1"/>
  <c r="L73" i="3" s="1"/>
  <c r="G70" i="4" s="1"/>
  <c r="K73" i="3" a="1"/>
  <c r="K73" i="3" s="1"/>
  <c r="F70" i="4" s="1"/>
  <c r="J73" i="3" a="1"/>
  <c r="J73" i="3" s="1"/>
  <c r="E70" i="4" s="1"/>
  <c r="AD72" i="3" a="1"/>
  <c r="AD72" i="3" s="1"/>
  <c r="Y69" i="4" s="1"/>
  <c r="AC72" i="3" a="1"/>
  <c r="AC72" i="3" s="1"/>
  <c r="X69" i="4" s="1"/>
  <c r="AB72" i="3" a="1"/>
  <c r="AB72" i="3" s="1"/>
  <c r="W69" i="4" s="1"/>
  <c r="AA72" i="3" a="1"/>
  <c r="AA72" i="3" s="1"/>
  <c r="V69" i="4" s="1"/>
  <c r="Z72" i="3" a="1"/>
  <c r="Z72" i="3" s="1"/>
  <c r="U69" i="4" s="1"/>
  <c r="Y72" i="3" a="1"/>
  <c r="Y72" i="3" s="1"/>
  <c r="T69" i="4" s="1"/>
  <c r="X72" i="3" a="1"/>
  <c r="X72" i="3" s="1"/>
  <c r="S69" i="4" s="1"/>
  <c r="W72" i="3" a="1"/>
  <c r="W72" i="3" s="1"/>
  <c r="R69" i="4" s="1"/>
  <c r="V72" i="3" a="1"/>
  <c r="V72" i="3" s="1"/>
  <c r="Q69" i="4" s="1"/>
  <c r="U72" i="3" a="1"/>
  <c r="U72" i="3" s="1"/>
  <c r="P69" i="4" s="1"/>
  <c r="T72" i="3" a="1"/>
  <c r="T72" i="3" s="1"/>
  <c r="O69" i="4" s="1"/>
  <c r="S72" i="3" a="1"/>
  <c r="S72" i="3" s="1"/>
  <c r="N69" i="4" s="1"/>
  <c r="R72" i="3" a="1"/>
  <c r="R72" i="3" s="1"/>
  <c r="M69" i="4" s="1"/>
  <c r="Q72" i="3" a="1"/>
  <c r="Q72" i="3" s="1"/>
  <c r="L69" i="4" s="1"/>
  <c r="P72" i="3" a="1"/>
  <c r="P72" i="3" s="1"/>
  <c r="K69" i="4" s="1"/>
  <c r="O72" i="3" a="1"/>
  <c r="O72" i="3" s="1"/>
  <c r="J69" i="4" s="1"/>
  <c r="N72" i="3" a="1"/>
  <c r="N72" i="3" s="1"/>
  <c r="I69" i="4" s="1"/>
  <c r="M72" i="3" a="1"/>
  <c r="M72" i="3" s="1"/>
  <c r="H69" i="4" s="1"/>
  <c r="L72" i="3" a="1"/>
  <c r="L72" i="3" s="1"/>
  <c r="G69" i="4" s="1"/>
  <c r="K72" i="3" a="1"/>
  <c r="K72" i="3" s="1"/>
  <c r="F69" i="4" s="1"/>
  <c r="J72" i="3" a="1"/>
  <c r="J72" i="3" s="1"/>
  <c r="E69" i="4" s="1"/>
  <c r="AD71" i="3" a="1"/>
  <c r="AD71" i="3" s="1"/>
  <c r="Y68" i="4" s="1"/>
  <c r="AC71" i="3" a="1"/>
  <c r="AC71" i="3" s="1"/>
  <c r="X68" i="4" s="1"/>
  <c r="AB71" i="3" a="1"/>
  <c r="AB71" i="3" s="1"/>
  <c r="W68" i="4" s="1"/>
  <c r="AA71" i="3" a="1"/>
  <c r="AA71" i="3" s="1"/>
  <c r="V68" i="4" s="1"/>
  <c r="Z71" i="3" a="1"/>
  <c r="Z71" i="3" s="1"/>
  <c r="U68" i="4" s="1"/>
  <c r="Y71" i="3" a="1"/>
  <c r="Y71" i="3" s="1"/>
  <c r="T68" i="4" s="1"/>
  <c r="X71" i="3" a="1"/>
  <c r="X71" i="3" s="1"/>
  <c r="S68" i="4" s="1"/>
  <c r="W71" i="3" a="1"/>
  <c r="W71" i="3" s="1"/>
  <c r="R68" i="4" s="1"/>
  <c r="V71" i="3" a="1"/>
  <c r="V71" i="3" s="1"/>
  <c r="Q68" i="4" s="1"/>
  <c r="U71" i="3" a="1"/>
  <c r="U71" i="3" s="1"/>
  <c r="P68" i="4" s="1"/>
  <c r="T71" i="3" a="1"/>
  <c r="T71" i="3" s="1"/>
  <c r="O68" i="4" s="1"/>
  <c r="S71" i="3" a="1"/>
  <c r="S71" i="3" s="1"/>
  <c r="N68" i="4" s="1"/>
  <c r="R71" i="3" a="1"/>
  <c r="R71" i="3" s="1"/>
  <c r="M68" i="4" s="1"/>
  <c r="Q71" i="3" a="1"/>
  <c r="Q71" i="3" s="1"/>
  <c r="L68" i="4" s="1"/>
  <c r="P71" i="3" a="1"/>
  <c r="P71" i="3" s="1"/>
  <c r="K68" i="4" s="1"/>
  <c r="O71" i="3" a="1"/>
  <c r="O71" i="3" s="1"/>
  <c r="J68" i="4" s="1"/>
  <c r="N71" i="3" a="1"/>
  <c r="N71" i="3" s="1"/>
  <c r="I68" i="4" s="1"/>
  <c r="M71" i="3" a="1"/>
  <c r="M71" i="3" s="1"/>
  <c r="H68" i="4" s="1"/>
  <c r="L71" i="3" a="1"/>
  <c r="L71" i="3" s="1"/>
  <c r="G68" i="4" s="1"/>
  <c r="K71" i="3" a="1"/>
  <c r="K71" i="3" s="1"/>
  <c r="F68" i="4" s="1"/>
  <c r="J71" i="3" a="1"/>
  <c r="J71" i="3" s="1"/>
  <c r="E68" i="4" s="1"/>
  <c r="AD70" i="3" a="1"/>
  <c r="AD70" i="3" s="1"/>
  <c r="Y67" i="4" s="1"/>
  <c r="AC70" i="3" a="1"/>
  <c r="AC70" i="3" s="1"/>
  <c r="X67" i="4" s="1"/>
  <c r="AB70" i="3" a="1"/>
  <c r="AB70" i="3" s="1"/>
  <c r="W67" i="4" s="1"/>
  <c r="AA70" i="3" a="1"/>
  <c r="AA70" i="3" s="1"/>
  <c r="V67" i="4" s="1"/>
  <c r="Z70" i="3" a="1"/>
  <c r="Z70" i="3" s="1"/>
  <c r="U67" i="4" s="1"/>
  <c r="Y70" i="3" a="1"/>
  <c r="Y70" i="3" s="1"/>
  <c r="T67" i="4" s="1"/>
  <c r="X70" i="3" a="1"/>
  <c r="X70" i="3" s="1"/>
  <c r="S67" i="4" s="1"/>
  <c r="W70" i="3" a="1"/>
  <c r="W70" i="3" s="1"/>
  <c r="R67" i="4" s="1"/>
  <c r="V70" i="3" a="1"/>
  <c r="V70" i="3" s="1"/>
  <c r="Q67" i="4" s="1"/>
  <c r="U70" i="3" a="1"/>
  <c r="U70" i="3" s="1"/>
  <c r="P67" i="4" s="1"/>
  <c r="T70" i="3" a="1"/>
  <c r="T70" i="3" s="1"/>
  <c r="O67" i="4" s="1"/>
  <c r="S70" i="3" a="1"/>
  <c r="S70" i="3" s="1"/>
  <c r="N67" i="4" s="1"/>
  <c r="R70" i="3" a="1"/>
  <c r="R70" i="3" s="1"/>
  <c r="M67" i="4" s="1"/>
  <c r="Q70" i="3" a="1"/>
  <c r="Q70" i="3" s="1"/>
  <c r="L67" i="4" s="1"/>
  <c r="P70" i="3" a="1"/>
  <c r="P70" i="3" s="1"/>
  <c r="K67" i="4" s="1"/>
  <c r="O70" i="3" a="1"/>
  <c r="O70" i="3" s="1"/>
  <c r="J67" i="4" s="1"/>
  <c r="N70" i="3" a="1"/>
  <c r="N70" i="3" s="1"/>
  <c r="I67" i="4" s="1"/>
  <c r="M70" i="3" a="1"/>
  <c r="M70" i="3" s="1"/>
  <c r="H67" i="4" s="1"/>
  <c r="L70" i="3" a="1"/>
  <c r="L70" i="3" s="1"/>
  <c r="G67" i="4" s="1"/>
  <c r="K70" i="3" a="1"/>
  <c r="K70" i="3" s="1"/>
  <c r="F67" i="4" s="1"/>
  <c r="J70" i="3" a="1"/>
  <c r="J70" i="3" s="1"/>
  <c r="E67" i="4" s="1"/>
  <c r="AD69" i="3" a="1"/>
  <c r="AD69" i="3" s="1"/>
  <c r="Y66" i="4" s="1"/>
  <c r="AC69" i="3" a="1"/>
  <c r="AC69" i="3" s="1"/>
  <c r="X66" i="4" s="1"/>
  <c r="AB69" i="3" a="1"/>
  <c r="AB69" i="3" s="1"/>
  <c r="W66" i="4" s="1"/>
  <c r="AA69" i="3" a="1"/>
  <c r="AA69" i="3" s="1"/>
  <c r="V66" i="4" s="1"/>
  <c r="Z69" i="3" a="1"/>
  <c r="Z69" i="3" s="1"/>
  <c r="U66" i="4" s="1"/>
  <c r="Y69" i="3" a="1"/>
  <c r="Y69" i="3" s="1"/>
  <c r="T66" i="4" s="1"/>
  <c r="X69" i="3" a="1"/>
  <c r="X69" i="3" s="1"/>
  <c r="S66" i="4" s="1"/>
  <c r="W69" i="3" a="1"/>
  <c r="W69" i="3" s="1"/>
  <c r="R66" i="4" s="1"/>
  <c r="V69" i="3" a="1"/>
  <c r="V69" i="3" s="1"/>
  <c r="Q66" i="4" s="1"/>
  <c r="U69" i="3" a="1"/>
  <c r="U69" i="3" s="1"/>
  <c r="P66" i="4" s="1"/>
  <c r="T69" i="3" a="1"/>
  <c r="T69" i="3" s="1"/>
  <c r="O66" i="4" s="1"/>
  <c r="S69" i="3" a="1"/>
  <c r="S69" i="3" s="1"/>
  <c r="N66" i="4" s="1"/>
  <c r="R69" i="3" a="1"/>
  <c r="R69" i="3" s="1"/>
  <c r="M66" i="4" s="1"/>
  <c r="Q69" i="3" a="1"/>
  <c r="Q69" i="3" s="1"/>
  <c r="L66" i="4" s="1"/>
  <c r="P69" i="3" a="1"/>
  <c r="P69" i="3" s="1"/>
  <c r="K66" i="4" s="1"/>
  <c r="O69" i="3" a="1"/>
  <c r="O69" i="3" s="1"/>
  <c r="J66" i="4" s="1"/>
  <c r="N69" i="3" a="1"/>
  <c r="N69" i="3" s="1"/>
  <c r="I66" i="4" s="1"/>
  <c r="M69" i="3" a="1"/>
  <c r="M69" i="3" s="1"/>
  <c r="H66" i="4" s="1"/>
  <c r="L69" i="3" a="1"/>
  <c r="L69" i="3" s="1"/>
  <c r="G66" i="4" s="1"/>
  <c r="K69" i="3" a="1"/>
  <c r="K69" i="3" s="1"/>
  <c r="F66" i="4" s="1"/>
  <c r="J69" i="3" a="1"/>
  <c r="J69" i="3" s="1"/>
  <c r="E66" i="4" s="1"/>
  <c r="AD68" i="3" a="1"/>
  <c r="AD68" i="3" s="1"/>
  <c r="Y65" i="4" s="1"/>
  <c r="AC68" i="3" a="1"/>
  <c r="AC68" i="3" s="1"/>
  <c r="X65" i="4" s="1"/>
  <c r="AB68" i="3" a="1"/>
  <c r="AB68" i="3" s="1"/>
  <c r="W65" i="4" s="1"/>
  <c r="AA68" i="3" a="1"/>
  <c r="AA68" i="3" s="1"/>
  <c r="V65" i="4" s="1"/>
  <c r="Z68" i="3" a="1"/>
  <c r="Z68" i="3" s="1"/>
  <c r="U65" i="4" s="1"/>
  <c r="Y68" i="3" a="1"/>
  <c r="Y68" i="3" s="1"/>
  <c r="T65" i="4" s="1"/>
  <c r="X68" i="3" a="1"/>
  <c r="X68" i="3" s="1"/>
  <c r="S65" i="4" s="1"/>
  <c r="W68" i="3" a="1"/>
  <c r="W68" i="3" s="1"/>
  <c r="R65" i="4" s="1"/>
  <c r="V68" i="3" a="1"/>
  <c r="V68" i="3" s="1"/>
  <c r="Q65" i="4" s="1"/>
  <c r="U68" i="3" a="1"/>
  <c r="U68" i="3" s="1"/>
  <c r="P65" i="4" s="1"/>
  <c r="T68" i="3" a="1"/>
  <c r="T68" i="3" s="1"/>
  <c r="O65" i="4" s="1"/>
  <c r="S68" i="3" a="1"/>
  <c r="S68" i="3" s="1"/>
  <c r="N65" i="4" s="1"/>
  <c r="R68" i="3" a="1"/>
  <c r="R68" i="3" s="1"/>
  <c r="M65" i="4" s="1"/>
  <c r="Q68" i="3" a="1"/>
  <c r="Q68" i="3" s="1"/>
  <c r="L65" i="4" s="1"/>
  <c r="P68" i="3" a="1"/>
  <c r="P68" i="3" s="1"/>
  <c r="K65" i="4" s="1"/>
  <c r="O68" i="3" a="1"/>
  <c r="O68" i="3" s="1"/>
  <c r="J65" i="4" s="1"/>
  <c r="N68" i="3" a="1"/>
  <c r="N68" i="3" s="1"/>
  <c r="I65" i="4" s="1"/>
  <c r="M68" i="3" a="1"/>
  <c r="M68" i="3" s="1"/>
  <c r="H65" i="4" s="1"/>
  <c r="L68" i="3" a="1"/>
  <c r="L68" i="3" s="1"/>
  <c r="G65" i="4" s="1"/>
  <c r="K68" i="3" a="1"/>
  <c r="K68" i="3" s="1"/>
  <c r="F65" i="4" s="1"/>
  <c r="J68" i="3" a="1"/>
  <c r="J68" i="3" s="1"/>
  <c r="E65" i="4" s="1"/>
  <c r="AD67" i="3" a="1"/>
  <c r="AD67" i="3" s="1"/>
  <c r="Y64" i="4" s="1"/>
  <c r="AC67" i="3" a="1"/>
  <c r="AC67" i="3" s="1"/>
  <c r="X64" i="4" s="1"/>
  <c r="AB67" i="3" a="1"/>
  <c r="AB67" i="3" s="1"/>
  <c r="W64" i="4" s="1"/>
  <c r="AA67" i="3" a="1"/>
  <c r="AA67" i="3" s="1"/>
  <c r="V64" i="4" s="1"/>
  <c r="Z67" i="3" a="1"/>
  <c r="Z67" i="3" s="1"/>
  <c r="U64" i="4" s="1"/>
  <c r="Y67" i="3" a="1"/>
  <c r="Y67" i="3" s="1"/>
  <c r="T64" i="4" s="1"/>
  <c r="X67" i="3" a="1"/>
  <c r="X67" i="3" s="1"/>
  <c r="S64" i="4" s="1"/>
  <c r="W67" i="3" a="1"/>
  <c r="W67" i="3" s="1"/>
  <c r="R64" i="4" s="1"/>
  <c r="V67" i="3" a="1"/>
  <c r="V67" i="3" s="1"/>
  <c r="Q64" i="4" s="1"/>
  <c r="U67" i="3" a="1"/>
  <c r="U67" i="3" s="1"/>
  <c r="P64" i="4" s="1"/>
  <c r="T67" i="3" a="1"/>
  <c r="T67" i="3" s="1"/>
  <c r="O64" i="4" s="1"/>
  <c r="S67" i="3" a="1"/>
  <c r="S67" i="3" s="1"/>
  <c r="N64" i="4" s="1"/>
  <c r="R67" i="3" a="1"/>
  <c r="R67" i="3" s="1"/>
  <c r="M64" i="4" s="1"/>
  <c r="Q67" i="3" a="1"/>
  <c r="Q67" i="3" s="1"/>
  <c r="L64" i="4" s="1"/>
  <c r="P67" i="3" a="1"/>
  <c r="P67" i="3" s="1"/>
  <c r="K64" i="4" s="1"/>
  <c r="O67" i="3" a="1"/>
  <c r="O67" i="3" s="1"/>
  <c r="J64" i="4" s="1"/>
  <c r="N67" i="3" a="1"/>
  <c r="N67" i="3" s="1"/>
  <c r="I64" i="4" s="1"/>
  <c r="M67" i="3" a="1"/>
  <c r="M67" i="3" s="1"/>
  <c r="H64" i="4" s="1"/>
  <c r="L67" i="3" a="1"/>
  <c r="L67" i="3" s="1"/>
  <c r="G64" i="4" s="1"/>
  <c r="K67" i="3" a="1"/>
  <c r="K67" i="3" s="1"/>
  <c r="F64" i="4" s="1"/>
  <c r="J67" i="3" a="1"/>
  <c r="J67" i="3" s="1"/>
  <c r="E64" i="4" s="1"/>
  <c r="AD66" i="3" a="1"/>
  <c r="AD66" i="3" s="1"/>
  <c r="Y63" i="4" s="1"/>
  <c r="AC66" i="3" a="1"/>
  <c r="AC66" i="3" s="1"/>
  <c r="X63" i="4" s="1"/>
  <c r="AB66" i="3" a="1"/>
  <c r="AB66" i="3" s="1"/>
  <c r="W63" i="4" s="1"/>
  <c r="AA66" i="3" a="1"/>
  <c r="AA66" i="3" s="1"/>
  <c r="V63" i="4" s="1"/>
  <c r="Z66" i="3" a="1"/>
  <c r="Z66" i="3" s="1"/>
  <c r="U63" i="4" s="1"/>
  <c r="Y66" i="3" a="1"/>
  <c r="Y66" i="3" s="1"/>
  <c r="T63" i="4" s="1"/>
  <c r="X66" i="3" a="1"/>
  <c r="X66" i="3" s="1"/>
  <c r="S63" i="4" s="1"/>
  <c r="W66" i="3" a="1"/>
  <c r="W66" i="3" s="1"/>
  <c r="R63" i="4" s="1"/>
  <c r="V66" i="3" a="1"/>
  <c r="V66" i="3" s="1"/>
  <c r="Q63" i="4" s="1"/>
  <c r="U66" i="3" a="1"/>
  <c r="U66" i="3" s="1"/>
  <c r="P63" i="4" s="1"/>
  <c r="T66" i="3" a="1"/>
  <c r="T66" i="3" s="1"/>
  <c r="O63" i="4" s="1"/>
  <c r="S66" i="3" a="1"/>
  <c r="S66" i="3" s="1"/>
  <c r="N63" i="4" s="1"/>
  <c r="R66" i="3" a="1"/>
  <c r="R66" i="3" s="1"/>
  <c r="M63" i="4" s="1"/>
  <c r="Q66" i="3" a="1"/>
  <c r="Q66" i="3" s="1"/>
  <c r="L63" i="4" s="1"/>
  <c r="P66" i="3" a="1"/>
  <c r="P66" i="3" s="1"/>
  <c r="K63" i="4" s="1"/>
  <c r="O66" i="3" a="1"/>
  <c r="O66" i="3" s="1"/>
  <c r="J63" i="4" s="1"/>
  <c r="N66" i="3" a="1"/>
  <c r="N66" i="3" s="1"/>
  <c r="I63" i="4" s="1"/>
  <c r="M66" i="3" a="1"/>
  <c r="M66" i="3" s="1"/>
  <c r="H63" i="4" s="1"/>
  <c r="L66" i="3" a="1"/>
  <c r="L66" i="3" s="1"/>
  <c r="G63" i="4" s="1"/>
  <c r="K66" i="3" a="1"/>
  <c r="K66" i="3" s="1"/>
  <c r="F63" i="4" s="1"/>
  <c r="J66" i="3" a="1"/>
  <c r="J66" i="3" s="1"/>
  <c r="E63" i="4" s="1"/>
  <c r="AD65" i="3" a="1"/>
  <c r="AD65" i="3" s="1"/>
  <c r="Y62" i="4" s="1"/>
  <c r="AC65" i="3" a="1"/>
  <c r="AC65" i="3" s="1"/>
  <c r="X62" i="4" s="1"/>
  <c r="AB65" i="3" a="1"/>
  <c r="AB65" i="3" s="1"/>
  <c r="W62" i="4" s="1"/>
  <c r="AA65" i="3" a="1"/>
  <c r="AA65" i="3" s="1"/>
  <c r="V62" i="4" s="1"/>
  <c r="Z65" i="3" a="1"/>
  <c r="Z65" i="3" s="1"/>
  <c r="U62" i="4" s="1"/>
  <c r="Y65" i="3" a="1"/>
  <c r="Y65" i="3" s="1"/>
  <c r="T62" i="4" s="1"/>
  <c r="X65" i="3" a="1"/>
  <c r="X65" i="3" s="1"/>
  <c r="S62" i="4" s="1"/>
  <c r="W65" i="3" a="1"/>
  <c r="W65" i="3" s="1"/>
  <c r="R62" i="4" s="1"/>
  <c r="V65" i="3" a="1"/>
  <c r="V65" i="3" s="1"/>
  <c r="Q62" i="4" s="1"/>
  <c r="U65" i="3" a="1"/>
  <c r="U65" i="3" s="1"/>
  <c r="P62" i="4" s="1"/>
  <c r="T65" i="3" a="1"/>
  <c r="T65" i="3" s="1"/>
  <c r="O62" i="4" s="1"/>
  <c r="S65" i="3" a="1"/>
  <c r="S65" i="3" s="1"/>
  <c r="N62" i="4" s="1"/>
  <c r="R65" i="3" a="1"/>
  <c r="R65" i="3" s="1"/>
  <c r="M62" i="4" s="1"/>
  <c r="Q65" i="3" a="1"/>
  <c r="Q65" i="3" s="1"/>
  <c r="L62" i="4" s="1"/>
  <c r="P65" i="3" a="1"/>
  <c r="P65" i="3" s="1"/>
  <c r="K62" i="4" s="1"/>
  <c r="O65" i="3" a="1"/>
  <c r="O65" i="3" s="1"/>
  <c r="J62" i="4" s="1"/>
  <c r="N65" i="3" a="1"/>
  <c r="N65" i="3" s="1"/>
  <c r="I62" i="4" s="1"/>
  <c r="M65" i="3" a="1"/>
  <c r="M65" i="3" s="1"/>
  <c r="H62" i="4" s="1"/>
  <c r="L65" i="3" a="1"/>
  <c r="L65" i="3" s="1"/>
  <c r="G62" i="4" s="1"/>
  <c r="K65" i="3" a="1"/>
  <c r="K65" i="3" s="1"/>
  <c r="F62" i="4" s="1"/>
  <c r="J65" i="3" a="1"/>
  <c r="J65" i="3" s="1"/>
  <c r="E62" i="4" s="1"/>
  <c r="AD64" i="3" a="1"/>
  <c r="AD64" i="3" s="1"/>
  <c r="Y61" i="4" s="1"/>
  <c r="AC64" i="3" a="1"/>
  <c r="AC64" i="3" s="1"/>
  <c r="X61" i="4" s="1"/>
  <c r="AB64" i="3" a="1"/>
  <c r="AB64" i="3" s="1"/>
  <c r="W61" i="4" s="1"/>
  <c r="AA64" i="3" a="1"/>
  <c r="AA64" i="3" s="1"/>
  <c r="V61" i="4" s="1"/>
  <c r="Z64" i="3" a="1"/>
  <c r="Z64" i="3" s="1"/>
  <c r="U61" i="4" s="1"/>
  <c r="Y64" i="3" a="1"/>
  <c r="Y64" i="3" s="1"/>
  <c r="T61" i="4" s="1"/>
  <c r="X64" i="3" a="1"/>
  <c r="X64" i="3" s="1"/>
  <c r="S61" i="4" s="1"/>
  <c r="W64" i="3" a="1"/>
  <c r="W64" i="3" s="1"/>
  <c r="R61" i="4" s="1"/>
  <c r="V64" i="3" a="1"/>
  <c r="V64" i="3" s="1"/>
  <c r="Q61" i="4" s="1"/>
  <c r="U64" i="3" a="1"/>
  <c r="U64" i="3" s="1"/>
  <c r="P61" i="4" s="1"/>
  <c r="T64" i="3" a="1"/>
  <c r="T64" i="3" s="1"/>
  <c r="O61" i="4" s="1"/>
  <c r="S64" i="3" a="1"/>
  <c r="S64" i="3" s="1"/>
  <c r="N61" i="4" s="1"/>
  <c r="R64" i="3" a="1"/>
  <c r="R64" i="3" s="1"/>
  <c r="M61" i="4" s="1"/>
  <c r="Q64" i="3" a="1"/>
  <c r="Q64" i="3" s="1"/>
  <c r="L61" i="4" s="1"/>
  <c r="P64" i="3" a="1"/>
  <c r="P64" i="3" s="1"/>
  <c r="K61" i="4" s="1"/>
  <c r="O64" i="3" a="1"/>
  <c r="O64" i="3" s="1"/>
  <c r="J61" i="4" s="1"/>
  <c r="N64" i="3" a="1"/>
  <c r="N64" i="3" s="1"/>
  <c r="I61" i="4" s="1"/>
  <c r="M64" i="3" a="1"/>
  <c r="M64" i="3" s="1"/>
  <c r="H61" i="4" s="1"/>
  <c r="L64" i="3" a="1"/>
  <c r="L64" i="3" s="1"/>
  <c r="G61" i="4" s="1"/>
  <c r="K64" i="3" a="1"/>
  <c r="K64" i="3" s="1"/>
  <c r="F61" i="4" s="1"/>
  <c r="J64" i="3" a="1"/>
  <c r="J64" i="3" s="1"/>
  <c r="E61" i="4" s="1"/>
  <c r="AD63" i="3" a="1"/>
  <c r="AD63" i="3" s="1"/>
  <c r="Y60" i="4" s="1"/>
  <c r="AC63" i="3" a="1"/>
  <c r="AC63" i="3" s="1"/>
  <c r="X60" i="4" s="1"/>
  <c r="AB63" i="3" a="1"/>
  <c r="AB63" i="3" s="1"/>
  <c r="W60" i="4" s="1"/>
  <c r="AA63" i="3" a="1"/>
  <c r="AA63" i="3" s="1"/>
  <c r="V60" i="4" s="1"/>
  <c r="Z63" i="3" a="1"/>
  <c r="Z63" i="3" s="1"/>
  <c r="U60" i="4" s="1"/>
  <c r="Y63" i="3" a="1"/>
  <c r="Y63" i="3" s="1"/>
  <c r="T60" i="4" s="1"/>
  <c r="X63" i="3" a="1"/>
  <c r="X63" i="3" s="1"/>
  <c r="S60" i="4" s="1"/>
  <c r="W63" i="3" a="1"/>
  <c r="W63" i="3" s="1"/>
  <c r="R60" i="4" s="1"/>
  <c r="V63" i="3" a="1"/>
  <c r="V63" i="3" s="1"/>
  <c r="Q60" i="4" s="1"/>
  <c r="U63" i="3" a="1"/>
  <c r="U63" i="3" s="1"/>
  <c r="P60" i="4" s="1"/>
  <c r="T63" i="3" a="1"/>
  <c r="T63" i="3" s="1"/>
  <c r="O60" i="4" s="1"/>
  <c r="S63" i="3" a="1"/>
  <c r="S63" i="3" s="1"/>
  <c r="N60" i="4" s="1"/>
  <c r="R63" i="3" a="1"/>
  <c r="R63" i="3" s="1"/>
  <c r="M60" i="4" s="1"/>
  <c r="Q63" i="3" a="1"/>
  <c r="Q63" i="3" s="1"/>
  <c r="L60" i="4" s="1"/>
  <c r="P63" i="3" a="1"/>
  <c r="P63" i="3" s="1"/>
  <c r="K60" i="4" s="1"/>
  <c r="O63" i="3" a="1"/>
  <c r="O63" i="3" s="1"/>
  <c r="J60" i="4" s="1"/>
  <c r="N63" i="3" a="1"/>
  <c r="N63" i="3" s="1"/>
  <c r="I60" i="4" s="1"/>
  <c r="M63" i="3" a="1"/>
  <c r="M63" i="3" s="1"/>
  <c r="H60" i="4" s="1"/>
  <c r="L63" i="3" a="1"/>
  <c r="L63" i="3" s="1"/>
  <c r="G60" i="4" s="1"/>
  <c r="K63" i="3" a="1"/>
  <c r="K63" i="3" s="1"/>
  <c r="F60" i="4" s="1"/>
  <c r="J63" i="3" a="1"/>
  <c r="J63" i="3" s="1"/>
  <c r="E60" i="4" s="1"/>
  <c r="AD62" i="3" a="1"/>
  <c r="AD62" i="3" s="1"/>
  <c r="Y59" i="4" s="1"/>
  <c r="AC62" i="3" a="1"/>
  <c r="AC62" i="3" s="1"/>
  <c r="X59" i="4" s="1"/>
  <c r="AB62" i="3" a="1"/>
  <c r="AB62" i="3" s="1"/>
  <c r="W59" i="4" s="1"/>
  <c r="AA62" i="3" a="1"/>
  <c r="AA62" i="3" s="1"/>
  <c r="V59" i="4" s="1"/>
  <c r="Z62" i="3" a="1"/>
  <c r="Z62" i="3" s="1"/>
  <c r="U59" i="4" s="1"/>
  <c r="Y62" i="3" a="1"/>
  <c r="Y62" i="3" s="1"/>
  <c r="T59" i="4" s="1"/>
  <c r="X62" i="3" a="1"/>
  <c r="X62" i="3" s="1"/>
  <c r="S59" i="4" s="1"/>
  <c r="W62" i="3" a="1"/>
  <c r="W62" i="3" s="1"/>
  <c r="R59" i="4" s="1"/>
  <c r="V62" i="3" a="1"/>
  <c r="V62" i="3" s="1"/>
  <c r="Q59" i="4" s="1"/>
  <c r="U62" i="3" a="1"/>
  <c r="U62" i="3" s="1"/>
  <c r="P59" i="4" s="1"/>
  <c r="T62" i="3" a="1"/>
  <c r="T62" i="3" s="1"/>
  <c r="O59" i="4" s="1"/>
  <c r="S62" i="3" a="1"/>
  <c r="S62" i="3" s="1"/>
  <c r="N59" i="4" s="1"/>
  <c r="R62" i="3" a="1"/>
  <c r="R62" i="3" s="1"/>
  <c r="M59" i="4" s="1"/>
  <c r="Q62" i="3" a="1"/>
  <c r="Q62" i="3" s="1"/>
  <c r="L59" i="4" s="1"/>
  <c r="P62" i="3" a="1"/>
  <c r="P62" i="3" s="1"/>
  <c r="K59" i="4" s="1"/>
  <c r="O62" i="3" a="1"/>
  <c r="O62" i="3" s="1"/>
  <c r="J59" i="4" s="1"/>
  <c r="N62" i="3" a="1"/>
  <c r="N62" i="3" s="1"/>
  <c r="I59" i="4" s="1"/>
  <c r="M62" i="3" a="1"/>
  <c r="M62" i="3" s="1"/>
  <c r="H59" i="4" s="1"/>
  <c r="L62" i="3" a="1"/>
  <c r="L62" i="3" s="1"/>
  <c r="G59" i="4" s="1"/>
  <c r="K62" i="3" a="1"/>
  <c r="K62" i="3" s="1"/>
  <c r="F59" i="4" s="1"/>
  <c r="J62" i="3" a="1"/>
  <c r="J62" i="3" s="1"/>
  <c r="E59" i="4" s="1"/>
  <c r="AD61" i="3" a="1"/>
  <c r="AD61" i="3" s="1"/>
  <c r="Y58" i="4" s="1"/>
  <c r="AC61" i="3" a="1"/>
  <c r="AC61" i="3" s="1"/>
  <c r="X58" i="4" s="1"/>
  <c r="AB61" i="3" a="1"/>
  <c r="AB61" i="3" s="1"/>
  <c r="W58" i="4" s="1"/>
  <c r="AA61" i="3" a="1"/>
  <c r="AA61" i="3" s="1"/>
  <c r="V58" i="4" s="1"/>
  <c r="Z61" i="3" a="1"/>
  <c r="Z61" i="3" s="1"/>
  <c r="U58" i="4" s="1"/>
  <c r="Y61" i="3" a="1"/>
  <c r="Y61" i="3" s="1"/>
  <c r="T58" i="4" s="1"/>
  <c r="X61" i="3" a="1"/>
  <c r="X61" i="3" s="1"/>
  <c r="S58" i="4" s="1"/>
  <c r="W61" i="3" a="1"/>
  <c r="W61" i="3" s="1"/>
  <c r="R58" i="4" s="1"/>
  <c r="V61" i="3" a="1"/>
  <c r="V61" i="3" s="1"/>
  <c r="Q58" i="4" s="1"/>
  <c r="U61" i="3" a="1"/>
  <c r="U61" i="3" s="1"/>
  <c r="P58" i="4" s="1"/>
  <c r="T61" i="3" a="1"/>
  <c r="T61" i="3" s="1"/>
  <c r="O58" i="4" s="1"/>
  <c r="S61" i="3" a="1"/>
  <c r="S61" i="3" s="1"/>
  <c r="N58" i="4" s="1"/>
  <c r="R61" i="3" a="1"/>
  <c r="R61" i="3" s="1"/>
  <c r="M58" i="4" s="1"/>
  <c r="Q61" i="3" a="1"/>
  <c r="Q61" i="3" s="1"/>
  <c r="L58" i="4" s="1"/>
  <c r="P61" i="3" a="1"/>
  <c r="P61" i="3" s="1"/>
  <c r="K58" i="4" s="1"/>
  <c r="O61" i="3" a="1"/>
  <c r="O61" i="3" s="1"/>
  <c r="J58" i="4" s="1"/>
  <c r="N61" i="3" a="1"/>
  <c r="N61" i="3" s="1"/>
  <c r="I58" i="4" s="1"/>
  <c r="M61" i="3" a="1"/>
  <c r="M61" i="3" s="1"/>
  <c r="H58" i="4" s="1"/>
  <c r="L61" i="3" a="1"/>
  <c r="L61" i="3" s="1"/>
  <c r="G58" i="4" s="1"/>
  <c r="K61" i="3" a="1"/>
  <c r="K61" i="3" s="1"/>
  <c r="F58" i="4" s="1"/>
  <c r="J61" i="3" a="1"/>
  <c r="J61" i="3" s="1"/>
  <c r="E58" i="4" s="1"/>
  <c r="AD60" i="3" a="1"/>
  <c r="AD60" i="3" s="1"/>
  <c r="Y57" i="4" s="1"/>
  <c r="AC60" i="3" a="1"/>
  <c r="AC60" i="3" s="1"/>
  <c r="X57" i="4" s="1"/>
  <c r="AB60" i="3" a="1"/>
  <c r="AB60" i="3" s="1"/>
  <c r="W57" i="4" s="1"/>
  <c r="AA60" i="3" a="1"/>
  <c r="AA60" i="3" s="1"/>
  <c r="V57" i="4" s="1"/>
  <c r="Z60" i="3" a="1"/>
  <c r="Z60" i="3" s="1"/>
  <c r="U57" i="4" s="1"/>
  <c r="Y60" i="3" a="1"/>
  <c r="Y60" i="3" s="1"/>
  <c r="T57" i="4" s="1"/>
  <c r="X60" i="3" a="1"/>
  <c r="X60" i="3" s="1"/>
  <c r="S57" i="4" s="1"/>
  <c r="W60" i="3" a="1"/>
  <c r="W60" i="3" s="1"/>
  <c r="R57" i="4" s="1"/>
  <c r="V60" i="3" a="1"/>
  <c r="V60" i="3" s="1"/>
  <c r="Q57" i="4" s="1"/>
  <c r="U60" i="3" a="1"/>
  <c r="U60" i="3" s="1"/>
  <c r="P57" i="4" s="1"/>
  <c r="T60" i="3" a="1"/>
  <c r="T60" i="3" s="1"/>
  <c r="O57" i="4" s="1"/>
  <c r="S60" i="3" a="1"/>
  <c r="S60" i="3" s="1"/>
  <c r="N57" i="4" s="1"/>
  <c r="R60" i="3" a="1"/>
  <c r="R60" i="3" s="1"/>
  <c r="M57" i="4" s="1"/>
  <c r="Q60" i="3" a="1"/>
  <c r="Q60" i="3" s="1"/>
  <c r="L57" i="4" s="1"/>
  <c r="P60" i="3" a="1"/>
  <c r="P60" i="3" s="1"/>
  <c r="K57" i="4" s="1"/>
  <c r="O60" i="3" a="1"/>
  <c r="O60" i="3" s="1"/>
  <c r="J57" i="4" s="1"/>
  <c r="N60" i="3" a="1"/>
  <c r="N60" i="3" s="1"/>
  <c r="I57" i="4" s="1"/>
  <c r="M60" i="3" a="1"/>
  <c r="M60" i="3" s="1"/>
  <c r="H57" i="4" s="1"/>
  <c r="L60" i="3" a="1"/>
  <c r="L60" i="3" s="1"/>
  <c r="G57" i="4" s="1"/>
  <c r="K60" i="3" a="1"/>
  <c r="K60" i="3" s="1"/>
  <c r="F57" i="4" s="1"/>
  <c r="J60" i="3" a="1"/>
  <c r="J60" i="3" s="1"/>
  <c r="E57" i="4" s="1"/>
  <c r="AD59" i="3" a="1"/>
  <c r="AD59" i="3" s="1"/>
  <c r="Y56" i="4" s="1"/>
  <c r="AC59" i="3" a="1"/>
  <c r="AC59" i="3" s="1"/>
  <c r="X56" i="4" s="1"/>
  <c r="AB59" i="3" a="1"/>
  <c r="AB59" i="3" s="1"/>
  <c r="W56" i="4" s="1"/>
  <c r="AA59" i="3" a="1"/>
  <c r="AA59" i="3" s="1"/>
  <c r="V56" i="4" s="1"/>
  <c r="Z59" i="3" a="1"/>
  <c r="Z59" i="3" s="1"/>
  <c r="U56" i="4" s="1"/>
  <c r="Y59" i="3" a="1"/>
  <c r="Y59" i="3" s="1"/>
  <c r="T56" i="4" s="1"/>
  <c r="X59" i="3" a="1"/>
  <c r="X59" i="3" s="1"/>
  <c r="S56" i="4" s="1"/>
  <c r="W59" i="3" a="1"/>
  <c r="W59" i="3" s="1"/>
  <c r="R56" i="4" s="1"/>
  <c r="V59" i="3" a="1"/>
  <c r="V59" i="3" s="1"/>
  <c r="Q56" i="4" s="1"/>
  <c r="U59" i="3" a="1"/>
  <c r="U59" i="3" s="1"/>
  <c r="P56" i="4" s="1"/>
  <c r="T59" i="3" a="1"/>
  <c r="T59" i="3" s="1"/>
  <c r="O56" i="4" s="1"/>
  <c r="S59" i="3" a="1"/>
  <c r="S59" i="3" s="1"/>
  <c r="N56" i="4" s="1"/>
  <c r="R59" i="3" a="1"/>
  <c r="R59" i="3" s="1"/>
  <c r="M56" i="4" s="1"/>
  <c r="Q59" i="3" a="1"/>
  <c r="Q59" i="3" s="1"/>
  <c r="L56" i="4" s="1"/>
  <c r="P59" i="3" a="1"/>
  <c r="P59" i="3" s="1"/>
  <c r="K56" i="4" s="1"/>
  <c r="O59" i="3" a="1"/>
  <c r="O59" i="3" s="1"/>
  <c r="J56" i="4" s="1"/>
  <c r="N59" i="3" a="1"/>
  <c r="N59" i="3" s="1"/>
  <c r="I56" i="4" s="1"/>
  <c r="M59" i="3" a="1"/>
  <c r="M59" i="3" s="1"/>
  <c r="H56" i="4" s="1"/>
  <c r="L59" i="3" a="1"/>
  <c r="L59" i="3" s="1"/>
  <c r="G56" i="4" s="1"/>
  <c r="K59" i="3" a="1"/>
  <c r="K59" i="3" s="1"/>
  <c r="F56" i="4" s="1"/>
  <c r="J59" i="3" a="1"/>
  <c r="J59" i="3" s="1"/>
  <c r="E56" i="4" s="1"/>
  <c r="AD58" i="3" a="1"/>
  <c r="AD58" i="3" s="1"/>
  <c r="Y55" i="4" s="1"/>
  <c r="AC58" i="3" a="1"/>
  <c r="AC58" i="3" s="1"/>
  <c r="X55" i="4" s="1"/>
  <c r="AB58" i="3" a="1"/>
  <c r="AB58" i="3" s="1"/>
  <c r="W55" i="4" s="1"/>
  <c r="AA58" i="3" a="1"/>
  <c r="AA58" i="3" s="1"/>
  <c r="V55" i="4" s="1"/>
  <c r="Z58" i="3" a="1"/>
  <c r="Z58" i="3" s="1"/>
  <c r="U55" i="4" s="1"/>
  <c r="Y58" i="3" a="1"/>
  <c r="Y58" i="3" s="1"/>
  <c r="T55" i="4" s="1"/>
  <c r="X58" i="3" a="1"/>
  <c r="X58" i="3" s="1"/>
  <c r="S55" i="4" s="1"/>
  <c r="W58" i="3" a="1"/>
  <c r="W58" i="3" s="1"/>
  <c r="R55" i="4" s="1"/>
  <c r="V58" i="3" a="1"/>
  <c r="V58" i="3" s="1"/>
  <c r="Q55" i="4" s="1"/>
  <c r="U58" i="3" a="1"/>
  <c r="U58" i="3" s="1"/>
  <c r="P55" i="4" s="1"/>
  <c r="T58" i="3" a="1"/>
  <c r="T58" i="3" s="1"/>
  <c r="O55" i="4" s="1"/>
  <c r="S58" i="3" a="1"/>
  <c r="S58" i="3" s="1"/>
  <c r="N55" i="4" s="1"/>
  <c r="R58" i="3" a="1"/>
  <c r="R58" i="3" s="1"/>
  <c r="M55" i="4" s="1"/>
  <c r="Q58" i="3" a="1"/>
  <c r="Q58" i="3" s="1"/>
  <c r="L55" i="4" s="1"/>
  <c r="P58" i="3" a="1"/>
  <c r="P58" i="3" s="1"/>
  <c r="K55" i="4" s="1"/>
  <c r="O58" i="3" a="1"/>
  <c r="O58" i="3" s="1"/>
  <c r="J55" i="4" s="1"/>
  <c r="N58" i="3" a="1"/>
  <c r="N58" i="3" s="1"/>
  <c r="I55" i="4" s="1"/>
  <c r="M58" i="3" a="1"/>
  <c r="M58" i="3" s="1"/>
  <c r="H55" i="4" s="1"/>
  <c r="L58" i="3" a="1"/>
  <c r="L58" i="3" s="1"/>
  <c r="G55" i="4" s="1"/>
  <c r="K58" i="3" a="1"/>
  <c r="K58" i="3" s="1"/>
  <c r="F55" i="4" s="1"/>
  <c r="J58" i="3" a="1"/>
  <c r="J58" i="3" s="1"/>
  <c r="E55" i="4" s="1"/>
  <c r="AD57" i="3" a="1"/>
  <c r="AD57" i="3" s="1"/>
  <c r="Y54" i="4" s="1"/>
  <c r="AC57" i="3" a="1"/>
  <c r="AC57" i="3" s="1"/>
  <c r="X54" i="4" s="1"/>
  <c r="AB57" i="3" a="1"/>
  <c r="AB57" i="3" s="1"/>
  <c r="W54" i="4" s="1"/>
  <c r="AA57" i="3" a="1"/>
  <c r="AA57" i="3" s="1"/>
  <c r="V54" i="4" s="1"/>
  <c r="Z57" i="3" a="1"/>
  <c r="Z57" i="3" s="1"/>
  <c r="U54" i="4" s="1"/>
  <c r="Y57" i="3" a="1"/>
  <c r="Y57" i="3" s="1"/>
  <c r="T54" i="4" s="1"/>
  <c r="X57" i="3" a="1"/>
  <c r="X57" i="3" s="1"/>
  <c r="S54" i="4" s="1"/>
  <c r="W57" i="3" a="1"/>
  <c r="W57" i="3" s="1"/>
  <c r="R54" i="4" s="1"/>
  <c r="V57" i="3" a="1"/>
  <c r="V57" i="3" s="1"/>
  <c r="Q54" i="4" s="1"/>
  <c r="U57" i="3" a="1"/>
  <c r="U57" i="3" s="1"/>
  <c r="P54" i="4" s="1"/>
  <c r="T57" i="3" a="1"/>
  <c r="T57" i="3" s="1"/>
  <c r="O54" i="4" s="1"/>
  <c r="S57" i="3" a="1"/>
  <c r="S57" i="3" s="1"/>
  <c r="N54" i="4" s="1"/>
  <c r="R57" i="3" a="1"/>
  <c r="R57" i="3" s="1"/>
  <c r="M54" i="4" s="1"/>
  <c r="Q57" i="3" a="1"/>
  <c r="Q57" i="3" s="1"/>
  <c r="L54" i="4" s="1"/>
  <c r="P57" i="3" a="1"/>
  <c r="P57" i="3" s="1"/>
  <c r="K54" i="4" s="1"/>
  <c r="O57" i="3" a="1"/>
  <c r="O57" i="3" s="1"/>
  <c r="J54" i="4" s="1"/>
  <c r="N57" i="3" a="1"/>
  <c r="N57" i="3" s="1"/>
  <c r="I54" i="4" s="1"/>
  <c r="M57" i="3" a="1"/>
  <c r="M57" i="3" s="1"/>
  <c r="H54" i="4" s="1"/>
  <c r="L57" i="3" a="1"/>
  <c r="L57" i="3" s="1"/>
  <c r="G54" i="4" s="1"/>
  <c r="K57" i="3" a="1"/>
  <c r="K57" i="3" s="1"/>
  <c r="F54" i="4" s="1"/>
  <c r="J57" i="3" a="1"/>
  <c r="J57" i="3" s="1"/>
  <c r="E54" i="4" s="1"/>
  <c r="AD56" i="3" a="1"/>
  <c r="AD56" i="3" s="1"/>
  <c r="Y53" i="4" s="1"/>
  <c r="AC56" i="3" a="1"/>
  <c r="AC56" i="3" s="1"/>
  <c r="X53" i="4" s="1"/>
  <c r="AB56" i="3" a="1"/>
  <c r="AB56" i="3" s="1"/>
  <c r="W53" i="4" s="1"/>
  <c r="AA56" i="3" a="1"/>
  <c r="AA56" i="3" s="1"/>
  <c r="V53" i="4" s="1"/>
  <c r="Z56" i="3" a="1"/>
  <c r="Z56" i="3" s="1"/>
  <c r="U53" i="4" s="1"/>
  <c r="Y56" i="3" a="1"/>
  <c r="Y56" i="3" s="1"/>
  <c r="T53" i="4" s="1"/>
  <c r="X56" i="3" a="1"/>
  <c r="X56" i="3" s="1"/>
  <c r="S53" i="4" s="1"/>
  <c r="W56" i="3" a="1"/>
  <c r="W56" i="3" s="1"/>
  <c r="R53" i="4" s="1"/>
  <c r="V56" i="3" a="1"/>
  <c r="V56" i="3" s="1"/>
  <c r="Q53" i="4" s="1"/>
  <c r="U56" i="3" a="1"/>
  <c r="U56" i="3" s="1"/>
  <c r="P53" i="4" s="1"/>
  <c r="T56" i="3" a="1"/>
  <c r="T56" i="3" s="1"/>
  <c r="O53" i="4" s="1"/>
  <c r="S56" i="3" a="1"/>
  <c r="S56" i="3" s="1"/>
  <c r="N53" i="4" s="1"/>
  <c r="R56" i="3" a="1"/>
  <c r="R56" i="3" s="1"/>
  <c r="M53" i="4" s="1"/>
  <c r="Q56" i="3" a="1"/>
  <c r="Q56" i="3" s="1"/>
  <c r="L53" i="4" s="1"/>
  <c r="P56" i="3" a="1"/>
  <c r="P56" i="3" s="1"/>
  <c r="K53" i="4" s="1"/>
  <c r="O56" i="3" a="1"/>
  <c r="O56" i="3" s="1"/>
  <c r="J53" i="4" s="1"/>
  <c r="N56" i="3" a="1"/>
  <c r="N56" i="3" s="1"/>
  <c r="I53" i="4" s="1"/>
  <c r="M56" i="3" a="1"/>
  <c r="M56" i="3" s="1"/>
  <c r="H53" i="4" s="1"/>
  <c r="L56" i="3" a="1"/>
  <c r="L56" i="3" s="1"/>
  <c r="G53" i="4" s="1"/>
  <c r="K56" i="3" a="1"/>
  <c r="K56" i="3" s="1"/>
  <c r="F53" i="4" s="1"/>
  <c r="J56" i="3" a="1"/>
  <c r="J56" i="3" s="1"/>
  <c r="E53" i="4" s="1"/>
  <c r="AD55" i="3" a="1"/>
  <c r="AD55" i="3" s="1"/>
  <c r="Y52" i="4" s="1"/>
  <c r="AC55" i="3" a="1"/>
  <c r="AC55" i="3" s="1"/>
  <c r="X52" i="4" s="1"/>
  <c r="AB55" i="3" a="1"/>
  <c r="AB55" i="3" s="1"/>
  <c r="W52" i="4" s="1"/>
  <c r="AA55" i="3" a="1"/>
  <c r="AA55" i="3" s="1"/>
  <c r="V52" i="4" s="1"/>
  <c r="Z55" i="3" a="1"/>
  <c r="Z55" i="3" s="1"/>
  <c r="U52" i="4" s="1"/>
  <c r="Y55" i="3" a="1"/>
  <c r="Y55" i="3" s="1"/>
  <c r="T52" i="4" s="1"/>
  <c r="X55" i="3" a="1"/>
  <c r="X55" i="3" s="1"/>
  <c r="S52" i="4" s="1"/>
  <c r="W55" i="3" a="1"/>
  <c r="W55" i="3" s="1"/>
  <c r="R52" i="4" s="1"/>
  <c r="V55" i="3" a="1"/>
  <c r="V55" i="3" s="1"/>
  <c r="Q52" i="4" s="1"/>
  <c r="U55" i="3" a="1"/>
  <c r="U55" i="3" s="1"/>
  <c r="P52" i="4" s="1"/>
  <c r="T55" i="3" a="1"/>
  <c r="T55" i="3" s="1"/>
  <c r="O52" i="4" s="1"/>
  <c r="S55" i="3" a="1"/>
  <c r="S55" i="3" s="1"/>
  <c r="N52" i="4" s="1"/>
  <c r="R55" i="3" a="1"/>
  <c r="R55" i="3" s="1"/>
  <c r="M52" i="4" s="1"/>
  <c r="Q55" i="3" a="1"/>
  <c r="Q55" i="3" s="1"/>
  <c r="L52" i="4" s="1"/>
  <c r="P55" i="3" a="1"/>
  <c r="P55" i="3" s="1"/>
  <c r="K52" i="4" s="1"/>
  <c r="O55" i="3" a="1"/>
  <c r="O55" i="3" s="1"/>
  <c r="J52" i="4" s="1"/>
  <c r="N55" i="3" a="1"/>
  <c r="N55" i="3" s="1"/>
  <c r="I52" i="4" s="1"/>
  <c r="M55" i="3" a="1"/>
  <c r="M55" i="3" s="1"/>
  <c r="H52" i="4" s="1"/>
  <c r="L55" i="3" a="1"/>
  <c r="L55" i="3" s="1"/>
  <c r="G52" i="4" s="1"/>
  <c r="K55" i="3" a="1"/>
  <c r="K55" i="3" s="1"/>
  <c r="F52" i="4" s="1"/>
  <c r="J55" i="3" a="1"/>
  <c r="J55" i="3" s="1"/>
  <c r="E52" i="4" s="1"/>
  <c r="AD54" i="3" a="1"/>
  <c r="AD54" i="3" s="1"/>
  <c r="Y51" i="4" s="1"/>
  <c r="AC54" i="3" a="1"/>
  <c r="AC54" i="3" s="1"/>
  <c r="X51" i="4" s="1"/>
  <c r="AB54" i="3" a="1"/>
  <c r="AB54" i="3" s="1"/>
  <c r="W51" i="4" s="1"/>
  <c r="AA54" i="3" a="1"/>
  <c r="AA54" i="3" s="1"/>
  <c r="V51" i="4" s="1"/>
  <c r="Z54" i="3" a="1"/>
  <c r="Z54" i="3" s="1"/>
  <c r="U51" i="4" s="1"/>
  <c r="Y54" i="3" a="1"/>
  <c r="Y54" i="3" s="1"/>
  <c r="T51" i="4" s="1"/>
  <c r="X54" i="3" a="1"/>
  <c r="X54" i="3" s="1"/>
  <c r="S51" i="4" s="1"/>
  <c r="W54" i="3" a="1"/>
  <c r="W54" i="3" s="1"/>
  <c r="R51" i="4" s="1"/>
  <c r="V54" i="3" a="1"/>
  <c r="V54" i="3" s="1"/>
  <c r="Q51" i="4" s="1"/>
  <c r="U54" i="3" a="1"/>
  <c r="U54" i="3" s="1"/>
  <c r="P51" i="4" s="1"/>
  <c r="T54" i="3" a="1"/>
  <c r="T54" i="3" s="1"/>
  <c r="O51" i="4" s="1"/>
  <c r="S54" i="3" a="1"/>
  <c r="S54" i="3" s="1"/>
  <c r="N51" i="4" s="1"/>
  <c r="R54" i="3" a="1"/>
  <c r="R54" i="3" s="1"/>
  <c r="M51" i="4" s="1"/>
  <c r="Q54" i="3" a="1"/>
  <c r="Q54" i="3" s="1"/>
  <c r="L51" i="4" s="1"/>
  <c r="P54" i="3" a="1"/>
  <c r="P54" i="3" s="1"/>
  <c r="K51" i="4" s="1"/>
  <c r="O54" i="3" a="1"/>
  <c r="O54" i="3" s="1"/>
  <c r="J51" i="4" s="1"/>
  <c r="N54" i="3" a="1"/>
  <c r="N54" i="3" s="1"/>
  <c r="I51" i="4" s="1"/>
  <c r="M54" i="3" a="1"/>
  <c r="M54" i="3" s="1"/>
  <c r="H51" i="4" s="1"/>
  <c r="L54" i="3" a="1"/>
  <c r="L54" i="3" s="1"/>
  <c r="G51" i="4" s="1"/>
  <c r="K54" i="3" a="1"/>
  <c r="K54" i="3" s="1"/>
  <c r="F51" i="4" s="1"/>
  <c r="J54" i="3" a="1"/>
  <c r="J54" i="3" s="1"/>
  <c r="E51" i="4" s="1"/>
  <c r="AD53" i="3" a="1"/>
  <c r="AD53" i="3" s="1"/>
  <c r="Y50" i="4" s="1"/>
  <c r="AC53" i="3" a="1"/>
  <c r="AC53" i="3" s="1"/>
  <c r="X50" i="4" s="1"/>
  <c r="AB53" i="3" a="1"/>
  <c r="AB53" i="3" s="1"/>
  <c r="W50" i="4" s="1"/>
  <c r="AA53" i="3" a="1"/>
  <c r="AA53" i="3" s="1"/>
  <c r="V50" i="4" s="1"/>
  <c r="Z53" i="3" a="1"/>
  <c r="Z53" i="3" s="1"/>
  <c r="U50" i="4" s="1"/>
  <c r="Y53" i="3" a="1"/>
  <c r="Y53" i="3" s="1"/>
  <c r="T50" i="4" s="1"/>
  <c r="X53" i="3" a="1"/>
  <c r="X53" i="3" s="1"/>
  <c r="S50" i="4" s="1"/>
  <c r="W53" i="3" a="1"/>
  <c r="W53" i="3" s="1"/>
  <c r="R50" i="4" s="1"/>
  <c r="V53" i="3" a="1"/>
  <c r="V53" i="3" s="1"/>
  <c r="Q50" i="4" s="1"/>
  <c r="U53" i="3" a="1"/>
  <c r="U53" i="3" s="1"/>
  <c r="P50" i="4" s="1"/>
  <c r="T53" i="3" a="1"/>
  <c r="T53" i="3" s="1"/>
  <c r="O50" i="4" s="1"/>
  <c r="S53" i="3" a="1"/>
  <c r="S53" i="3" s="1"/>
  <c r="N50" i="4" s="1"/>
  <c r="R53" i="3" a="1"/>
  <c r="R53" i="3" s="1"/>
  <c r="M50" i="4" s="1"/>
  <c r="Q53" i="3" a="1"/>
  <c r="Q53" i="3" s="1"/>
  <c r="L50" i="4" s="1"/>
  <c r="P53" i="3" a="1"/>
  <c r="P53" i="3" s="1"/>
  <c r="K50" i="4" s="1"/>
  <c r="O53" i="3" a="1"/>
  <c r="O53" i="3" s="1"/>
  <c r="J50" i="4" s="1"/>
  <c r="N53" i="3" a="1"/>
  <c r="N53" i="3" s="1"/>
  <c r="I50" i="4" s="1"/>
  <c r="M53" i="3" a="1"/>
  <c r="M53" i="3" s="1"/>
  <c r="H50" i="4" s="1"/>
  <c r="L53" i="3" a="1"/>
  <c r="L53" i="3" s="1"/>
  <c r="G50" i="4" s="1"/>
  <c r="K53" i="3" a="1"/>
  <c r="K53" i="3" s="1"/>
  <c r="F50" i="4" s="1"/>
  <c r="J53" i="3" a="1"/>
  <c r="J53" i="3" s="1"/>
  <c r="E50" i="4" s="1"/>
  <c r="AD52" i="3" a="1"/>
  <c r="AD52" i="3" s="1"/>
  <c r="Y49" i="4" s="1"/>
  <c r="AC52" i="3" a="1"/>
  <c r="AC52" i="3" s="1"/>
  <c r="X49" i="4" s="1"/>
  <c r="AB52" i="3" a="1"/>
  <c r="AB52" i="3" s="1"/>
  <c r="W49" i="4" s="1"/>
  <c r="AA52" i="3" a="1"/>
  <c r="AA52" i="3" s="1"/>
  <c r="V49" i="4" s="1"/>
  <c r="Z52" i="3" a="1"/>
  <c r="Z52" i="3" s="1"/>
  <c r="U49" i="4" s="1"/>
  <c r="Y52" i="3" a="1"/>
  <c r="Y52" i="3" s="1"/>
  <c r="T49" i="4" s="1"/>
  <c r="X52" i="3" a="1"/>
  <c r="X52" i="3" s="1"/>
  <c r="S49" i="4" s="1"/>
  <c r="W52" i="3" a="1"/>
  <c r="W52" i="3" s="1"/>
  <c r="R49" i="4" s="1"/>
  <c r="V52" i="3" a="1"/>
  <c r="V52" i="3" s="1"/>
  <c r="Q49" i="4" s="1"/>
  <c r="U52" i="3" a="1"/>
  <c r="U52" i="3" s="1"/>
  <c r="P49" i="4" s="1"/>
  <c r="T52" i="3" a="1"/>
  <c r="T52" i="3" s="1"/>
  <c r="O49" i="4" s="1"/>
  <c r="S52" i="3" a="1"/>
  <c r="S52" i="3" s="1"/>
  <c r="N49" i="4" s="1"/>
  <c r="R52" i="3" a="1"/>
  <c r="R52" i="3" s="1"/>
  <c r="M49" i="4" s="1"/>
  <c r="Q52" i="3" a="1"/>
  <c r="Q52" i="3" s="1"/>
  <c r="L49" i="4" s="1"/>
  <c r="P52" i="3" a="1"/>
  <c r="P52" i="3" s="1"/>
  <c r="K49" i="4" s="1"/>
  <c r="O52" i="3" a="1"/>
  <c r="O52" i="3" s="1"/>
  <c r="J49" i="4" s="1"/>
  <c r="N52" i="3" a="1"/>
  <c r="N52" i="3" s="1"/>
  <c r="I49" i="4" s="1"/>
  <c r="M52" i="3" a="1"/>
  <c r="M52" i="3" s="1"/>
  <c r="H49" i="4" s="1"/>
  <c r="L52" i="3" a="1"/>
  <c r="L52" i="3" s="1"/>
  <c r="G49" i="4" s="1"/>
  <c r="K52" i="3" a="1"/>
  <c r="K52" i="3" s="1"/>
  <c r="F49" i="4" s="1"/>
  <c r="J52" i="3" a="1"/>
  <c r="J52" i="3" s="1"/>
  <c r="E49" i="4" s="1"/>
  <c r="AD51" i="3" a="1"/>
  <c r="AD51" i="3" s="1"/>
  <c r="Y48" i="4" s="1"/>
  <c r="AC51" i="3" a="1"/>
  <c r="AC51" i="3" s="1"/>
  <c r="X48" i="4" s="1"/>
  <c r="AB51" i="3" a="1"/>
  <c r="AB51" i="3" s="1"/>
  <c r="W48" i="4" s="1"/>
  <c r="AA51" i="3" a="1"/>
  <c r="AA51" i="3" s="1"/>
  <c r="V48" i="4" s="1"/>
  <c r="Z51" i="3" a="1"/>
  <c r="Z51" i="3" s="1"/>
  <c r="U48" i="4" s="1"/>
  <c r="Y51" i="3" a="1"/>
  <c r="Y51" i="3" s="1"/>
  <c r="T48" i="4" s="1"/>
  <c r="X51" i="3" a="1"/>
  <c r="X51" i="3" s="1"/>
  <c r="S48" i="4" s="1"/>
  <c r="W51" i="3" a="1"/>
  <c r="W51" i="3" s="1"/>
  <c r="R48" i="4" s="1"/>
  <c r="V51" i="3" a="1"/>
  <c r="V51" i="3" s="1"/>
  <c r="Q48" i="4" s="1"/>
  <c r="U51" i="3" a="1"/>
  <c r="U51" i="3" s="1"/>
  <c r="P48" i="4" s="1"/>
  <c r="T51" i="3" a="1"/>
  <c r="T51" i="3" s="1"/>
  <c r="O48" i="4" s="1"/>
  <c r="S51" i="3" a="1"/>
  <c r="S51" i="3" s="1"/>
  <c r="N48" i="4" s="1"/>
  <c r="R51" i="3" a="1"/>
  <c r="R51" i="3" s="1"/>
  <c r="M48" i="4" s="1"/>
  <c r="Q51" i="3" a="1"/>
  <c r="Q51" i="3" s="1"/>
  <c r="L48" i="4" s="1"/>
  <c r="P51" i="3" a="1"/>
  <c r="P51" i="3" s="1"/>
  <c r="K48" i="4" s="1"/>
  <c r="O51" i="3" a="1"/>
  <c r="O51" i="3" s="1"/>
  <c r="J48" i="4" s="1"/>
  <c r="N51" i="3" a="1"/>
  <c r="N51" i="3" s="1"/>
  <c r="I48" i="4" s="1"/>
  <c r="M51" i="3" a="1"/>
  <c r="M51" i="3" s="1"/>
  <c r="H48" i="4" s="1"/>
  <c r="L51" i="3" a="1"/>
  <c r="L51" i="3" s="1"/>
  <c r="G48" i="4" s="1"/>
  <c r="K51" i="3" a="1"/>
  <c r="K51" i="3" s="1"/>
  <c r="F48" i="4" s="1"/>
  <c r="J51" i="3" a="1"/>
  <c r="J51" i="3" s="1"/>
  <c r="E48" i="4" s="1"/>
  <c r="AD50" i="3" a="1"/>
  <c r="AD50" i="3" s="1"/>
  <c r="Y47" i="4" s="1"/>
  <c r="AC50" i="3" a="1"/>
  <c r="AC50" i="3" s="1"/>
  <c r="X47" i="4" s="1"/>
  <c r="AB50" i="3" a="1"/>
  <c r="AB50" i="3" s="1"/>
  <c r="W47" i="4" s="1"/>
  <c r="AA50" i="3" a="1"/>
  <c r="AA50" i="3" s="1"/>
  <c r="V47" i="4" s="1"/>
  <c r="Z50" i="3" a="1"/>
  <c r="Z50" i="3" s="1"/>
  <c r="U47" i="4" s="1"/>
  <c r="Y50" i="3" a="1"/>
  <c r="Y50" i="3" s="1"/>
  <c r="T47" i="4" s="1"/>
  <c r="X50" i="3" a="1"/>
  <c r="X50" i="3" s="1"/>
  <c r="S47" i="4" s="1"/>
  <c r="W50" i="3" a="1"/>
  <c r="W50" i="3" s="1"/>
  <c r="R47" i="4" s="1"/>
  <c r="V50" i="3" a="1"/>
  <c r="V50" i="3" s="1"/>
  <c r="Q47" i="4" s="1"/>
  <c r="U50" i="3" a="1"/>
  <c r="U50" i="3" s="1"/>
  <c r="P47" i="4" s="1"/>
  <c r="T50" i="3" a="1"/>
  <c r="T50" i="3" s="1"/>
  <c r="O47" i="4" s="1"/>
  <c r="S50" i="3" a="1"/>
  <c r="S50" i="3" s="1"/>
  <c r="N47" i="4" s="1"/>
  <c r="R50" i="3" a="1"/>
  <c r="R50" i="3" s="1"/>
  <c r="M47" i="4" s="1"/>
  <c r="Q50" i="3" a="1"/>
  <c r="Q50" i="3" s="1"/>
  <c r="L47" i="4" s="1"/>
  <c r="P50" i="3" a="1"/>
  <c r="P50" i="3" s="1"/>
  <c r="K47" i="4" s="1"/>
  <c r="O50" i="3" a="1"/>
  <c r="O50" i="3" s="1"/>
  <c r="J47" i="4" s="1"/>
  <c r="N50" i="3" a="1"/>
  <c r="N50" i="3" s="1"/>
  <c r="I47" i="4" s="1"/>
  <c r="M50" i="3" a="1"/>
  <c r="M50" i="3" s="1"/>
  <c r="H47" i="4" s="1"/>
  <c r="L50" i="3" a="1"/>
  <c r="L50" i="3" s="1"/>
  <c r="G47" i="4" s="1"/>
  <c r="K50" i="3" a="1"/>
  <c r="K50" i="3" s="1"/>
  <c r="F47" i="4" s="1"/>
  <c r="J50" i="3" a="1"/>
  <c r="J50" i="3" s="1"/>
  <c r="E47" i="4" s="1"/>
  <c r="AD49" i="3" a="1"/>
  <c r="AD49" i="3" s="1"/>
  <c r="Y46" i="4" s="1"/>
  <c r="AC49" i="3" a="1"/>
  <c r="AC49" i="3" s="1"/>
  <c r="X46" i="4" s="1"/>
  <c r="AB49" i="3" a="1"/>
  <c r="AB49" i="3" s="1"/>
  <c r="W46" i="4" s="1"/>
  <c r="AA49" i="3" a="1"/>
  <c r="AA49" i="3" s="1"/>
  <c r="V46" i="4" s="1"/>
  <c r="Z49" i="3" a="1"/>
  <c r="Z49" i="3" s="1"/>
  <c r="U46" i="4" s="1"/>
  <c r="Y49" i="3" a="1"/>
  <c r="Y49" i="3" s="1"/>
  <c r="T46" i="4" s="1"/>
  <c r="X49" i="3" a="1"/>
  <c r="X49" i="3" s="1"/>
  <c r="S46" i="4" s="1"/>
  <c r="W49" i="3" a="1"/>
  <c r="W49" i="3" s="1"/>
  <c r="R46" i="4" s="1"/>
  <c r="V49" i="3" a="1"/>
  <c r="V49" i="3" s="1"/>
  <c r="Q46" i="4" s="1"/>
  <c r="U49" i="3" a="1"/>
  <c r="U49" i="3" s="1"/>
  <c r="P46" i="4" s="1"/>
  <c r="T49" i="3" a="1"/>
  <c r="T49" i="3" s="1"/>
  <c r="O46" i="4" s="1"/>
  <c r="S49" i="3" a="1"/>
  <c r="S49" i="3" s="1"/>
  <c r="N46" i="4" s="1"/>
  <c r="R49" i="3" a="1"/>
  <c r="R49" i="3" s="1"/>
  <c r="M46" i="4" s="1"/>
  <c r="Q49" i="3" a="1"/>
  <c r="Q49" i="3" s="1"/>
  <c r="L46" i="4" s="1"/>
  <c r="P49" i="3" a="1"/>
  <c r="P49" i="3" s="1"/>
  <c r="K46" i="4" s="1"/>
  <c r="O49" i="3" a="1"/>
  <c r="O49" i="3" s="1"/>
  <c r="J46" i="4" s="1"/>
  <c r="N49" i="3" a="1"/>
  <c r="N49" i="3" s="1"/>
  <c r="I46" i="4" s="1"/>
  <c r="M49" i="3" a="1"/>
  <c r="M49" i="3" s="1"/>
  <c r="H46" i="4" s="1"/>
  <c r="L49" i="3" a="1"/>
  <c r="L49" i="3" s="1"/>
  <c r="G46" i="4" s="1"/>
  <c r="K49" i="3" a="1"/>
  <c r="K49" i="3" s="1"/>
  <c r="F46" i="4" s="1"/>
  <c r="J49" i="3" a="1"/>
  <c r="J49" i="3" s="1"/>
  <c r="E46" i="4" s="1"/>
  <c r="AD48" i="3" a="1"/>
  <c r="AD48" i="3" s="1"/>
  <c r="Y45" i="4" s="1"/>
  <c r="AC48" i="3" a="1"/>
  <c r="AC48" i="3" s="1"/>
  <c r="X45" i="4" s="1"/>
  <c r="AB48" i="3" a="1"/>
  <c r="AB48" i="3" s="1"/>
  <c r="W45" i="4" s="1"/>
  <c r="AA48" i="3" a="1"/>
  <c r="AA48" i="3" s="1"/>
  <c r="V45" i="4" s="1"/>
  <c r="Z48" i="3" a="1"/>
  <c r="Z48" i="3" s="1"/>
  <c r="U45" i="4" s="1"/>
  <c r="Y48" i="3" a="1"/>
  <c r="Y48" i="3" s="1"/>
  <c r="T45" i="4" s="1"/>
  <c r="X48" i="3" a="1"/>
  <c r="X48" i="3" s="1"/>
  <c r="S45" i="4" s="1"/>
  <c r="W48" i="3" a="1"/>
  <c r="W48" i="3" s="1"/>
  <c r="R45" i="4" s="1"/>
  <c r="V48" i="3" a="1"/>
  <c r="V48" i="3" s="1"/>
  <c r="Q45" i="4" s="1"/>
  <c r="U48" i="3" a="1"/>
  <c r="U48" i="3" s="1"/>
  <c r="P45" i="4" s="1"/>
  <c r="T48" i="3" a="1"/>
  <c r="T48" i="3" s="1"/>
  <c r="O45" i="4" s="1"/>
  <c r="S48" i="3" a="1"/>
  <c r="S48" i="3" s="1"/>
  <c r="N45" i="4" s="1"/>
  <c r="R48" i="3" a="1"/>
  <c r="R48" i="3" s="1"/>
  <c r="M45" i="4" s="1"/>
  <c r="Q48" i="3" a="1"/>
  <c r="Q48" i="3" s="1"/>
  <c r="L45" i="4" s="1"/>
  <c r="P48" i="3" a="1"/>
  <c r="P48" i="3" s="1"/>
  <c r="K45" i="4" s="1"/>
  <c r="O48" i="3" a="1"/>
  <c r="O48" i="3" s="1"/>
  <c r="J45" i="4" s="1"/>
  <c r="N48" i="3" a="1"/>
  <c r="N48" i="3" s="1"/>
  <c r="I45" i="4" s="1"/>
  <c r="M48" i="3" a="1"/>
  <c r="M48" i="3" s="1"/>
  <c r="H45" i="4" s="1"/>
  <c r="L48" i="3" a="1"/>
  <c r="L48" i="3" s="1"/>
  <c r="G45" i="4" s="1"/>
  <c r="K48" i="3" a="1"/>
  <c r="K48" i="3" s="1"/>
  <c r="F45" i="4" s="1"/>
  <c r="J48" i="3" a="1"/>
  <c r="J48" i="3" s="1"/>
  <c r="E45" i="4" s="1"/>
  <c r="AD47" i="3" a="1"/>
  <c r="AD47" i="3" s="1"/>
  <c r="Y44" i="4" s="1"/>
  <c r="AC47" i="3" a="1"/>
  <c r="AC47" i="3" s="1"/>
  <c r="X44" i="4" s="1"/>
  <c r="AB47" i="3" a="1"/>
  <c r="AB47" i="3" s="1"/>
  <c r="W44" i="4" s="1"/>
  <c r="AA47" i="3" a="1"/>
  <c r="AA47" i="3" s="1"/>
  <c r="V44" i="4" s="1"/>
  <c r="Z47" i="3" a="1"/>
  <c r="Z47" i="3" s="1"/>
  <c r="U44" i="4" s="1"/>
  <c r="Y47" i="3" a="1"/>
  <c r="Y47" i="3" s="1"/>
  <c r="T44" i="4" s="1"/>
  <c r="X47" i="3" a="1"/>
  <c r="X47" i="3" s="1"/>
  <c r="S44" i="4" s="1"/>
  <c r="W47" i="3" a="1"/>
  <c r="W47" i="3" s="1"/>
  <c r="R44" i="4" s="1"/>
  <c r="V47" i="3" a="1"/>
  <c r="V47" i="3" s="1"/>
  <c r="Q44" i="4" s="1"/>
  <c r="U47" i="3" a="1"/>
  <c r="U47" i="3" s="1"/>
  <c r="P44" i="4" s="1"/>
  <c r="T47" i="3" a="1"/>
  <c r="T47" i="3" s="1"/>
  <c r="O44" i="4" s="1"/>
  <c r="S47" i="3" a="1"/>
  <c r="S47" i="3" s="1"/>
  <c r="N44" i="4" s="1"/>
  <c r="R47" i="3" a="1"/>
  <c r="R47" i="3" s="1"/>
  <c r="M44" i="4" s="1"/>
  <c r="Q47" i="3" a="1"/>
  <c r="Q47" i="3" s="1"/>
  <c r="L44" i="4" s="1"/>
  <c r="P47" i="3" a="1"/>
  <c r="P47" i="3" s="1"/>
  <c r="K44" i="4" s="1"/>
  <c r="O47" i="3" a="1"/>
  <c r="O47" i="3" s="1"/>
  <c r="J44" i="4" s="1"/>
  <c r="N47" i="3" a="1"/>
  <c r="N47" i="3" s="1"/>
  <c r="I44" i="4" s="1"/>
  <c r="M47" i="3" a="1"/>
  <c r="M47" i="3" s="1"/>
  <c r="H44" i="4" s="1"/>
  <c r="L47" i="3" a="1"/>
  <c r="L47" i="3" s="1"/>
  <c r="G44" i="4" s="1"/>
  <c r="K47" i="3" a="1"/>
  <c r="K47" i="3" s="1"/>
  <c r="F44" i="4" s="1"/>
  <c r="J47" i="3" a="1"/>
  <c r="J47" i="3" s="1"/>
  <c r="E44" i="4" s="1"/>
  <c r="AD46" i="3" a="1"/>
  <c r="AD46" i="3" s="1"/>
  <c r="Y43" i="4" s="1"/>
  <c r="AC46" i="3" a="1"/>
  <c r="AC46" i="3" s="1"/>
  <c r="X43" i="4" s="1"/>
  <c r="AB46" i="3" a="1"/>
  <c r="AB46" i="3" s="1"/>
  <c r="W43" i="4" s="1"/>
  <c r="AA46" i="3" a="1"/>
  <c r="AA46" i="3" s="1"/>
  <c r="V43" i="4" s="1"/>
  <c r="Z46" i="3" a="1"/>
  <c r="Z46" i="3" s="1"/>
  <c r="U43" i="4" s="1"/>
  <c r="Y46" i="3" a="1"/>
  <c r="Y46" i="3" s="1"/>
  <c r="T43" i="4" s="1"/>
  <c r="X46" i="3" a="1"/>
  <c r="X46" i="3" s="1"/>
  <c r="S43" i="4" s="1"/>
  <c r="W46" i="3" a="1"/>
  <c r="W46" i="3" s="1"/>
  <c r="R43" i="4" s="1"/>
  <c r="V46" i="3" a="1"/>
  <c r="V46" i="3" s="1"/>
  <c r="Q43" i="4" s="1"/>
  <c r="U46" i="3" a="1"/>
  <c r="U46" i="3" s="1"/>
  <c r="P43" i="4" s="1"/>
  <c r="T46" i="3" a="1"/>
  <c r="T46" i="3" s="1"/>
  <c r="O43" i="4" s="1"/>
  <c r="S46" i="3" a="1"/>
  <c r="S46" i="3" s="1"/>
  <c r="N43" i="4" s="1"/>
  <c r="R46" i="3" a="1"/>
  <c r="R46" i="3" s="1"/>
  <c r="M43" i="4" s="1"/>
  <c r="Q46" i="3" a="1"/>
  <c r="Q46" i="3" s="1"/>
  <c r="L43" i="4" s="1"/>
  <c r="P46" i="3" a="1"/>
  <c r="P46" i="3" s="1"/>
  <c r="K43" i="4" s="1"/>
  <c r="O46" i="3" a="1"/>
  <c r="O46" i="3" s="1"/>
  <c r="J43" i="4" s="1"/>
  <c r="N46" i="3" a="1"/>
  <c r="N46" i="3" s="1"/>
  <c r="I43" i="4" s="1"/>
  <c r="M46" i="3" a="1"/>
  <c r="M46" i="3" s="1"/>
  <c r="H43" i="4" s="1"/>
  <c r="L46" i="3" a="1"/>
  <c r="L46" i="3" s="1"/>
  <c r="G43" i="4" s="1"/>
  <c r="K46" i="3" a="1"/>
  <c r="K46" i="3" s="1"/>
  <c r="F43" i="4" s="1"/>
  <c r="J46" i="3" a="1"/>
  <c r="J46" i="3" s="1"/>
  <c r="E43" i="4" s="1"/>
  <c r="AD45" i="3" a="1"/>
  <c r="AD45" i="3" s="1"/>
  <c r="Y42" i="4" s="1"/>
  <c r="AC45" i="3" a="1"/>
  <c r="AC45" i="3" s="1"/>
  <c r="X42" i="4" s="1"/>
  <c r="AB45" i="3" a="1"/>
  <c r="AB45" i="3" s="1"/>
  <c r="W42" i="4" s="1"/>
  <c r="AA45" i="3" a="1"/>
  <c r="AA45" i="3" s="1"/>
  <c r="V42" i="4" s="1"/>
  <c r="Z45" i="3" a="1"/>
  <c r="Z45" i="3" s="1"/>
  <c r="U42" i="4" s="1"/>
  <c r="Y45" i="3" a="1"/>
  <c r="Y45" i="3" s="1"/>
  <c r="T42" i="4" s="1"/>
  <c r="X45" i="3" a="1"/>
  <c r="X45" i="3" s="1"/>
  <c r="S42" i="4" s="1"/>
  <c r="W45" i="3" a="1"/>
  <c r="W45" i="3" s="1"/>
  <c r="R42" i="4" s="1"/>
  <c r="V45" i="3" a="1"/>
  <c r="V45" i="3" s="1"/>
  <c r="Q42" i="4" s="1"/>
  <c r="U45" i="3" a="1"/>
  <c r="U45" i="3" s="1"/>
  <c r="P42" i="4" s="1"/>
  <c r="T45" i="3" a="1"/>
  <c r="T45" i="3" s="1"/>
  <c r="O42" i="4" s="1"/>
  <c r="S45" i="3" a="1"/>
  <c r="S45" i="3" s="1"/>
  <c r="N42" i="4" s="1"/>
  <c r="R45" i="3" a="1"/>
  <c r="R45" i="3" s="1"/>
  <c r="M42" i="4" s="1"/>
  <c r="Q45" i="3" a="1"/>
  <c r="Q45" i="3" s="1"/>
  <c r="L42" i="4" s="1"/>
  <c r="P45" i="3" a="1"/>
  <c r="P45" i="3" s="1"/>
  <c r="K42" i="4" s="1"/>
  <c r="O45" i="3" a="1"/>
  <c r="O45" i="3" s="1"/>
  <c r="J42" i="4" s="1"/>
  <c r="N45" i="3" a="1"/>
  <c r="N45" i="3" s="1"/>
  <c r="I42" i="4" s="1"/>
  <c r="M45" i="3" a="1"/>
  <c r="M45" i="3" s="1"/>
  <c r="H42" i="4" s="1"/>
  <c r="L45" i="3" a="1"/>
  <c r="L45" i="3" s="1"/>
  <c r="G42" i="4" s="1"/>
  <c r="K45" i="3" a="1"/>
  <c r="K45" i="3" s="1"/>
  <c r="F42" i="4" s="1"/>
  <c r="J45" i="3" a="1"/>
  <c r="J45" i="3" s="1"/>
  <c r="E42" i="4" s="1"/>
  <c r="AD44" i="3" a="1"/>
  <c r="AD44" i="3" s="1"/>
  <c r="Y41" i="4" s="1"/>
  <c r="AC44" i="3" a="1"/>
  <c r="AC44" i="3" s="1"/>
  <c r="X41" i="4" s="1"/>
  <c r="AB44" i="3" a="1"/>
  <c r="AB44" i="3" s="1"/>
  <c r="W41" i="4" s="1"/>
  <c r="AA44" i="3" a="1"/>
  <c r="AA44" i="3" s="1"/>
  <c r="V41" i="4" s="1"/>
  <c r="Z44" i="3" a="1"/>
  <c r="Z44" i="3" s="1"/>
  <c r="U41" i="4" s="1"/>
  <c r="Y44" i="3" a="1"/>
  <c r="Y44" i="3" s="1"/>
  <c r="T41" i="4" s="1"/>
  <c r="X44" i="3" a="1"/>
  <c r="X44" i="3" s="1"/>
  <c r="S41" i="4" s="1"/>
  <c r="W44" i="3" a="1"/>
  <c r="W44" i="3" s="1"/>
  <c r="R41" i="4" s="1"/>
  <c r="V44" i="3" a="1"/>
  <c r="V44" i="3" s="1"/>
  <c r="Q41" i="4" s="1"/>
  <c r="U44" i="3" a="1"/>
  <c r="U44" i="3" s="1"/>
  <c r="P41" i="4" s="1"/>
  <c r="T44" i="3" a="1"/>
  <c r="T44" i="3" s="1"/>
  <c r="O41" i="4" s="1"/>
  <c r="S44" i="3" a="1"/>
  <c r="S44" i="3" s="1"/>
  <c r="N41" i="4" s="1"/>
  <c r="R44" i="3" a="1"/>
  <c r="R44" i="3" s="1"/>
  <c r="M41" i="4" s="1"/>
  <c r="Q44" i="3" a="1"/>
  <c r="Q44" i="3" s="1"/>
  <c r="L41" i="4" s="1"/>
  <c r="P44" i="3" a="1"/>
  <c r="P44" i="3" s="1"/>
  <c r="K41" i="4" s="1"/>
  <c r="O44" i="3" a="1"/>
  <c r="O44" i="3" s="1"/>
  <c r="J41" i="4" s="1"/>
  <c r="N44" i="3" a="1"/>
  <c r="N44" i="3" s="1"/>
  <c r="I41" i="4" s="1"/>
  <c r="M44" i="3" a="1"/>
  <c r="M44" i="3" s="1"/>
  <c r="H41" i="4" s="1"/>
  <c r="L44" i="3" a="1"/>
  <c r="L44" i="3" s="1"/>
  <c r="G41" i="4" s="1"/>
  <c r="K44" i="3" a="1"/>
  <c r="K44" i="3" s="1"/>
  <c r="F41" i="4" s="1"/>
  <c r="J44" i="3" a="1"/>
  <c r="J44" i="3" s="1"/>
  <c r="E41" i="4" s="1"/>
  <c r="AD43" i="3" a="1"/>
  <c r="AD43" i="3" s="1"/>
  <c r="Y40" i="4" s="1"/>
  <c r="AC43" i="3" a="1"/>
  <c r="AC43" i="3" s="1"/>
  <c r="X40" i="4" s="1"/>
  <c r="AB43" i="3" a="1"/>
  <c r="AB43" i="3" s="1"/>
  <c r="W40" i="4" s="1"/>
  <c r="AA43" i="3" a="1"/>
  <c r="AA43" i="3" s="1"/>
  <c r="V40" i="4" s="1"/>
  <c r="Z43" i="3" a="1"/>
  <c r="Z43" i="3" s="1"/>
  <c r="U40" i="4" s="1"/>
  <c r="Y43" i="3" a="1"/>
  <c r="Y43" i="3" s="1"/>
  <c r="T40" i="4" s="1"/>
  <c r="X43" i="3" a="1"/>
  <c r="X43" i="3" s="1"/>
  <c r="S40" i="4" s="1"/>
  <c r="W43" i="3" a="1"/>
  <c r="W43" i="3" s="1"/>
  <c r="R40" i="4" s="1"/>
  <c r="V43" i="3" a="1"/>
  <c r="V43" i="3" s="1"/>
  <c r="Q40" i="4" s="1"/>
  <c r="U43" i="3" a="1"/>
  <c r="U43" i="3" s="1"/>
  <c r="P40" i="4" s="1"/>
  <c r="T43" i="3" a="1"/>
  <c r="T43" i="3" s="1"/>
  <c r="O40" i="4" s="1"/>
  <c r="S43" i="3" a="1"/>
  <c r="S43" i="3" s="1"/>
  <c r="N40" i="4" s="1"/>
  <c r="R43" i="3" a="1"/>
  <c r="R43" i="3" s="1"/>
  <c r="M40" i="4" s="1"/>
  <c r="Q43" i="3" a="1"/>
  <c r="Q43" i="3" s="1"/>
  <c r="L40" i="4" s="1"/>
  <c r="P43" i="3" a="1"/>
  <c r="P43" i="3" s="1"/>
  <c r="K40" i="4" s="1"/>
  <c r="O43" i="3" a="1"/>
  <c r="O43" i="3" s="1"/>
  <c r="J40" i="4" s="1"/>
  <c r="N43" i="3" a="1"/>
  <c r="N43" i="3" s="1"/>
  <c r="I40" i="4" s="1"/>
  <c r="M43" i="3" a="1"/>
  <c r="M43" i="3" s="1"/>
  <c r="H40" i="4" s="1"/>
  <c r="L43" i="3" a="1"/>
  <c r="L43" i="3" s="1"/>
  <c r="G40" i="4" s="1"/>
  <c r="K43" i="3" a="1"/>
  <c r="K43" i="3" s="1"/>
  <c r="F40" i="4" s="1"/>
  <c r="J43" i="3" a="1"/>
  <c r="J43" i="3" s="1"/>
  <c r="E40" i="4" s="1"/>
  <c r="AD42" i="3" a="1"/>
  <c r="AD42" i="3" s="1"/>
  <c r="Y39" i="4" s="1"/>
  <c r="AC42" i="3" a="1"/>
  <c r="AC42" i="3" s="1"/>
  <c r="X39" i="4" s="1"/>
  <c r="AB42" i="3" a="1"/>
  <c r="AB42" i="3" s="1"/>
  <c r="W39" i="4" s="1"/>
  <c r="AA42" i="3" a="1"/>
  <c r="AA42" i="3" s="1"/>
  <c r="V39" i="4" s="1"/>
  <c r="Z42" i="3" a="1"/>
  <c r="Z42" i="3" s="1"/>
  <c r="U39" i="4" s="1"/>
  <c r="Y42" i="3" a="1"/>
  <c r="Y42" i="3" s="1"/>
  <c r="T39" i="4" s="1"/>
  <c r="X42" i="3" a="1"/>
  <c r="X42" i="3" s="1"/>
  <c r="S39" i="4" s="1"/>
  <c r="W42" i="3" a="1"/>
  <c r="W42" i="3" s="1"/>
  <c r="R39" i="4" s="1"/>
  <c r="V42" i="3" a="1"/>
  <c r="V42" i="3" s="1"/>
  <c r="Q39" i="4" s="1"/>
  <c r="U42" i="3" a="1"/>
  <c r="U42" i="3" s="1"/>
  <c r="P39" i="4" s="1"/>
  <c r="T42" i="3" a="1"/>
  <c r="T42" i="3" s="1"/>
  <c r="O39" i="4" s="1"/>
  <c r="S42" i="3" a="1"/>
  <c r="S42" i="3" s="1"/>
  <c r="N39" i="4" s="1"/>
  <c r="R42" i="3" a="1"/>
  <c r="R42" i="3" s="1"/>
  <c r="M39" i="4" s="1"/>
  <c r="Q42" i="3" a="1"/>
  <c r="Q42" i="3" s="1"/>
  <c r="L39" i="4" s="1"/>
  <c r="P42" i="3" a="1"/>
  <c r="P42" i="3" s="1"/>
  <c r="K39" i="4" s="1"/>
  <c r="O42" i="3" a="1"/>
  <c r="O42" i="3" s="1"/>
  <c r="J39" i="4" s="1"/>
  <c r="N42" i="3" a="1"/>
  <c r="N42" i="3" s="1"/>
  <c r="I39" i="4" s="1"/>
  <c r="M42" i="3" a="1"/>
  <c r="M42" i="3" s="1"/>
  <c r="H39" i="4" s="1"/>
  <c r="L42" i="3" a="1"/>
  <c r="L42" i="3" s="1"/>
  <c r="G39" i="4" s="1"/>
  <c r="K42" i="3" a="1"/>
  <c r="K42" i="3" s="1"/>
  <c r="F39" i="4" s="1"/>
  <c r="J42" i="3" a="1"/>
  <c r="J42" i="3" s="1"/>
  <c r="E39" i="4" s="1"/>
  <c r="AD41" i="3" a="1"/>
  <c r="AD41" i="3" s="1"/>
  <c r="Y38" i="4" s="1"/>
  <c r="AC41" i="3" a="1"/>
  <c r="AC41" i="3" s="1"/>
  <c r="X38" i="4" s="1"/>
  <c r="AB41" i="3" a="1"/>
  <c r="AB41" i="3" s="1"/>
  <c r="W38" i="4" s="1"/>
  <c r="AA41" i="3" a="1"/>
  <c r="AA41" i="3" s="1"/>
  <c r="V38" i="4" s="1"/>
  <c r="Z41" i="3" a="1"/>
  <c r="Z41" i="3" s="1"/>
  <c r="U38" i="4" s="1"/>
  <c r="Y41" i="3" a="1"/>
  <c r="Y41" i="3" s="1"/>
  <c r="T38" i="4" s="1"/>
  <c r="X41" i="3" a="1"/>
  <c r="X41" i="3" s="1"/>
  <c r="S38" i="4" s="1"/>
  <c r="W41" i="3" a="1"/>
  <c r="W41" i="3" s="1"/>
  <c r="R38" i="4" s="1"/>
  <c r="V41" i="3" a="1"/>
  <c r="V41" i="3" s="1"/>
  <c r="Q38" i="4" s="1"/>
  <c r="U41" i="3" a="1"/>
  <c r="U41" i="3" s="1"/>
  <c r="P38" i="4" s="1"/>
  <c r="T41" i="3" a="1"/>
  <c r="T41" i="3" s="1"/>
  <c r="O38" i="4" s="1"/>
  <c r="S41" i="3" a="1"/>
  <c r="S41" i="3" s="1"/>
  <c r="N38" i="4" s="1"/>
  <c r="R41" i="3" a="1"/>
  <c r="R41" i="3" s="1"/>
  <c r="M38" i="4" s="1"/>
  <c r="Q41" i="3" a="1"/>
  <c r="Q41" i="3" s="1"/>
  <c r="L38" i="4" s="1"/>
  <c r="P41" i="3" a="1"/>
  <c r="P41" i="3" s="1"/>
  <c r="K38" i="4" s="1"/>
  <c r="O41" i="3" a="1"/>
  <c r="O41" i="3" s="1"/>
  <c r="J38" i="4" s="1"/>
  <c r="N41" i="3" a="1"/>
  <c r="N41" i="3" s="1"/>
  <c r="I38" i="4" s="1"/>
  <c r="M41" i="3" a="1"/>
  <c r="M41" i="3" s="1"/>
  <c r="H38" i="4" s="1"/>
  <c r="L41" i="3" a="1"/>
  <c r="L41" i="3" s="1"/>
  <c r="G38" i="4" s="1"/>
  <c r="K41" i="3" a="1"/>
  <c r="K41" i="3" s="1"/>
  <c r="F38" i="4" s="1"/>
  <c r="J41" i="3" a="1"/>
  <c r="J41" i="3" s="1"/>
  <c r="E38" i="4" s="1"/>
  <c r="AD40" i="3" a="1"/>
  <c r="AD40" i="3" s="1"/>
  <c r="Y37" i="4" s="1"/>
  <c r="AC40" i="3" a="1"/>
  <c r="AC40" i="3" s="1"/>
  <c r="X37" i="4" s="1"/>
  <c r="AB40" i="3" a="1"/>
  <c r="AB40" i="3" s="1"/>
  <c r="W37" i="4" s="1"/>
  <c r="AA40" i="3" a="1"/>
  <c r="AA40" i="3" s="1"/>
  <c r="V37" i="4" s="1"/>
  <c r="Z40" i="3" a="1"/>
  <c r="Z40" i="3" s="1"/>
  <c r="U37" i="4" s="1"/>
  <c r="Y40" i="3" a="1"/>
  <c r="Y40" i="3" s="1"/>
  <c r="T37" i="4" s="1"/>
  <c r="X40" i="3" a="1"/>
  <c r="X40" i="3" s="1"/>
  <c r="S37" i="4" s="1"/>
  <c r="W40" i="3" a="1"/>
  <c r="W40" i="3" s="1"/>
  <c r="R37" i="4" s="1"/>
  <c r="V40" i="3" a="1"/>
  <c r="V40" i="3" s="1"/>
  <c r="Q37" i="4" s="1"/>
  <c r="U40" i="3" a="1"/>
  <c r="U40" i="3" s="1"/>
  <c r="P37" i="4" s="1"/>
  <c r="T40" i="3" a="1"/>
  <c r="T40" i="3" s="1"/>
  <c r="O37" i="4" s="1"/>
  <c r="S40" i="3" a="1"/>
  <c r="S40" i="3" s="1"/>
  <c r="N37" i="4" s="1"/>
  <c r="R40" i="3" a="1"/>
  <c r="R40" i="3" s="1"/>
  <c r="M37" i="4" s="1"/>
  <c r="Q40" i="3" a="1"/>
  <c r="Q40" i="3" s="1"/>
  <c r="L37" i="4" s="1"/>
  <c r="P40" i="3" a="1"/>
  <c r="P40" i="3" s="1"/>
  <c r="K37" i="4" s="1"/>
  <c r="O40" i="3" a="1"/>
  <c r="O40" i="3" s="1"/>
  <c r="J37" i="4" s="1"/>
  <c r="N40" i="3" a="1"/>
  <c r="N40" i="3" s="1"/>
  <c r="I37" i="4" s="1"/>
  <c r="M40" i="3" a="1"/>
  <c r="M40" i="3" s="1"/>
  <c r="H37" i="4" s="1"/>
  <c r="L40" i="3" a="1"/>
  <c r="L40" i="3" s="1"/>
  <c r="G37" i="4" s="1"/>
  <c r="K40" i="3" a="1"/>
  <c r="K40" i="3" s="1"/>
  <c r="F37" i="4" s="1"/>
  <c r="J40" i="3" a="1"/>
  <c r="J40" i="3" s="1"/>
  <c r="E37" i="4" s="1"/>
  <c r="AD39" i="3" a="1"/>
  <c r="AD39" i="3" s="1"/>
  <c r="Y36" i="4" s="1"/>
  <c r="AC39" i="3" a="1"/>
  <c r="AC39" i="3" s="1"/>
  <c r="X36" i="4" s="1"/>
  <c r="AB39" i="3" a="1"/>
  <c r="AB39" i="3" s="1"/>
  <c r="W36" i="4" s="1"/>
  <c r="AA39" i="3" a="1"/>
  <c r="AA39" i="3" s="1"/>
  <c r="V36" i="4" s="1"/>
  <c r="Z39" i="3" a="1"/>
  <c r="Z39" i="3" s="1"/>
  <c r="U36" i="4" s="1"/>
  <c r="Y39" i="3" a="1"/>
  <c r="Y39" i="3" s="1"/>
  <c r="T36" i="4" s="1"/>
  <c r="X39" i="3" a="1"/>
  <c r="X39" i="3" s="1"/>
  <c r="S36" i="4" s="1"/>
  <c r="W39" i="3" a="1"/>
  <c r="W39" i="3" s="1"/>
  <c r="R36" i="4" s="1"/>
  <c r="V39" i="3" a="1"/>
  <c r="V39" i="3" s="1"/>
  <c r="Q36" i="4" s="1"/>
  <c r="U39" i="3" a="1"/>
  <c r="U39" i="3" s="1"/>
  <c r="P36" i="4" s="1"/>
  <c r="T39" i="3" a="1"/>
  <c r="T39" i="3" s="1"/>
  <c r="O36" i="4" s="1"/>
  <c r="S39" i="3" a="1"/>
  <c r="S39" i="3" s="1"/>
  <c r="N36" i="4" s="1"/>
  <c r="R39" i="3" a="1"/>
  <c r="R39" i="3" s="1"/>
  <c r="M36" i="4" s="1"/>
  <c r="Q39" i="3" a="1"/>
  <c r="Q39" i="3" s="1"/>
  <c r="L36" i="4" s="1"/>
  <c r="P39" i="3" a="1"/>
  <c r="P39" i="3" s="1"/>
  <c r="K36" i="4" s="1"/>
  <c r="O39" i="3" a="1"/>
  <c r="O39" i="3" s="1"/>
  <c r="J36" i="4" s="1"/>
  <c r="N39" i="3" a="1"/>
  <c r="N39" i="3" s="1"/>
  <c r="I36" i="4" s="1"/>
  <c r="M39" i="3" a="1"/>
  <c r="M39" i="3" s="1"/>
  <c r="H36" i="4" s="1"/>
  <c r="L39" i="3" a="1"/>
  <c r="L39" i="3" s="1"/>
  <c r="G36" i="4" s="1"/>
  <c r="K39" i="3" a="1"/>
  <c r="K39" i="3" s="1"/>
  <c r="F36" i="4" s="1"/>
  <c r="J39" i="3" a="1"/>
  <c r="J39" i="3" s="1"/>
  <c r="E36" i="4" s="1"/>
  <c r="AD38" i="3" a="1"/>
  <c r="AD38" i="3" s="1"/>
  <c r="Y35" i="4" s="1"/>
  <c r="AC38" i="3" a="1"/>
  <c r="AC38" i="3" s="1"/>
  <c r="X35" i="4" s="1"/>
  <c r="AB38" i="3" a="1"/>
  <c r="AB38" i="3" s="1"/>
  <c r="W35" i="4" s="1"/>
  <c r="AA38" i="3" a="1"/>
  <c r="AA38" i="3" s="1"/>
  <c r="V35" i="4" s="1"/>
  <c r="Z38" i="3" a="1"/>
  <c r="Z38" i="3" s="1"/>
  <c r="U35" i="4" s="1"/>
  <c r="Y38" i="3" a="1"/>
  <c r="Y38" i="3" s="1"/>
  <c r="T35" i="4" s="1"/>
  <c r="X38" i="3" a="1"/>
  <c r="X38" i="3" s="1"/>
  <c r="S35" i="4" s="1"/>
  <c r="W38" i="3" a="1"/>
  <c r="W38" i="3" s="1"/>
  <c r="R35" i="4" s="1"/>
  <c r="V38" i="3" a="1"/>
  <c r="V38" i="3" s="1"/>
  <c r="Q35" i="4" s="1"/>
  <c r="U38" i="3" a="1"/>
  <c r="U38" i="3" s="1"/>
  <c r="P35" i="4" s="1"/>
  <c r="T38" i="3" a="1"/>
  <c r="T38" i="3" s="1"/>
  <c r="O35" i="4" s="1"/>
  <c r="S38" i="3" a="1"/>
  <c r="S38" i="3" s="1"/>
  <c r="N35" i="4" s="1"/>
  <c r="R38" i="3" a="1"/>
  <c r="R38" i="3" s="1"/>
  <c r="M35" i="4" s="1"/>
  <c r="Q38" i="3" a="1"/>
  <c r="Q38" i="3" s="1"/>
  <c r="L35" i="4" s="1"/>
  <c r="P38" i="3" a="1"/>
  <c r="P38" i="3" s="1"/>
  <c r="K35" i="4" s="1"/>
  <c r="O38" i="3" a="1"/>
  <c r="O38" i="3" s="1"/>
  <c r="J35" i="4" s="1"/>
  <c r="N38" i="3" a="1"/>
  <c r="N38" i="3" s="1"/>
  <c r="I35" i="4" s="1"/>
  <c r="M38" i="3" a="1"/>
  <c r="M38" i="3" s="1"/>
  <c r="H35" i="4" s="1"/>
  <c r="L38" i="3" a="1"/>
  <c r="L38" i="3" s="1"/>
  <c r="G35" i="4" s="1"/>
  <c r="K38" i="3" a="1"/>
  <c r="K38" i="3" s="1"/>
  <c r="F35" i="4" s="1"/>
  <c r="J38" i="3" a="1"/>
  <c r="J38" i="3" s="1"/>
  <c r="E35" i="4" s="1"/>
  <c r="AD37" i="3" a="1"/>
  <c r="AD37" i="3" s="1"/>
  <c r="Y34" i="4" s="1"/>
  <c r="AC37" i="3" a="1"/>
  <c r="AC37" i="3" s="1"/>
  <c r="X34" i="4" s="1"/>
  <c r="AB37" i="3" a="1"/>
  <c r="AB37" i="3" s="1"/>
  <c r="W34" i="4" s="1"/>
  <c r="AA37" i="3" a="1"/>
  <c r="AA37" i="3" s="1"/>
  <c r="V34" i="4" s="1"/>
  <c r="Z37" i="3" a="1"/>
  <c r="Z37" i="3" s="1"/>
  <c r="U34" i="4" s="1"/>
  <c r="Y37" i="3" a="1"/>
  <c r="Y37" i="3" s="1"/>
  <c r="T34" i="4" s="1"/>
  <c r="X37" i="3" a="1"/>
  <c r="X37" i="3" s="1"/>
  <c r="S34" i="4" s="1"/>
  <c r="W37" i="3" a="1"/>
  <c r="W37" i="3" s="1"/>
  <c r="R34" i="4" s="1"/>
  <c r="V37" i="3" a="1"/>
  <c r="V37" i="3" s="1"/>
  <c r="Q34" i="4" s="1"/>
  <c r="U37" i="3" a="1"/>
  <c r="U37" i="3" s="1"/>
  <c r="P34" i="4" s="1"/>
  <c r="T37" i="3" a="1"/>
  <c r="T37" i="3" s="1"/>
  <c r="O34" i="4" s="1"/>
  <c r="S37" i="3" a="1"/>
  <c r="S37" i="3" s="1"/>
  <c r="N34" i="4" s="1"/>
  <c r="R37" i="3" a="1"/>
  <c r="R37" i="3" s="1"/>
  <c r="M34" i="4" s="1"/>
  <c r="Q37" i="3" a="1"/>
  <c r="Q37" i="3" s="1"/>
  <c r="L34" i="4" s="1"/>
  <c r="P37" i="3" a="1"/>
  <c r="P37" i="3" s="1"/>
  <c r="K34" i="4" s="1"/>
  <c r="O37" i="3" a="1"/>
  <c r="O37" i="3" s="1"/>
  <c r="J34" i="4" s="1"/>
  <c r="N37" i="3" a="1"/>
  <c r="N37" i="3" s="1"/>
  <c r="I34" i="4" s="1"/>
  <c r="M37" i="3" a="1"/>
  <c r="M37" i="3" s="1"/>
  <c r="H34" i="4" s="1"/>
  <c r="L37" i="3" a="1"/>
  <c r="L37" i="3" s="1"/>
  <c r="G34" i="4" s="1"/>
  <c r="K37" i="3" a="1"/>
  <c r="K37" i="3" s="1"/>
  <c r="F34" i="4" s="1"/>
  <c r="J37" i="3" a="1"/>
  <c r="J37" i="3" s="1"/>
  <c r="E34" i="4" s="1"/>
  <c r="AD36" i="3" a="1"/>
  <c r="AD36" i="3" s="1"/>
  <c r="Y33" i="4" s="1"/>
  <c r="AC36" i="3" a="1"/>
  <c r="AC36" i="3" s="1"/>
  <c r="X33" i="4" s="1"/>
  <c r="AB36" i="3" a="1"/>
  <c r="AB36" i="3" s="1"/>
  <c r="W33" i="4" s="1"/>
  <c r="AA36" i="3" a="1"/>
  <c r="AA36" i="3" s="1"/>
  <c r="V33" i="4" s="1"/>
  <c r="Z36" i="3" a="1"/>
  <c r="Z36" i="3" s="1"/>
  <c r="U33" i="4" s="1"/>
  <c r="Y36" i="3" a="1"/>
  <c r="Y36" i="3" s="1"/>
  <c r="T33" i="4" s="1"/>
  <c r="X36" i="3" a="1"/>
  <c r="X36" i="3" s="1"/>
  <c r="S33" i="4" s="1"/>
  <c r="W36" i="3" a="1"/>
  <c r="W36" i="3" s="1"/>
  <c r="R33" i="4" s="1"/>
  <c r="V36" i="3" a="1"/>
  <c r="V36" i="3" s="1"/>
  <c r="Q33" i="4" s="1"/>
  <c r="U36" i="3" a="1"/>
  <c r="U36" i="3" s="1"/>
  <c r="P33" i="4" s="1"/>
  <c r="T36" i="3" a="1"/>
  <c r="T36" i="3" s="1"/>
  <c r="O33" i="4" s="1"/>
  <c r="S36" i="3" a="1"/>
  <c r="S36" i="3" s="1"/>
  <c r="N33" i="4" s="1"/>
  <c r="R36" i="3" a="1"/>
  <c r="R36" i="3" s="1"/>
  <c r="M33" i="4" s="1"/>
  <c r="Q36" i="3" a="1"/>
  <c r="Q36" i="3" s="1"/>
  <c r="L33" i="4" s="1"/>
  <c r="P36" i="3" a="1"/>
  <c r="P36" i="3" s="1"/>
  <c r="K33" i="4" s="1"/>
  <c r="O36" i="3" a="1"/>
  <c r="O36" i="3" s="1"/>
  <c r="J33" i="4" s="1"/>
  <c r="N36" i="3" a="1"/>
  <c r="N36" i="3" s="1"/>
  <c r="I33" i="4" s="1"/>
  <c r="M36" i="3" a="1"/>
  <c r="M36" i="3" s="1"/>
  <c r="H33" i="4" s="1"/>
  <c r="L36" i="3" a="1"/>
  <c r="L36" i="3" s="1"/>
  <c r="G33" i="4" s="1"/>
  <c r="K36" i="3" a="1"/>
  <c r="K36" i="3" s="1"/>
  <c r="F33" i="4" s="1"/>
  <c r="J36" i="3" a="1"/>
  <c r="J36" i="3" s="1"/>
  <c r="E33" i="4" s="1"/>
  <c r="AD35" i="3" a="1"/>
  <c r="AD35" i="3" s="1"/>
  <c r="Y32" i="4" s="1"/>
  <c r="AC35" i="3" a="1"/>
  <c r="AC35" i="3" s="1"/>
  <c r="X32" i="4" s="1"/>
  <c r="AB35" i="3" a="1"/>
  <c r="AB35" i="3" s="1"/>
  <c r="W32" i="4" s="1"/>
  <c r="AA35" i="3" a="1"/>
  <c r="AA35" i="3" s="1"/>
  <c r="V32" i="4" s="1"/>
  <c r="Z35" i="3" a="1"/>
  <c r="Z35" i="3" s="1"/>
  <c r="U32" i="4" s="1"/>
  <c r="Y35" i="3" a="1"/>
  <c r="Y35" i="3" s="1"/>
  <c r="T32" i="4" s="1"/>
  <c r="X35" i="3" a="1"/>
  <c r="X35" i="3" s="1"/>
  <c r="S32" i="4" s="1"/>
  <c r="W35" i="3" a="1"/>
  <c r="W35" i="3" s="1"/>
  <c r="R32" i="4" s="1"/>
  <c r="V35" i="3" a="1"/>
  <c r="V35" i="3" s="1"/>
  <c r="Q32" i="4" s="1"/>
  <c r="U35" i="3" a="1"/>
  <c r="U35" i="3" s="1"/>
  <c r="P32" i="4" s="1"/>
  <c r="T35" i="3" a="1"/>
  <c r="T35" i="3" s="1"/>
  <c r="O32" i="4" s="1"/>
  <c r="S35" i="3" a="1"/>
  <c r="S35" i="3" s="1"/>
  <c r="N32" i="4" s="1"/>
  <c r="R35" i="3" a="1"/>
  <c r="R35" i="3" s="1"/>
  <c r="M32" i="4" s="1"/>
  <c r="Q35" i="3" a="1"/>
  <c r="Q35" i="3" s="1"/>
  <c r="L32" i="4" s="1"/>
  <c r="P35" i="3" a="1"/>
  <c r="P35" i="3" s="1"/>
  <c r="K32" i="4" s="1"/>
  <c r="O35" i="3" a="1"/>
  <c r="O35" i="3" s="1"/>
  <c r="J32" i="4" s="1"/>
  <c r="N35" i="3" a="1"/>
  <c r="N35" i="3" s="1"/>
  <c r="I32" i="4" s="1"/>
  <c r="M35" i="3" a="1"/>
  <c r="M35" i="3" s="1"/>
  <c r="H32" i="4" s="1"/>
  <c r="L35" i="3" a="1"/>
  <c r="L35" i="3" s="1"/>
  <c r="G32" i="4" s="1"/>
  <c r="K35" i="3" a="1"/>
  <c r="K35" i="3" s="1"/>
  <c r="F32" i="4" s="1"/>
  <c r="J35" i="3" a="1"/>
  <c r="J35" i="3" s="1"/>
  <c r="E32" i="4" s="1"/>
  <c r="AD34" i="3" a="1"/>
  <c r="AD34" i="3" s="1"/>
  <c r="Y31" i="4" s="1"/>
  <c r="AC34" i="3" a="1"/>
  <c r="AC34" i="3" s="1"/>
  <c r="X31" i="4" s="1"/>
  <c r="AB34" i="3" a="1"/>
  <c r="AB34" i="3" s="1"/>
  <c r="W31" i="4" s="1"/>
  <c r="AA34" i="3" a="1"/>
  <c r="AA34" i="3" s="1"/>
  <c r="V31" i="4" s="1"/>
  <c r="Z34" i="3" a="1"/>
  <c r="Z34" i="3" s="1"/>
  <c r="U31" i="4" s="1"/>
  <c r="Y34" i="3" a="1"/>
  <c r="Y34" i="3" s="1"/>
  <c r="T31" i="4" s="1"/>
  <c r="X34" i="3" a="1"/>
  <c r="X34" i="3" s="1"/>
  <c r="S31" i="4" s="1"/>
  <c r="W34" i="3" a="1"/>
  <c r="W34" i="3" s="1"/>
  <c r="R31" i="4" s="1"/>
  <c r="V34" i="3" a="1"/>
  <c r="V34" i="3" s="1"/>
  <c r="Q31" i="4" s="1"/>
  <c r="U34" i="3" a="1"/>
  <c r="U34" i="3" s="1"/>
  <c r="P31" i="4" s="1"/>
  <c r="T34" i="3" a="1"/>
  <c r="T34" i="3" s="1"/>
  <c r="O31" i="4" s="1"/>
  <c r="S34" i="3" a="1"/>
  <c r="S34" i="3" s="1"/>
  <c r="N31" i="4" s="1"/>
  <c r="R34" i="3" a="1"/>
  <c r="R34" i="3" s="1"/>
  <c r="M31" i="4" s="1"/>
  <c r="Q34" i="3" a="1"/>
  <c r="Q34" i="3" s="1"/>
  <c r="L31" i="4" s="1"/>
  <c r="P34" i="3" a="1"/>
  <c r="P34" i="3" s="1"/>
  <c r="K31" i="4" s="1"/>
  <c r="O34" i="3" a="1"/>
  <c r="O34" i="3" s="1"/>
  <c r="J31" i="4" s="1"/>
  <c r="N34" i="3" a="1"/>
  <c r="N34" i="3" s="1"/>
  <c r="I31" i="4" s="1"/>
  <c r="M34" i="3" a="1"/>
  <c r="M34" i="3" s="1"/>
  <c r="H31" i="4" s="1"/>
  <c r="L34" i="3" a="1"/>
  <c r="L34" i="3" s="1"/>
  <c r="G31" i="4" s="1"/>
  <c r="K34" i="3" a="1"/>
  <c r="K34" i="3" s="1"/>
  <c r="F31" i="4" s="1"/>
  <c r="J34" i="3" a="1"/>
  <c r="J34" i="3" s="1"/>
  <c r="E31" i="4" s="1"/>
  <c r="AD33" i="3" a="1"/>
  <c r="AD33" i="3" s="1"/>
  <c r="Y30" i="4" s="1"/>
  <c r="AC33" i="3" a="1"/>
  <c r="AC33" i="3" s="1"/>
  <c r="X30" i="4" s="1"/>
  <c r="AB33" i="3" a="1"/>
  <c r="AB33" i="3" s="1"/>
  <c r="W30" i="4" s="1"/>
  <c r="AA33" i="3" a="1"/>
  <c r="AA33" i="3" s="1"/>
  <c r="V30" i="4" s="1"/>
  <c r="Z33" i="3" a="1"/>
  <c r="Z33" i="3" s="1"/>
  <c r="U30" i="4" s="1"/>
  <c r="Y33" i="3" a="1"/>
  <c r="Y33" i="3" s="1"/>
  <c r="T30" i="4" s="1"/>
  <c r="X33" i="3" a="1"/>
  <c r="X33" i="3" s="1"/>
  <c r="S30" i="4" s="1"/>
  <c r="W33" i="3" a="1"/>
  <c r="W33" i="3" s="1"/>
  <c r="R30" i="4" s="1"/>
  <c r="V33" i="3" a="1"/>
  <c r="V33" i="3" s="1"/>
  <c r="Q30" i="4" s="1"/>
  <c r="U33" i="3" a="1"/>
  <c r="U33" i="3" s="1"/>
  <c r="P30" i="4" s="1"/>
  <c r="T33" i="3" a="1"/>
  <c r="T33" i="3" s="1"/>
  <c r="O30" i="4" s="1"/>
  <c r="S33" i="3" a="1"/>
  <c r="S33" i="3" s="1"/>
  <c r="N30" i="4" s="1"/>
  <c r="R33" i="3" a="1"/>
  <c r="R33" i="3" s="1"/>
  <c r="M30" i="4" s="1"/>
  <c r="Q33" i="3" a="1"/>
  <c r="Q33" i="3" s="1"/>
  <c r="L30" i="4" s="1"/>
  <c r="P33" i="3" a="1"/>
  <c r="P33" i="3" s="1"/>
  <c r="K30" i="4" s="1"/>
  <c r="O33" i="3" a="1"/>
  <c r="O33" i="3" s="1"/>
  <c r="J30" i="4" s="1"/>
  <c r="N33" i="3" a="1"/>
  <c r="N33" i="3" s="1"/>
  <c r="I30" i="4" s="1"/>
  <c r="M33" i="3" a="1"/>
  <c r="M33" i="3" s="1"/>
  <c r="H30" i="4" s="1"/>
  <c r="L33" i="3" a="1"/>
  <c r="L33" i="3" s="1"/>
  <c r="G30" i="4" s="1"/>
  <c r="K33" i="3" a="1"/>
  <c r="K33" i="3" s="1"/>
  <c r="F30" i="4" s="1"/>
  <c r="J33" i="3" a="1"/>
  <c r="J33" i="3" s="1"/>
  <c r="E30" i="4" s="1"/>
  <c r="AD32" i="3" a="1"/>
  <c r="AD32" i="3" s="1"/>
  <c r="Y29" i="4" s="1"/>
  <c r="AC32" i="3" a="1"/>
  <c r="AC32" i="3" s="1"/>
  <c r="X29" i="4" s="1"/>
  <c r="AB32" i="3" a="1"/>
  <c r="AB32" i="3" s="1"/>
  <c r="W29" i="4" s="1"/>
  <c r="AA32" i="3" a="1"/>
  <c r="AA32" i="3" s="1"/>
  <c r="V29" i="4" s="1"/>
  <c r="Z32" i="3" a="1"/>
  <c r="Z32" i="3" s="1"/>
  <c r="U29" i="4" s="1"/>
  <c r="Y32" i="3" a="1"/>
  <c r="Y32" i="3" s="1"/>
  <c r="T29" i="4" s="1"/>
  <c r="X32" i="3" a="1"/>
  <c r="X32" i="3" s="1"/>
  <c r="S29" i="4" s="1"/>
  <c r="W32" i="3" a="1"/>
  <c r="W32" i="3" s="1"/>
  <c r="R29" i="4" s="1"/>
  <c r="V32" i="3" a="1"/>
  <c r="V32" i="3" s="1"/>
  <c r="Q29" i="4" s="1"/>
  <c r="U32" i="3" a="1"/>
  <c r="U32" i="3" s="1"/>
  <c r="P29" i="4" s="1"/>
  <c r="T32" i="3" a="1"/>
  <c r="T32" i="3" s="1"/>
  <c r="O29" i="4" s="1"/>
  <c r="S32" i="3" a="1"/>
  <c r="S32" i="3" s="1"/>
  <c r="N29" i="4" s="1"/>
  <c r="R32" i="3" a="1"/>
  <c r="R32" i="3" s="1"/>
  <c r="M29" i="4" s="1"/>
  <c r="Q32" i="3" a="1"/>
  <c r="Q32" i="3" s="1"/>
  <c r="L29" i="4" s="1"/>
  <c r="P32" i="3" a="1"/>
  <c r="P32" i="3" s="1"/>
  <c r="K29" i="4" s="1"/>
  <c r="O32" i="3" a="1"/>
  <c r="O32" i="3" s="1"/>
  <c r="J29" i="4" s="1"/>
  <c r="N32" i="3" a="1"/>
  <c r="N32" i="3" s="1"/>
  <c r="I29" i="4" s="1"/>
  <c r="M32" i="3" a="1"/>
  <c r="M32" i="3" s="1"/>
  <c r="H29" i="4" s="1"/>
  <c r="L32" i="3" a="1"/>
  <c r="L32" i="3" s="1"/>
  <c r="G29" i="4" s="1"/>
  <c r="K32" i="3" a="1"/>
  <c r="K32" i="3" s="1"/>
  <c r="F29" i="4" s="1"/>
  <c r="J32" i="3" a="1"/>
  <c r="J32" i="3" s="1"/>
  <c r="E29" i="4" s="1"/>
  <c r="AD31" i="3" a="1"/>
  <c r="AD31" i="3" s="1"/>
  <c r="Y28" i="4" s="1"/>
  <c r="AC31" i="3" a="1"/>
  <c r="AC31" i="3" s="1"/>
  <c r="X28" i="4" s="1"/>
  <c r="AB31" i="3" a="1"/>
  <c r="AB31" i="3" s="1"/>
  <c r="W28" i="4" s="1"/>
  <c r="AA31" i="3" a="1"/>
  <c r="AA31" i="3" s="1"/>
  <c r="V28" i="4" s="1"/>
  <c r="Z31" i="3" a="1"/>
  <c r="Z31" i="3" s="1"/>
  <c r="U28" i="4" s="1"/>
  <c r="Y31" i="3" a="1"/>
  <c r="Y31" i="3" s="1"/>
  <c r="T28" i="4" s="1"/>
  <c r="X31" i="3" a="1"/>
  <c r="X31" i="3" s="1"/>
  <c r="S28" i="4" s="1"/>
  <c r="W31" i="3" a="1"/>
  <c r="W31" i="3" s="1"/>
  <c r="R28" i="4" s="1"/>
  <c r="V31" i="3" a="1"/>
  <c r="V31" i="3" s="1"/>
  <c r="Q28" i="4" s="1"/>
  <c r="U31" i="3" a="1"/>
  <c r="U31" i="3" s="1"/>
  <c r="P28" i="4" s="1"/>
  <c r="T31" i="3" a="1"/>
  <c r="T31" i="3" s="1"/>
  <c r="O28" i="4" s="1"/>
  <c r="S31" i="3" a="1"/>
  <c r="S31" i="3" s="1"/>
  <c r="N28" i="4" s="1"/>
  <c r="R31" i="3" a="1"/>
  <c r="R31" i="3" s="1"/>
  <c r="M28" i="4" s="1"/>
  <c r="Q31" i="3" a="1"/>
  <c r="Q31" i="3" s="1"/>
  <c r="L28" i="4" s="1"/>
  <c r="P31" i="3" a="1"/>
  <c r="P31" i="3" s="1"/>
  <c r="K28" i="4" s="1"/>
  <c r="O31" i="3" a="1"/>
  <c r="O31" i="3" s="1"/>
  <c r="J28" i="4" s="1"/>
  <c r="N31" i="3" a="1"/>
  <c r="N31" i="3" s="1"/>
  <c r="I28" i="4" s="1"/>
  <c r="M31" i="3" a="1"/>
  <c r="M31" i="3" s="1"/>
  <c r="H28" i="4" s="1"/>
  <c r="L31" i="3" a="1"/>
  <c r="L31" i="3" s="1"/>
  <c r="G28" i="4" s="1"/>
  <c r="K31" i="3" a="1"/>
  <c r="K31" i="3" s="1"/>
  <c r="F28" i="4" s="1"/>
  <c r="J31" i="3" a="1"/>
  <c r="J31" i="3" s="1"/>
  <c r="E28" i="4" s="1"/>
  <c r="AD30" i="3" a="1"/>
  <c r="AD30" i="3" s="1"/>
  <c r="Y27" i="4" s="1"/>
  <c r="AC30" i="3" a="1"/>
  <c r="AC30" i="3" s="1"/>
  <c r="X27" i="4" s="1"/>
  <c r="AB30" i="3" a="1"/>
  <c r="AB30" i="3" s="1"/>
  <c r="W27" i="4" s="1"/>
  <c r="AA30" i="3" a="1"/>
  <c r="AA30" i="3" s="1"/>
  <c r="V27" i="4" s="1"/>
  <c r="Z30" i="3" a="1"/>
  <c r="Z30" i="3" s="1"/>
  <c r="U27" i="4" s="1"/>
  <c r="Y30" i="3" a="1"/>
  <c r="Y30" i="3" s="1"/>
  <c r="T27" i="4" s="1"/>
  <c r="X30" i="3" a="1"/>
  <c r="X30" i="3" s="1"/>
  <c r="S27" i="4" s="1"/>
  <c r="W30" i="3" a="1"/>
  <c r="W30" i="3" s="1"/>
  <c r="R27" i="4" s="1"/>
  <c r="V30" i="3" a="1"/>
  <c r="V30" i="3" s="1"/>
  <c r="Q27" i="4" s="1"/>
  <c r="U30" i="3" a="1"/>
  <c r="U30" i="3" s="1"/>
  <c r="P27" i="4" s="1"/>
  <c r="T30" i="3" a="1"/>
  <c r="T30" i="3" s="1"/>
  <c r="O27" i="4" s="1"/>
  <c r="S30" i="3" a="1"/>
  <c r="S30" i="3" s="1"/>
  <c r="N27" i="4" s="1"/>
  <c r="R30" i="3" a="1"/>
  <c r="R30" i="3" s="1"/>
  <c r="M27" i="4" s="1"/>
  <c r="Q30" i="3" a="1"/>
  <c r="Q30" i="3" s="1"/>
  <c r="L27" i="4" s="1"/>
  <c r="P30" i="3" a="1"/>
  <c r="P30" i="3" s="1"/>
  <c r="K27" i="4" s="1"/>
  <c r="O30" i="3" a="1"/>
  <c r="O30" i="3" s="1"/>
  <c r="J27" i="4" s="1"/>
  <c r="N30" i="3" a="1"/>
  <c r="N30" i="3" s="1"/>
  <c r="I27" i="4" s="1"/>
  <c r="M30" i="3" a="1"/>
  <c r="M30" i="3" s="1"/>
  <c r="H27" i="4" s="1"/>
  <c r="L30" i="3" a="1"/>
  <c r="L30" i="3" s="1"/>
  <c r="G27" i="4" s="1"/>
  <c r="K30" i="3" a="1"/>
  <c r="K30" i="3" s="1"/>
  <c r="F27" i="4" s="1"/>
  <c r="J30" i="3" a="1"/>
  <c r="J30" i="3" s="1"/>
  <c r="E27" i="4" s="1"/>
  <c r="AD29" i="3" a="1"/>
  <c r="AD29" i="3" s="1"/>
  <c r="Y26" i="4" s="1"/>
  <c r="AC29" i="3" a="1"/>
  <c r="AC29" i="3" s="1"/>
  <c r="X26" i="4" s="1"/>
  <c r="AB29" i="3" a="1"/>
  <c r="AB29" i="3" s="1"/>
  <c r="W26" i="4" s="1"/>
  <c r="AA29" i="3" a="1"/>
  <c r="AA29" i="3" s="1"/>
  <c r="V26" i="4" s="1"/>
  <c r="Z29" i="3" a="1"/>
  <c r="Z29" i="3" s="1"/>
  <c r="U26" i="4" s="1"/>
  <c r="Y29" i="3" a="1"/>
  <c r="Y29" i="3" s="1"/>
  <c r="T26" i="4" s="1"/>
  <c r="X29" i="3" a="1"/>
  <c r="X29" i="3" s="1"/>
  <c r="S26" i="4" s="1"/>
  <c r="W29" i="3" a="1"/>
  <c r="W29" i="3" s="1"/>
  <c r="R26" i="4" s="1"/>
  <c r="V29" i="3" a="1"/>
  <c r="V29" i="3" s="1"/>
  <c r="Q26" i="4" s="1"/>
  <c r="U29" i="3" a="1"/>
  <c r="U29" i="3" s="1"/>
  <c r="P26" i="4" s="1"/>
  <c r="T29" i="3" a="1"/>
  <c r="T29" i="3" s="1"/>
  <c r="O26" i="4" s="1"/>
  <c r="S29" i="3" a="1"/>
  <c r="S29" i="3" s="1"/>
  <c r="N26" i="4" s="1"/>
  <c r="R29" i="3" a="1"/>
  <c r="R29" i="3" s="1"/>
  <c r="M26" i="4" s="1"/>
  <c r="Q29" i="3" a="1"/>
  <c r="Q29" i="3" s="1"/>
  <c r="L26" i="4" s="1"/>
  <c r="P29" i="3" a="1"/>
  <c r="P29" i="3" s="1"/>
  <c r="K26" i="4" s="1"/>
  <c r="O29" i="3" a="1"/>
  <c r="O29" i="3" s="1"/>
  <c r="J26" i="4" s="1"/>
  <c r="N29" i="3" a="1"/>
  <c r="N29" i="3" s="1"/>
  <c r="I26" i="4" s="1"/>
  <c r="M29" i="3" a="1"/>
  <c r="M29" i="3" s="1"/>
  <c r="H26" i="4" s="1"/>
  <c r="L29" i="3" a="1"/>
  <c r="L29" i="3" s="1"/>
  <c r="G26" i="4" s="1"/>
  <c r="K29" i="3" a="1"/>
  <c r="K29" i="3" s="1"/>
  <c r="F26" i="4" s="1"/>
  <c r="J29" i="3" a="1"/>
  <c r="J29" i="3" s="1"/>
  <c r="E26" i="4" s="1"/>
  <c r="AD28" i="3" a="1"/>
  <c r="AD28" i="3" s="1"/>
  <c r="Y25" i="4" s="1"/>
  <c r="AC28" i="3" a="1"/>
  <c r="AC28" i="3" s="1"/>
  <c r="X25" i="4" s="1"/>
  <c r="AB28" i="3" a="1"/>
  <c r="AB28" i="3" s="1"/>
  <c r="W25" i="4" s="1"/>
  <c r="AA28" i="3" a="1"/>
  <c r="AA28" i="3" s="1"/>
  <c r="V25" i="4" s="1"/>
  <c r="Z28" i="3" a="1"/>
  <c r="Z28" i="3" s="1"/>
  <c r="U25" i="4" s="1"/>
  <c r="Y28" i="3" a="1"/>
  <c r="Y28" i="3" s="1"/>
  <c r="T25" i="4" s="1"/>
  <c r="X28" i="3" a="1"/>
  <c r="X28" i="3" s="1"/>
  <c r="S25" i="4" s="1"/>
  <c r="W28" i="3" a="1"/>
  <c r="W28" i="3" s="1"/>
  <c r="R25" i="4" s="1"/>
  <c r="V28" i="3" a="1"/>
  <c r="V28" i="3" s="1"/>
  <c r="Q25" i="4" s="1"/>
  <c r="U28" i="3" a="1"/>
  <c r="U28" i="3" s="1"/>
  <c r="P25" i="4" s="1"/>
  <c r="T28" i="3" a="1"/>
  <c r="T28" i="3" s="1"/>
  <c r="O25" i="4" s="1"/>
  <c r="S28" i="3" a="1"/>
  <c r="S28" i="3" s="1"/>
  <c r="N25" i="4" s="1"/>
  <c r="R28" i="3" a="1"/>
  <c r="R28" i="3" s="1"/>
  <c r="M25" i="4" s="1"/>
  <c r="Q28" i="3" a="1"/>
  <c r="Q28" i="3" s="1"/>
  <c r="L25" i="4" s="1"/>
  <c r="P28" i="3" a="1"/>
  <c r="P28" i="3" s="1"/>
  <c r="K25" i="4" s="1"/>
  <c r="O28" i="3" a="1"/>
  <c r="O28" i="3" s="1"/>
  <c r="J25" i="4" s="1"/>
  <c r="N28" i="3" a="1"/>
  <c r="N28" i="3" s="1"/>
  <c r="I25" i="4" s="1"/>
  <c r="M28" i="3" a="1"/>
  <c r="M28" i="3" s="1"/>
  <c r="H25" i="4" s="1"/>
  <c r="L28" i="3" a="1"/>
  <c r="L28" i="3" s="1"/>
  <c r="G25" i="4" s="1"/>
  <c r="K28" i="3" a="1"/>
  <c r="K28" i="3" s="1"/>
  <c r="F25" i="4" s="1"/>
  <c r="J28" i="3" a="1"/>
  <c r="J28" i="3" s="1"/>
  <c r="E25" i="4" s="1"/>
  <c r="AD27" i="3" a="1"/>
  <c r="AD27" i="3" s="1"/>
  <c r="Y24" i="4" s="1"/>
  <c r="AC27" i="3" a="1"/>
  <c r="AC27" i="3" s="1"/>
  <c r="X24" i="4" s="1"/>
  <c r="AB27" i="3" a="1"/>
  <c r="AB27" i="3" s="1"/>
  <c r="W24" i="4" s="1"/>
  <c r="AA27" i="3" a="1"/>
  <c r="AA27" i="3" s="1"/>
  <c r="V24" i="4" s="1"/>
  <c r="Z27" i="3" a="1"/>
  <c r="Z27" i="3" s="1"/>
  <c r="U24" i="4" s="1"/>
  <c r="Y27" i="3" a="1"/>
  <c r="Y27" i="3" s="1"/>
  <c r="T24" i="4" s="1"/>
  <c r="X27" i="3" a="1"/>
  <c r="X27" i="3" s="1"/>
  <c r="S24" i="4" s="1"/>
  <c r="W27" i="3" a="1"/>
  <c r="W27" i="3" s="1"/>
  <c r="R24" i="4" s="1"/>
  <c r="V27" i="3" a="1"/>
  <c r="V27" i="3" s="1"/>
  <c r="Q24" i="4" s="1"/>
  <c r="U27" i="3" a="1"/>
  <c r="U27" i="3" s="1"/>
  <c r="P24" i="4" s="1"/>
  <c r="T27" i="3" a="1"/>
  <c r="T27" i="3" s="1"/>
  <c r="O24" i="4" s="1"/>
  <c r="S27" i="3" a="1"/>
  <c r="S27" i="3" s="1"/>
  <c r="N24" i="4" s="1"/>
  <c r="R27" i="3" a="1"/>
  <c r="R27" i="3" s="1"/>
  <c r="M24" i="4" s="1"/>
  <c r="Q27" i="3" a="1"/>
  <c r="Q27" i="3" s="1"/>
  <c r="L24" i="4" s="1"/>
  <c r="P27" i="3" a="1"/>
  <c r="P27" i="3" s="1"/>
  <c r="K24" i="4" s="1"/>
  <c r="O27" i="3" a="1"/>
  <c r="O27" i="3" s="1"/>
  <c r="J24" i="4" s="1"/>
  <c r="N27" i="3" a="1"/>
  <c r="N27" i="3" s="1"/>
  <c r="I24" i="4" s="1"/>
  <c r="M27" i="3" a="1"/>
  <c r="M27" i="3" s="1"/>
  <c r="H24" i="4" s="1"/>
  <c r="L27" i="3" a="1"/>
  <c r="L27" i="3" s="1"/>
  <c r="G24" i="4" s="1"/>
  <c r="K27" i="3" a="1"/>
  <c r="K27" i="3" s="1"/>
  <c r="F24" i="4" s="1"/>
  <c r="J27" i="3" a="1"/>
  <c r="J27" i="3" s="1"/>
  <c r="E24" i="4" s="1"/>
  <c r="AD26" i="3" a="1"/>
  <c r="AD26" i="3" s="1"/>
  <c r="Y23" i="4" s="1"/>
  <c r="AC26" i="3" a="1"/>
  <c r="AC26" i="3" s="1"/>
  <c r="X23" i="4" s="1"/>
  <c r="AB26" i="3" a="1"/>
  <c r="AB26" i="3" s="1"/>
  <c r="W23" i="4" s="1"/>
  <c r="AA26" i="3" a="1"/>
  <c r="AA26" i="3" s="1"/>
  <c r="V23" i="4" s="1"/>
  <c r="Z26" i="3" a="1"/>
  <c r="Z26" i="3" s="1"/>
  <c r="U23" i="4" s="1"/>
  <c r="Y26" i="3" a="1"/>
  <c r="Y26" i="3" s="1"/>
  <c r="T23" i="4" s="1"/>
  <c r="X26" i="3" a="1"/>
  <c r="X26" i="3" s="1"/>
  <c r="S23" i="4" s="1"/>
  <c r="W26" i="3" a="1"/>
  <c r="W26" i="3" s="1"/>
  <c r="R23" i="4" s="1"/>
  <c r="V26" i="3" a="1"/>
  <c r="V26" i="3" s="1"/>
  <c r="Q23" i="4" s="1"/>
  <c r="U26" i="3" a="1"/>
  <c r="U26" i="3" s="1"/>
  <c r="P23" i="4" s="1"/>
  <c r="T26" i="3" a="1"/>
  <c r="T26" i="3" s="1"/>
  <c r="O23" i="4" s="1"/>
  <c r="S26" i="3" a="1"/>
  <c r="S26" i="3" s="1"/>
  <c r="N23" i="4" s="1"/>
  <c r="R26" i="3" a="1"/>
  <c r="R26" i="3" s="1"/>
  <c r="M23" i="4" s="1"/>
  <c r="Q26" i="3" a="1"/>
  <c r="Q26" i="3" s="1"/>
  <c r="L23" i="4" s="1"/>
  <c r="P26" i="3" a="1"/>
  <c r="P26" i="3" s="1"/>
  <c r="K23" i="4" s="1"/>
  <c r="O26" i="3" a="1"/>
  <c r="O26" i="3" s="1"/>
  <c r="J23" i="4" s="1"/>
  <c r="N26" i="3" a="1"/>
  <c r="N26" i="3" s="1"/>
  <c r="I23" i="4" s="1"/>
  <c r="M26" i="3" a="1"/>
  <c r="M26" i="3" s="1"/>
  <c r="H23" i="4" s="1"/>
  <c r="L26" i="3" a="1"/>
  <c r="L26" i="3" s="1"/>
  <c r="G23" i="4" s="1"/>
  <c r="K26" i="3" a="1"/>
  <c r="K26" i="3" s="1"/>
  <c r="F23" i="4" s="1"/>
  <c r="J26" i="3" a="1"/>
  <c r="J26" i="3" s="1"/>
  <c r="E23" i="4" s="1"/>
  <c r="AD25" i="3" a="1"/>
  <c r="AD25" i="3" s="1"/>
  <c r="Y22" i="4" s="1"/>
  <c r="AC25" i="3" a="1"/>
  <c r="AC25" i="3" s="1"/>
  <c r="X22" i="4" s="1"/>
  <c r="AB25" i="3" a="1"/>
  <c r="AB25" i="3" s="1"/>
  <c r="W22" i="4" s="1"/>
  <c r="AA25" i="3" a="1"/>
  <c r="AA25" i="3" s="1"/>
  <c r="V22" i="4" s="1"/>
  <c r="Z25" i="3" a="1"/>
  <c r="Z25" i="3" s="1"/>
  <c r="U22" i="4" s="1"/>
  <c r="Y25" i="3" a="1"/>
  <c r="Y25" i="3" s="1"/>
  <c r="T22" i="4" s="1"/>
  <c r="X25" i="3" a="1"/>
  <c r="X25" i="3" s="1"/>
  <c r="S22" i="4" s="1"/>
  <c r="W25" i="3" a="1"/>
  <c r="W25" i="3" s="1"/>
  <c r="R22" i="4" s="1"/>
  <c r="V25" i="3" a="1"/>
  <c r="V25" i="3" s="1"/>
  <c r="Q22" i="4" s="1"/>
  <c r="U25" i="3" a="1"/>
  <c r="U25" i="3" s="1"/>
  <c r="P22" i="4" s="1"/>
  <c r="T25" i="3" a="1"/>
  <c r="T25" i="3" s="1"/>
  <c r="O22" i="4" s="1"/>
  <c r="S25" i="3" a="1"/>
  <c r="S25" i="3" s="1"/>
  <c r="N22" i="4" s="1"/>
  <c r="R25" i="3" a="1"/>
  <c r="R25" i="3" s="1"/>
  <c r="M22" i="4" s="1"/>
  <c r="Q25" i="3" a="1"/>
  <c r="Q25" i="3" s="1"/>
  <c r="L22" i="4" s="1"/>
  <c r="P25" i="3" a="1"/>
  <c r="P25" i="3" s="1"/>
  <c r="K22" i="4" s="1"/>
  <c r="O25" i="3" a="1"/>
  <c r="O25" i="3" s="1"/>
  <c r="J22" i="4" s="1"/>
  <c r="N25" i="3" a="1"/>
  <c r="N25" i="3" s="1"/>
  <c r="I22" i="4" s="1"/>
  <c r="M25" i="3" a="1"/>
  <c r="M25" i="3" s="1"/>
  <c r="H22" i="4" s="1"/>
  <c r="L25" i="3" a="1"/>
  <c r="L25" i="3" s="1"/>
  <c r="G22" i="4" s="1"/>
  <c r="K25" i="3" a="1"/>
  <c r="K25" i="3" s="1"/>
  <c r="F22" i="4" s="1"/>
  <c r="J25" i="3" a="1"/>
  <c r="J25" i="3" s="1"/>
  <c r="E22" i="4" s="1"/>
  <c r="AD24" i="3" a="1"/>
  <c r="AD24" i="3" s="1"/>
  <c r="Y21" i="4" s="1"/>
  <c r="AC24" i="3" a="1"/>
  <c r="AC24" i="3" s="1"/>
  <c r="X21" i="4" s="1"/>
  <c r="AB24" i="3" a="1"/>
  <c r="AB24" i="3" s="1"/>
  <c r="W21" i="4" s="1"/>
  <c r="AA24" i="3" a="1"/>
  <c r="AA24" i="3" s="1"/>
  <c r="V21" i="4" s="1"/>
  <c r="Z24" i="3" a="1"/>
  <c r="Z24" i="3" s="1"/>
  <c r="U21" i="4" s="1"/>
  <c r="Y24" i="3" a="1"/>
  <c r="Y24" i="3" s="1"/>
  <c r="T21" i="4" s="1"/>
  <c r="X24" i="3" a="1"/>
  <c r="X24" i="3" s="1"/>
  <c r="S21" i="4" s="1"/>
  <c r="W24" i="3" a="1"/>
  <c r="W24" i="3" s="1"/>
  <c r="R21" i="4" s="1"/>
  <c r="V24" i="3" a="1"/>
  <c r="V24" i="3" s="1"/>
  <c r="Q21" i="4" s="1"/>
  <c r="U24" i="3" a="1"/>
  <c r="U24" i="3" s="1"/>
  <c r="P21" i="4" s="1"/>
  <c r="T24" i="3" a="1"/>
  <c r="T24" i="3" s="1"/>
  <c r="O21" i="4" s="1"/>
  <c r="S24" i="3" a="1"/>
  <c r="S24" i="3" s="1"/>
  <c r="N21" i="4" s="1"/>
  <c r="R24" i="3" a="1"/>
  <c r="R24" i="3" s="1"/>
  <c r="M21" i="4" s="1"/>
  <c r="Q24" i="3" a="1"/>
  <c r="Q24" i="3" s="1"/>
  <c r="L21" i="4" s="1"/>
  <c r="P24" i="3" a="1"/>
  <c r="P24" i="3" s="1"/>
  <c r="K21" i="4" s="1"/>
  <c r="O24" i="3" a="1"/>
  <c r="O24" i="3" s="1"/>
  <c r="J21" i="4" s="1"/>
  <c r="N24" i="3" a="1"/>
  <c r="N24" i="3" s="1"/>
  <c r="I21" i="4" s="1"/>
  <c r="M24" i="3" a="1"/>
  <c r="M24" i="3" s="1"/>
  <c r="H21" i="4" s="1"/>
  <c r="L24" i="3" a="1"/>
  <c r="L24" i="3" s="1"/>
  <c r="G21" i="4" s="1"/>
  <c r="K24" i="3" a="1"/>
  <c r="K24" i="3" s="1"/>
  <c r="F21" i="4" s="1"/>
  <c r="J24" i="3" a="1"/>
  <c r="J24" i="3" s="1"/>
  <c r="E21" i="4" s="1"/>
  <c r="AD23" i="3" a="1"/>
  <c r="AD23" i="3" s="1"/>
  <c r="Y20" i="4" s="1"/>
  <c r="AC23" i="3" a="1"/>
  <c r="AC23" i="3" s="1"/>
  <c r="X20" i="4" s="1"/>
  <c r="AB23" i="3" a="1"/>
  <c r="AB23" i="3" s="1"/>
  <c r="W20" i="4" s="1"/>
  <c r="AA23" i="3" a="1"/>
  <c r="AA23" i="3" s="1"/>
  <c r="V20" i="4" s="1"/>
  <c r="Z23" i="3" a="1"/>
  <c r="Z23" i="3" s="1"/>
  <c r="U20" i="4" s="1"/>
  <c r="Y23" i="3" a="1"/>
  <c r="Y23" i="3" s="1"/>
  <c r="T20" i="4" s="1"/>
  <c r="X23" i="3" a="1"/>
  <c r="X23" i="3" s="1"/>
  <c r="S20" i="4" s="1"/>
  <c r="W23" i="3" a="1"/>
  <c r="W23" i="3" s="1"/>
  <c r="R20" i="4" s="1"/>
  <c r="V23" i="3" a="1"/>
  <c r="V23" i="3" s="1"/>
  <c r="Q20" i="4" s="1"/>
  <c r="U23" i="3" a="1"/>
  <c r="U23" i="3" s="1"/>
  <c r="P20" i="4" s="1"/>
  <c r="T23" i="3" a="1"/>
  <c r="T23" i="3" s="1"/>
  <c r="O20" i="4" s="1"/>
  <c r="S23" i="3" a="1"/>
  <c r="S23" i="3" s="1"/>
  <c r="N20" i="4" s="1"/>
  <c r="R23" i="3" a="1"/>
  <c r="R23" i="3" s="1"/>
  <c r="M20" i="4" s="1"/>
  <c r="Q23" i="3" a="1"/>
  <c r="Q23" i="3" s="1"/>
  <c r="L20" i="4" s="1"/>
  <c r="P23" i="3" a="1"/>
  <c r="P23" i="3" s="1"/>
  <c r="K20" i="4" s="1"/>
  <c r="O23" i="3" a="1"/>
  <c r="O23" i="3" s="1"/>
  <c r="J20" i="4" s="1"/>
  <c r="N23" i="3" a="1"/>
  <c r="N23" i="3" s="1"/>
  <c r="I20" i="4" s="1"/>
  <c r="M23" i="3" a="1"/>
  <c r="M23" i="3" s="1"/>
  <c r="H20" i="4" s="1"/>
  <c r="L23" i="3" a="1"/>
  <c r="L23" i="3" s="1"/>
  <c r="G20" i="4" s="1"/>
  <c r="K23" i="3" a="1"/>
  <c r="K23" i="3" s="1"/>
  <c r="F20" i="4" s="1"/>
  <c r="J23" i="3" a="1"/>
  <c r="J23" i="3" s="1"/>
  <c r="E20" i="4" s="1"/>
  <c r="AD22" i="3" a="1"/>
  <c r="AD22" i="3" s="1"/>
  <c r="Y19" i="4" s="1"/>
  <c r="AC22" i="3" a="1"/>
  <c r="AC22" i="3" s="1"/>
  <c r="X19" i="4" s="1"/>
  <c r="AB22" i="3" a="1"/>
  <c r="AB22" i="3" s="1"/>
  <c r="W19" i="4" s="1"/>
  <c r="AA22" i="3" a="1"/>
  <c r="AA22" i="3" s="1"/>
  <c r="V19" i="4" s="1"/>
  <c r="Z22" i="3" a="1"/>
  <c r="Z22" i="3" s="1"/>
  <c r="U19" i="4" s="1"/>
  <c r="Y22" i="3" a="1"/>
  <c r="Y22" i="3" s="1"/>
  <c r="T19" i="4" s="1"/>
  <c r="X22" i="3" a="1"/>
  <c r="X22" i="3" s="1"/>
  <c r="S19" i="4" s="1"/>
  <c r="W22" i="3" a="1"/>
  <c r="W22" i="3" s="1"/>
  <c r="R19" i="4" s="1"/>
  <c r="V22" i="3" a="1"/>
  <c r="V22" i="3" s="1"/>
  <c r="Q19" i="4" s="1"/>
  <c r="U22" i="3" a="1"/>
  <c r="U22" i="3" s="1"/>
  <c r="P19" i="4" s="1"/>
  <c r="T22" i="3" a="1"/>
  <c r="T22" i="3" s="1"/>
  <c r="O19" i="4" s="1"/>
  <c r="S22" i="3" a="1"/>
  <c r="S22" i="3" s="1"/>
  <c r="N19" i="4" s="1"/>
  <c r="R22" i="3" a="1"/>
  <c r="R22" i="3" s="1"/>
  <c r="M19" i="4" s="1"/>
  <c r="Q22" i="3" a="1"/>
  <c r="Q22" i="3" s="1"/>
  <c r="L19" i="4" s="1"/>
  <c r="P22" i="3" a="1"/>
  <c r="P22" i="3" s="1"/>
  <c r="K19" i="4" s="1"/>
  <c r="O22" i="3" a="1"/>
  <c r="O22" i="3" s="1"/>
  <c r="J19" i="4" s="1"/>
  <c r="N22" i="3" a="1"/>
  <c r="N22" i="3" s="1"/>
  <c r="I19" i="4" s="1"/>
  <c r="M22" i="3" a="1"/>
  <c r="M22" i="3" s="1"/>
  <c r="H19" i="4" s="1"/>
  <c r="L22" i="3" a="1"/>
  <c r="L22" i="3" s="1"/>
  <c r="G19" i="4" s="1"/>
  <c r="K22" i="3" a="1"/>
  <c r="K22" i="3" s="1"/>
  <c r="F19" i="4" s="1"/>
  <c r="J22" i="3" a="1"/>
  <c r="J22" i="3" s="1"/>
  <c r="E19" i="4" s="1"/>
  <c r="AD21" i="3" a="1"/>
  <c r="AD21" i="3" s="1"/>
  <c r="Y18" i="4" s="1"/>
  <c r="AC21" i="3" a="1"/>
  <c r="AC21" i="3" s="1"/>
  <c r="X18" i="4" s="1"/>
  <c r="AB21" i="3" a="1"/>
  <c r="AB21" i="3" s="1"/>
  <c r="W18" i="4" s="1"/>
  <c r="AA21" i="3" a="1"/>
  <c r="AA21" i="3" s="1"/>
  <c r="V18" i="4" s="1"/>
  <c r="Z21" i="3" a="1"/>
  <c r="Z21" i="3" s="1"/>
  <c r="U18" i="4" s="1"/>
  <c r="Y21" i="3" a="1"/>
  <c r="Y21" i="3" s="1"/>
  <c r="T18" i="4" s="1"/>
  <c r="X21" i="3" a="1"/>
  <c r="X21" i="3" s="1"/>
  <c r="S18" i="4" s="1"/>
  <c r="W21" i="3" a="1"/>
  <c r="W21" i="3" s="1"/>
  <c r="R18" i="4" s="1"/>
  <c r="V21" i="3" a="1"/>
  <c r="V21" i="3" s="1"/>
  <c r="Q18" i="4" s="1"/>
  <c r="U21" i="3" a="1"/>
  <c r="U21" i="3" s="1"/>
  <c r="P18" i="4" s="1"/>
  <c r="T21" i="3" a="1"/>
  <c r="T21" i="3" s="1"/>
  <c r="O18" i="4" s="1"/>
  <c r="S21" i="3" a="1"/>
  <c r="S21" i="3" s="1"/>
  <c r="N18" i="4" s="1"/>
  <c r="R21" i="3" a="1"/>
  <c r="R21" i="3" s="1"/>
  <c r="M18" i="4" s="1"/>
  <c r="Q21" i="3" a="1"/>
  <c r="Q21" i="3" s="1"/>
  <c r="L18" i="4" s="1"/>
  <c r="P21" i="3" a="1"/>
  <c r="P21" i="3" s="1"/>
  <c r="K18" i="4" s="1"/>
  <c r="O21" i="3" a="1"/>
  <c r="O21" i="3" s="1"/>
  <c r="J18" i="4" s="1"/>
  <c r="N21" i="3" a="1"/>
  <c r="N21" i="3" s="1"/>
  <c r="I18" i="4" s="1"/>
  <c r="M21" i="3" a="1"/>
  <c r="M21" i="3" s="1"/>
  <c r="H18" i="4" s="1"/>
  <c r="L21" i="3" a="1"/>
  <c r="L21" i="3" s="1"/>
  <c r="G18" i="4" s="1"/>
  <c r="K21" i="3" a="1"/>
  <c r="K21" i="3" s="1"/>
  <c r="F18" i="4" s="1"/>
  <c r="J21" i="3" a="1"/>
  <c r="J21" i="3" s="1"/>
  <c r="E18" i="4" s="1"/>
  <c r="AD20" i="3" a="1"/>
  <c r="AD20" i="3" s="1"/>
  <c r="Y17" i="4" s="1"/>
  <c r="AC20" i="3" a="1"/>
  <c r="AC20" i="3" s="1"/>
  <c r="X17" i="4" s="1"/>
  <c r="AB20" i="3" a="1"/>
  <c r="AB20" i="3" s="1"/>
  <c r="W17" i="4" s="1"/>
  <c r="AA20" i="3" a="1"/>
  <c r="AA20" i="3" s="1"/>
  <c r="V17" i="4" s="1"/>
  <c r="Z20" i="3" a="1"/>
  <c r="Z20" i="3" s="1"/>
  <c r="U17" i="4" s="1"/>
  <c r="Y20" i="3" a="1"/>
  <c r="Y20" i="3" s="1"/>
  <c r="T17" i="4" s="1"/>
  <c r="X20" i="3" a="1"/>
  <c r="X20" i="3" s="1"/>
  <c r="S17" i="4" s="1"/>
  <c r="W20" i="3" a="1"/>
  <c r="W20" i="3" s="1"/>
  <c r="R17" i="4" s="1"/>
  <c r="V20" i="3" a="1"/>
  <c r="V20" i="3" s="1"/>
  <c r="Q17" i="4" s="1"/>
  <c r="U20" i="3" a="1"/>
  <c r="U20" i="3" s="1"/>
  <c r="P17" i="4" s="1"/>
  <c r="T20" i="3" a="1"/>
  <c r="T20" i="3" s="1"/>
  <c r="O17" i="4" s="1"/>
  <c r="S20" i="3" a="1"/>
  <c r="S20" i="3" s="1"/>
  <c r="N17" i="4" s="1"/>
  <c r="R20" i="3" a="1"/>
  <c r="R20" i="3" s="1"/>
  <c r="M17" i="4" s="1"/>
  <c r="Q20" i="3" a="1"/>
  <c r="Q20" i="3" s="1"/>
  <c r="L17" i="4" s="1"/>
  <c r="P20" i="3" a="1"/>
  <c r="P20" i="3" s="1"/>
  <c r="K17" i="4" s="1"/>
  <c r="O20" i="3" a="1"/>
  <c r="O20" i="3" s="1"/>
  <c r="J17" i="4" s="1"/>
  <c r="N20" i="3" a="1"/>
  <c r="N20" i="3" s="1"/>
  <c r="I17" i="4" s="1"/>
  <c r="M20" i="3" a="1"/>
  <c r="M20" i="3" s="1"/>
  <c r="H17" i="4" s="1"/>
  <c r="L20" i="3" a="1"/>
  <c r="L20" i="3" s="1"/>
  <c r="G17" i="4" s="1"/>
  <c r="K20" i="3" a="1"/>
  <c r="K20" i="3" s="1"/>
  <c r="F17" i="4" s="1"/>
  <c r="J20" i="3" a="1"/>
  <c r="J20" i="3" s="1"/>
  <c r="E17" i="4" s="1"/>
  <c r="AD19" i="3" a="1"/>
  <c r="AD19" i="3" s="1"/>
  <c r="Y16" i="4" s="1"/>
  <c r="AC19" i="3" a="1"/>
  <c r="AC19" i="3" s="1"/>
  <c r="X16" i="4" s="1"/>
  <c r="AB19" i="3" a="1"/>
  <c r="AB19" i="3" s="1"/>
  <c r="W16" i="4" s="1"/>
  <c r="AA19" i="3" a="1"/>
  <c r="AA19" i="3" s="1"/>
  <c r="V16" i="4" s="1"/>
  <c r="Z19" i="3" a="1"/>
  <c r="Z19" i="3" s="1"/>
  <c r="U16" i="4" s="1"/>
  <c r="Y19" i="3" a="1"/>
  <c r="Y19" i="3" s="1"/>
  <c r="T16" i="4" s="1"/>
  <c r="X19" i="3" a="1"/>
  <c r="X19" i="3" s="1"/>
  <c r="S16" i="4" s="1"/>
  <c r="W19" i="3" a="1"/>
  <c r="W19" i="3" s="1"/>
  <c r="R16" i="4" s="1"/>
  <c r="V19" i="3" a="1"/>
  <c r="V19" i="3" s="1"/>
  <c r="Q16" i="4" s="1"/>
  <c r="U19" i="3" a="1"/>
  <c r="U19" i="3" s="1"/>
  <c r="P16" i="4" s="1"/>
  <c r="T19" i="3" a="1"/>
  <c r="T19" i="3" s="1"/>
  <c r="O16" i="4" s="1"/>
  <c r="S19" i="3" a="1"/>
  <c r="S19" i="3" s="1"/>
  <c r="N16" i="4" s="1"/>
  <c r="R19" i="3" a="1"/>
  <c r="R19" i="3" s="1"/>
  <c r="M16" i="4" s="1"/>
  <c r="Q19" i="3" a="1"/>
  <c r="Q19" i="3" s="1"/>
  <c r="L16" i="4" s="1"/>
  <c r="P19" i="3" a="1"/>
  <c r="P19" i="3" s="1"/>
  <c r="K16" i="4" s="1"/>
  <c r="O19" i="3" a="1"/>
  <c r="O19" i="3" s="1"/>
  <c r="J16" i="4" s="1"/>
  <c r="N19" i="3" a="1"/>
  <c r="N19" i="3" s="1"/>
  <c r="I16" i="4" s="1"/>
  <c r="M19" i="3" a="1"/>
  <c r="M19" i="3" s="1"/>
  <c r="H16" i="4" s="1"/>
  <c r="L19" i="3" a="1"/>
  <c r="L19" i="3" s="1"/>
  <c r="G16" i="4" s="1"/>
  <c r="K19" i="3" a="1"/>
  <c r="K19" i="3" s="1"/>
  <c r="F16" i="4" s="1"/>
  <c r="J19" i="3" a="1"/>
  <c r="J19" i="3" s="1"/>
  <c r="E16" i="4" s="1"/>
  <c r="AD18" i="3" a="1"/>
  <c r="AD18" i="3" s="1"/>
  <c r="Y15" i="4" s="1"/>
  <c r="AC18" i="3" a="1"/>
  <c r="AC18" i="3" s="1"/>
  <c r="X15" i="4" s="1"/>
  <c r="AB18" i="3" a="1"/>
  <c r="AB18" i="3" s="1"/>
  <c r="W15" i="4" s="1"/>
  <c r="AA18" i="3" a="1"/>
  <c r="AA18" i="3" s="1"/>
  <c r="V15" i="4" s="1"/>
  <c r="Z18" i="3" a="1"/>
  <c r="Z18" i="3" s="1"/>
  <c r="U15" i="4" s="1"/>
  <c r="Y18" i="3" a="1"/>
  <c r="Y18" i="3" s="1"/>
  <c r="T15" i="4" s="1"/>
  <c r="X18" i="3" a="1"/>
  <c r="X18" i="3" s="1"/>
  <c r="S15" i="4" s="1"/>
  <c r="W18" i="3" a="1"/>
  <c r="W18" i="3" s="1"/>
  <c r="R15" i="4" s="1"/>
  <c r="V18" i="3" a="1"/>
  <c r="V18" i="3" s="1"/>
  <c r="Q15" i="4" s="1"/>
  <c r="U18" i="3" a="1"/>
  <c r="U18" i="3" s="1"/>
  <c r="P15" i="4" s="1"/>
  <c r="T18" i="3" a="1"/>
  <c r="T18" i="3" s="1"/>
  <c r="O15" i="4" s="1"/>
  <c r="S18" i="3" a="1"/>
  <c r="S18" i="3" s="1"/>
  <c r="N15" i="4" s="1"/>
  <c r="R18" i="3" a="1"/>
  <c r="R18" i="3" s="1"/>
  <c r="M15" i="4" s="1"/>
  <c r="Q18" i="3" a="1"/>
  <c r="Q18" i="3" s="1"/>
  <c r="L15" i="4" s="1"/>
  <c r="P18" i="3" a="1"/>
  <c r="P18" i="3" s="1"/>
  <c r="K15" i="4" s="1"/>
  <c r="O18" i="3" a="1"/>
  <c r="O18" i="3" s="1"/>
  <c r="J15" i="4" s="1"/>
  <c r="N18" i="3" a="1"/>
  <c r="N18" i="3" s="1"/>
  <c r="I15" i="4" s="1"/>
  <c r="M18" i="3" a="1"/>
  <c r="M18" i="3" s="1"/>
  <c r="H15" i="4" s="1"/>
  <c r="L18" i="3" a="1"/>
  <c r="L18" i="3" s="1"/>
  <c r="G15" i="4" s="1"/>
  <c r="K18" i="3" a="1"/>
  <c r="K18" i="3" s="1"/>
  <c r="F15" i="4" s="1"/>
  <c r="J18" i="3" a="1"/>
  <c r="J18" i="3" s="1"/>
  <c r="E15" i="4" s="1"/>
  <c r="AD17" i="3" a="1"/>
  <c r="AD17" i="3" s="1"/>
  <c r="Y14" i="4" s="1"/>
  <c r="AC17" i="3" a="1"/>
  <c r="AC17" i="3" s="1"/>
  <c r="X14" i="4" s="1"/>
  <c r="AB17" i="3" a="1"/>
  <c r="AB17" i="3" s="1"/>
  <c r="W14" i="4" s="1"/>
  <c r="AA17" i="3" a="1"/>
  <c r="AA17" i="3" s="1"/>
  <c r="V14" i="4" s="1"/>
  <c r="Z17" i="3" a="1"/>
  <c r="Z17" i="3" s="1"/>
  <c r="U14" i="4" s="1"/>
  <c r="Y17" i="3" a="1"/>
  <c r="Y17" i="3" s="1"/>
  <c r="T14" i="4" s="1"/>
  <c r="X17" i="3" a="1"/>
  <c r="X17" i="3" s="1"/>
  <c r="S14" i="4" s="1"/>
  <c r="W17" i="3" a="1"/>
  <c r="W17" i="3" s="1"/>
  <c r="R14" i="4" s="1"/>
  <c r="V17" i="3" a="1"/>
  <c r="V17" i="3" s="1"/>
  <c r="Q14" i="4" s="1"/>
  <c r="U17" i="3" a="1"/>
  <c r="U17" i="3" s="1"/>
  <c r="P14" i="4" s="1"/>
  <c r="T17" i="3" a="1"/>
  <c r="T17" i="3" s="1"/>
  <c r="O14" i="4" s="1"/>
  <c r="S17" i="3" a="1"/>
  <c r="S17" i="3" s="1"/>
  <c r="N14" i="4" s="1"/>
  <c r="R17" i="3" a="1"/>
  <c r="R17" i="3" s="1"/>
  <c r="M14" i="4" s="1"/>
  <c r="Q17" i="3" a="1"/>
  <c r="Q17" i="3" s="1"/>
  <c r="L14" i="4" s="1"/>
  <c r="P17" i="3" a="1"/>
  <c r="P17" i="3" s="1"/>
  <c r="K14" i="4" s="1"/>
  <c r="O17" i="3" a="1"/>
  <c r="O17" i="3" s="1"/>
  <c r="J14" i="4" s="1"/>
  <c r="N17" i="3" a="1"/>
  <c r="N17" i="3" s="1"/>
  <c r="I14" i="4" s="1"/>
  <c r="M17" i="3" a="1"/>
  <c r="M17" i="3" s="1"/>
  <c r="H14" i="4" s="1"/>
  <c r="L17" i="3" a="1"/>
  <c r="L17" i="3" s="1"/>
  <c r="G14" i="4" s="1"/>
  <c r="K17" i="3" a="1"/>
  <c r="K17" i="3" s="1"/>
  <c r="F14" i="4" s="1"/>
  <c r="J17" i="3" a="1"/>
  <c r="J17" i="3" s="1"/>
  <c r="E14" i="4" s="1"/>
  <c r="AD16" i="3" a="1"/>
  <c r="AD16" i="3" s="1"/>
  <c r="Y13" i="4" s="1"/>
  <c r="AC16" i="3" a="1"/>
  <c r="AC16" i="3" s="1"/>
  <c r="X13" i="4" s="1"/>
  <c r="AB16" i="3" a="1"/>
  <c r="AB16" i="3" s="1"/>
  <c r="W13" i="4" s="1"/>
  <c r="AA16" i="3" a="1"/>
  <c r="AA16" i="3" s="1"/>
  <c r="V13" i="4" s="1"/>
  <c r="Z16" i="3" a="1"/>
  <c r="Z16" i="3" s="1"/>
  <c r="U13" i="4" s="1"/>
  <c r="Y16" i="3" a="1"/>
  <c r="Y16" i="3" s="1"/>
  <c r="T13" i="4" s="1"/>
  <c r="X16" i="3" a="1"/>
  <c r="X16" i="3" s="1"/>
  <c r="S13" i="4" s="1"/>
  <c r="W16" i="3" a="1"/>
  <c r="W16" i="3" s="1"/>
  <c r="R13" i="4" s="1"/>
  <c r="V16" i="3" a="1"/>
  <c r="V16" i="3" s="1"/>
  <c r="Q13" i="4" s="1"/>
  <c r="U16" i="3" a="1"/>
  <c r="U16" i="3" s="1"/>
  <c r="P13" i="4" s="1"/>
  <c r="T16" i="3" a="1"/>
  <c r="T16" i="3" s="1"/>
  <c r="O13" i="4" s="1"/>
  <c r="S16" i="3" a="1"/>
  <c r="S16" i="3" s="1"/>
  <c r="N13" i="4" s="1"/>
  <c r="R16" i="3" a="1"/>
  <c r="R16" i="3" s="1"/>
  <c r="M13" i="4" s="1"/>
  <c r="Q16" i="3" a="1"/>
  <c r="Q16" i="3" s="1"/>
  <c r="L13" i="4" s="1"/>
  <c r="P16" i="3" a="1"/>
  <c r="P16" i="3" s="1"/>
  <c r="K13" i="4" s="1"/>
  <c r="O16" i="3" a="1"/>
  <c r="O16" i="3" s="1"/>
  <c r="J13" i="4" s="1"/>
  <c r="N16" i="3" a="1"/>
  <c r="N16" i="3" s="1"/>
  <c r="I13" i="4" s="1"/>
  <c r="M16" i="3" a="1"/>
  <c r="M16" i="3" s="1"/>
  <c r="H13" i="4" s="1"/>
  <c r="L16" i="3" a="1"/>
  <c r="L16" i="3" s="1"/>
  <c r="G13" i="4" s="1"/>
  <c r="K16" i="3" a="1"/>
  <c r="K16" i="3" s="1"/>
  <c r="F13" i="4" s="1"/>
  <c r="J16" i="3" a="1"/>
  <c r="J16" i="3" s="1"/>
  <c r="E13" i="4" s="1"/>
  <c r="AD15" i="3" a="1"/>
  <c r="AD15" i="3" s="1"/>
  <c r="Y12" i="4" s="1"/>
  <c r="AC15" i="3" a="1"/>
  <c r="AC15" i="3" s="1"/>
  <c r="X12" i="4" s="1"/>
  <c r="AB15" i="3" a="1"/>
  <c r="AB15" i="3" s="1"/>
  <c r="W12" i="4" s="1"/>
  <c r="AA15" i="3" a="1"/>
  <c r="AA15" i="3" s="1"/>
  <c r="V12" i="4" s="1"/>
  <c r="Z15" i="3" a="1"/>
  <c r="Z15" i="3" s="1"/>
  <c r="U12" i="4" s="1"/>
  <c r="Y15" i="3" a="1"/>
  <c r="Y15" i="3" s="1"/>
  <c r="T12" i="4" s="1"/>
  <c r="X15" i="3" a="1"/>
  <c r="X15" i="3" s="1"/>
  <c r="S12" i="4" s="1"/>
  <c r="W15" i="3" a="1"/>
  <c r="W15" i="3" s="1"/>
  <c r="R12" i="4" s="1"/>
  <c r="V15" i="3" a="1"/>
  <c r="V15" i="3" s="1"/>
  <c r="Q12" i="4" s="1"/>
  <c r="U15" i="3" a="1"/>
  <c r="U15" i="3" s="1"/>
  <c r="P12" i="4" s="1"/>
  <c r="T15" i="3" a="1"/>
  <c r="T15" i="3" s="1"/>
  <c r="O12" i="4" s="1"/>
  <c r="S15" i="3" a="1"/>
  <c r="S15" i="3" s="1"/>
  <c r="N12" i="4" s="1"/>
  <c r="R15" i="3" a="1"/>
  <c r="R15" i="3" s="1"/>
  <c r="M12" i="4" s="1"/>
  <c r="Q15" i="3" a="1"/>
  <c r="Q15" i="3" s="1"/>
  <c r="L12" i="4" s="1"/>
  <c r="P15" i="3" a="1"/>
  <c r="P15" i="3" s="1"/>
  <c r="K12" i="4" s="1"/>
  <c r="O15" i="3" a="1"/>
  <c r="O15" i="3" s="1"/>
  <c r="J12" i="4" s="1"/>
  <c r="N15" i="3" a="1"/>
  <c r="N15" i="3" s="1"/>
  <c r="I12" i="4" s="1"/>
  <c r="M15" i="3" a="1"/>
  <c r="M15" i="3" s="1"/>
  <c r="H12" i="4" s="1"/>
  <c r="L15" i="3" a="1"/>
  <c r="L15" i="3" s="1"/>
  <c r="G12" i="4" s="1"/>
  <c r="K15" i="3" a="1"/>
  <c r="K15" i="3" s="1"/>
  <c r="F12" i="4" s="1"/>
  <c r="J15" i="3" a="1"/>
  <c r="J15" i="3" s="1"/>
  <c r="E12" i="4" s="1"/>
  <c r="AD14" i="3" a="1"/>
  <c r="AD14" i="3" s="1"/>
  <c r="Y11" i="4" s="1"/>
  <c r="AC14" i="3" a="1"/>
  <c r="AC14" i="3" s="1"/>
  <c r="X11" i="4" s="1"/>
  <c r="AB14" i="3" a="1"/>
  <c r="AB14" i="3" s="1"/>
  <c r="W11" i="4" s="1"/>
  <c r="AA14" i="3" a="1"/>
  <c r="AA14" i="3" s="1"/>
  <c r="V11" i="4" s="1"/>
  <c r="Z14" i="3" a="1"/>
  <c r="Z14" i="3" s="1"/>
  <c r="U11" i="4" s="1"/>
  <c r="Y14" i="3" a="1"/>
  <c r="Y14" i="3" s="1"/>
  <c r="T11" i="4" s="1"/>
  <c r="X14" i="3" a="1"/>
  <c r="X14" i="3" s="1"/>
  <c r="S11" i="4" s="1"/>
  <c r="W14" i="3" a="1"/>
  <c r="W14" i="3" s="1"/>
  <c r="R11" i="4" s="1"/>
  <c r="V14" i="3" a="1"/>
  <c r="V14" i="3" s="1"/>
  <c r="Q11" i="4" s="1"/>
  <c r="U14" i="3" a="1"/>
  <c r="U14" i="3" s="1"/>
  <c r="P11" i="4" s="1"/>
  <c r="T14" i="3" a="1"/>
  <c r="T14" i="3" s="1"/>
  <c r="O11" i="4" s="1"/>
  <c r="S14" i="3" a="1"/>
  <c r="S14" i="3" s="1"/>
  <c r="N11" i="4" s="1"/>
  <c r="R14" i="3" a="1"/>
  <c r="R14" i="3" s="1"/>
  <c r="M11" i="4" s="1"/>
  <c r="Q14" i="3" a="1"/>
  <c r="Q14" i="3" s="1"/>
  <c r="L11" i="4" s="1"/>
  <c r="P14" i="3" a="1"/>
  <c r="P14" i="3" s="1"/>
  <c r="K11" i="4" s="1"/>
  <c r="O14" i="3" a="1"/>
  <c r="O14" i="3" s="1"/>
  <c r="J11" i="4" s="1"/>
  <c r="N14" i="3" a="1"/>
  <c r="N14" i="3" s="1"/>
  <c r="I11" i="4" s="1"/>
  <c r="M14" i="3" a="1"/>
  <c r="M14" i="3" s="1"/>
  <c r="H11" i="4" s="1"/>
  <c r="L14" i="3" a="1"/>
  <c r="L14" i="3" s="1"/>
  <c r="G11" i="4" s="1"/>
  <c r="K14" i="3" a="1"/>
  <c r="K14" i="3" s="1"/>
  <c r="F11" i="4" s="1"/>
  <c r="J14" i="3" a="1"/>
  <c r="J14" i="3" s="1"/>
  <c r="E11" i="4" s="1"/>
  <c r="AD13" i="3" a="1"/>
  <c r="AD13" i="3" s="1"/>
  <c r="Y10" i="4" s="1"/>
  <c r="AC13" i="3" a="1"/>
  <c r="AC13" i="3" s="1"/>
  <c r="X10" i="4" s="1"/>
  <c r="AB13" i="3" a="1"/>
  <c r="AB13" i="3" s="1"/>
  <c r="W10" i="4" s="1"/>
  <c r="AA13" i="3" a="1"/>
  <c r="AA13" i="3" s="1"/>
  <c r="V10" i="4" s="1"/>
  <c r="Z13" i="3" a="1"/>
  <c r="Z13" i="3" s="1"/>
  <c r="U10" i="4" s="1"/>
  <c r="Y13" i="3" a="1"/>
  <c r="Y13" i="3" s="1"/>
  <c r="T10" i="4" s="1"/>
  <c r="X13" i="3" a="1"/>
  <c r="X13" i="3" s="1"/>
  <c r="S10" i="4" s="1"/>
  <c r="W13" i="3" a="1"/>
  <c r="W13" i="3" s="1"/>
  <c r="R10" i="4" s="1"/>
  <c r="V13" i="3" a="1"/>
  <c r="V13" i="3" s="1"/>
  <c r="Q10" i="4" s="1"/>
  <c r="U13" i="3" a="1"/>
  <c r="U13" i="3" s="1"/>
  <c r="P10" i="4" s="1"/>
  <c r="T13" i="3" a="1"/>
  <c r="T13" i="3" s="1"/>
  <c r="O10" i="4" s="1"/>
  <c r="S13" i="3" a="1"/>
  <c r="S13" i="3" s="1"/>
  <c r="N10" i="4" s="1"/>
  <c r="R13" i="3" a="1"/>
  <c r="R13" i="3" s="1"/>
  <c r="M10" i="4" s="1"/>
  <c r="Q13" i="3" a="1"/>
  <c r="Q13" i="3" s="1"/>
  <c r="L10" i="4" s="1"/>
  <c r="P13" i="3" a="1"/>
  <c r="P13" i="3" s="1"/>
  <c r="K10" i="4" s="1"/>
  <c r="O13" i="3" a="1"/>
  <c r="O13" i="3" s="1"/>
  <c r="J10" i="4" s="1"/>
  <c r="N13" i="3" a="1"/>
  <c r="N13" i="3" s="1"/>
  <c r="I10" i="4" s="1"/>
  <c r="M13" i="3" a="1"/>
  <c r="M13" i="3" s="1"/>
  <c r="H10" i="4" s="1"/>
  <c r="L13" i="3" a="1"/>
  <c r="L13" i="3" s="1"/>
  <c r="G10" i="4" s="1"/>
  <c r="K13" i="3" a="1"/>
  <c r="K13" i="3" s="1"/>
  <c r="F10" i="4" s="1"/>
  <c r="J13" i="3" a="1"/>
  <c r="J13" i="3" s="1"/>
  <c r="E10" i="4" s="1"/>
  <c r="AD12" i="3" a="1"/>
  <c r="AD12" i="3" s="1"/>
  <c r="Y9" i="4" s="1"/>
  <c r="AC12" i="3" a="1"/>
  <c r="AC12" i="3" s="1"/>
  <c r="X9" i="4" s="1"/>
  <c r="AB12" i="3" a="1"/>
  <c r="AB12" i="3" s="1"/>
  <c r="W9" i="4" s="1"/>
  <c r="AA12" i="3" a="1"/>
  <c r="AA12" i="3" s="1"/>
  <c r="V9" i="4" s="1"/>
  <c r="Z12" i="3" a="1"/>
  <c r="Z12" i="3" s="1"/>
  <c r="U9" i="4" s="1"/>
  <c r="Y12" i="3" a="1"/>
  <c r="Y12" i="3" s="1"/>
  <c r="T9" i="4" s="1"/>
  <c r="X12" i="3" a="1"/>
  <c r="X12" i="3" s="1"/>
  <c r="S9" i="4" s="1"/>
  <c r="W12" i="3" a="1"/>
  <c r="W12" i="3" s="1"/>
  <c r="R9" i="4" s="1"/>
  <c r="V12" i="3" a="1"/>
  <c r="V12" i="3" s="1"/>
  <c r="Q9" i="4" s="1"/>
  <c r="U12" i="3" a="1"/>
  <c r="U12" i="3" s="1"/>
  <c r="P9" i="4" s="1"/>
  <c r="T12" i="3" a="1"/>
  <c r="T12" i="3" s="1"/>
  <c r="O9" i="4" s="1"/>
  <c r="S12" i="3" a="1"/>
  <c r="S12" i="3" s="1"/>
  <c r="N9" i="4" s="1"/>
  <c r="R12" i="3" a="1"/>
  <c r="R12" i="3" s="1"/>
  <c r="M9" i="4" s="1"/>
  <c r="Q12" i="3" a="1"/>
  <c r="Q12" i="3" s="1"/>
  <c r="L9" i="4" s="1"/>
  <c r="P12" i="3" a="1"/>
  <c r="P12" i="3" s="1"/>
  <c r="K9" i="4" s="1"/>
  <c r="O12" i="3" a="1"/>
  <c r="O12" i="3" s="1"/>
  <c r="J9" i="4" s="1"/>
  <c r="N12" i="3" a="1"/>
  <c r="N12" i="3" s="1"/>
  <c r="I9" i="4" s="1"/>
  <c r="M12" i="3" a="1"/>
  <c r="M12" i="3" s="1"/>
  <c r="H9" i="4" s="1"/>
  <c r="L12" i="3" a="1"/>
  <c r="L12" i="3" s="1"/>
  <c r="G9" i="4" s="1"/>
  <c r="K12" i="3" a="1"/>
  <c r="K12" i="3" s="1"/>
  <c r="F9" i="4" s="1"/>
  <c r="J12" i="3" a="1"/>
  <c r="J12" i="3" s="1"/>
  <c r="E9" i="4" s="1"/>
  <c r="AD11" i="3" a="1"/>
  <c r="AD11" i="3" s="1"/>
  <c r="Y8" i="4" s="1"/>
  <c r="AC11" i="3" a="1"/>
  <c r="AC11" i="3" s="1"/>
  <c r="X8" i="4" s="1"/>
  <c r="AB11" i="3" a="1"/>
  <c r="AB11" i="3" s="1"/>
  <c r="W8" i="4" s="1"/>
  <c r="AA11" i="3" a="1"/>
  <c r="AA11" i="3" s="1"/>
  <c r="V8" i="4" s="1"/>
  <c r="Z11" i="3" a="1"/>
  <c r="Z11" i="3" s="1"/>
  <c r="U8" i="4" s="1"/>
  <c r="Y11" i="3" a="1"/>
  <c r="Y11" i="3" s="1"/>
  <c r="T8" i="4" s="1"/>
  <c r="X11" i="3" a="1"/>
  <c r="X11" i="3" s="1"/>
  <c r="S8" i="4" s="1"/>
  <c r="W11" i="3" a="1"/>
  <c r="W11" i="3" s="1"/>
  <c r="R8" i="4" s="1"/>
  <c r="V11" i="3" a="1"/>
  <c r="V11" i="3" s="1"/>
  <c r="Q8" i="4" s="1"/>
  <c r="U11" i="3" a="1"/>
  <c r="U11" i="3" s="1"/>
  <c r="P8" i="4" s="1"/>
  <c r="T11" i="3" a="1"/>
  <c r="T11" i="3" s="1"/>
  <c r="O8" i="4" s="1"/>
  <c r="S11" i="3" a="1"/>
  <c r="S11" i="3" s="1"/>
  <c r="N8" i="4" s="1"/>
  <c r="R11" i="3" a="1"/>
  <c r="R11" i="3" s="1"/>
  <c r="M8" i="4" s="1"/>
  <c r="Q11" i="3" a="1"/>
  <c r="Q11" i="3" s="1"/>
  <c r="L8" i="4" s="1"/>
  <c r="P11" i="3" a="1"/>
  <c r="P11" i="3" s="1"/>
  <c r="K8" i="4" s="1"/>
  <c r="O11" i="3" a="1"/>
  <c r="O11" i="3" s="1"/>
  <c r="J8" i="4" s="1"/>
  <c r="N11" i="3" a="1"/>
  <c r="N11" i="3" s="1"/>
  <c r="I8" i="4" s="1"/>
  <c r="M11" i="3" a="1"/>
  <c r="M11" i="3" s="1"/>
  <c r="H8" i="4" s="1"/>
  <c r="L11" i="3" a="1"/>
  <c r="L11" i="3" s="1"/>
  <c r="G8" i="4" s="1"/>
  <c r="K11" i="3" a="1"/>
  <c r="K11" i="3" s="1"/>
  <c r="F8" i="4" s="1"/>
  <c r="J11" i="3" a="1"/>
  <c r="J11" i="3" s="1"/>
  <c r="E8" i="4" s="1"/>
  <c r="AD10" i="3" a="1"/>
  <c r="AD10" i="3" s="1"/>
  <c r="Y7" i="4" s="1"/>
  <c r="AC10" i="3" a="1"/>
  <c r="AC10" i="3" s="1"/>
  <c r="X7" i="4" s="1"/>
  <c r="AB10" i="3" a="1"/>
  <c r="AB10" i="3" s="1"/>
  <c r="W7" i="4" s="1"/>
  <c r="AA10" i="3" a="1"/>
  <c r="AA10" i="3" s="1"/>
  <c r="V7" i="4" s="1"/>
  <c r="Z10" i="3" a="1"/>
  <c r="Z10" i="3" s="1"/>
  <c r="U7" i="4" s="1"/>
  <c r="Y10" i="3" a="1"/>
  <c r="Y10" i="3" s="1"/>
  <c r="T7" i="4" s="1"/>
  <c r="X10" i="3" a="1"/>
  <c r="X10" i="3" s="1"/>
  <c r="S7" i="4" s="1"/>
  <c r="W10" i="3" a="1"/>
  <c r="W10" i="3" s="1"/>
  <c r="R7" i="4" s="1"/>
  <c r="V10" i="3" a="1"/>
  <c r="V10" i="3" s="1"/>
  <c r="Q7" i="4" s="1"/>
  <c r="U10" i="3" a="1"/>
  <c r="U10" i="3" s="1"/>
  <c r="P7" i="4" s="1"/>
  <c r="T10" i="3" a="1"/>
  <c r="T10" i="3" s="1"/>
  <c r="O7" i="4" s="1"/>
  <c r="S10" i="3" a="1"/>
  <c r="S10" i="3" s="1"/>
  <c r="N7" i="4" s="1"/>
  <c r="R10" i="3" a="1"/>
  <c r="R10" i="3" s="1"/>
  <c r="M7" i="4" s="1"/>
  <c r="Q10" i="3" a="1"/>
  <c r="Q10" i="3" s="1"/>
  <c r="L7" i="4" s="1"/>
  <c r="P10" i="3" a="1"/>
  <c r="P10" i="3" s="1"/>
  <c r="K7" i="4" s="1"/>
  <c r="O10" i="3" a="1"/>
  <c r="O10" i="3" s="1"/>
  <c r="J7" i="4" s="1"/>
  <c r="N10" i="3" a="1"/>
  <c r="N10" i="3" s="1"/>
  <c r="I7" i="4" s="1"/>
  <c r="M10" i="3" a="1"/>
  <c r="M10" i="3" s="1"/>
  <c r="H7" i="4" s="1"/>
  <c r="L10" i="3" a="1"/>
  <c r="L10" i="3" s="1"/>
  <c r="G7" i="4" s="1"/>
  <c r="K10" i="3" a="1"/>
  <c r="K10" i="3" s="1"/>
  <c r="F7" i="4" s="1"/>
  <c r="J10" i="3" a="1"/>
  <c r="J10" i="3" s="1"/>
  <c r="E7" i="4" s="1"/>
  <c r="AD9" i="3" a="1"/>
  <c r="AD9" i="3" s="1"/>
  <c r="Y6" i="4" s="1"/>
  <c r="AC9" i="3" a="1"/>
  <c r="AC9" i="3" s="1"/>
  <c r="X6" i="4" s="1"/>
  <c r="AB9" i="3" a="1"/>
  <c r="AB9" i="3" s="1"/>
  <c r="W6" i="4" s="1"/>
  <c r="AA9" i="3" a="1"/>
  <c r="AA9" i="3" s="1"/>
  <c r="V6" i="4" s="1"/>
  <c r="Z9" i="3" a="1"/>
  <c r="Z9" i="3" s="1"/>
  <c r="U6" i="4" s="1"/>
  <c r="Y9" i="3" a="1"/>
  <c r="Y9" i="3" s="1"/>
  <c r="T6" i="4" s="1"/>
  <c r="X9" i="3" a="1"/>
  <c r="X9" i="3" s="1"/>
  <c r="S6" i="4" s="1"/>
  <c r="W9" i="3" a="1"/>
  <c r="W9" i="3" s="1"/>
  <c r="R6" i="4" s="1"/>
  <c r="V9" i="3" a="1"/>
  <c r="V9" i="3" s="1"/>
  <c r="Q6" i="4" s="1"/>
  <c r="U9" i="3" a="1"/>
  <c r="U9" i="3" s="1"/>
  <c r="P6" i="4" s="1"/>
  <c r="T9" i="3" a="1"/>
  <c r="T9" i="3" s="1"/>
  <c r="O6" i="4" s="1"/>
  <c r="S9" i="3" a="1"/>
  <c r="S9" i="3" s="1"/>
  <c r="N6" i="4" s="1"/>
  <c r="R9" i="3" a="1"/>
  <c r="R9" i="3" s="1"/>
  <c r="M6" i="4" s="1"/>
  <c r="Q9" i="3" a="1"/>
  <c r="Q9" i="3" s="1"/>
  <c r="L6" i="4" s="1"/>
  <c r="P9" i="3" a="1"/>
  <c r="P9" i="3" s="1"/>
  <c r="K6" i="4" s="1"/>
  <c r="O9" i="3" a="1"/>
  <c r="O9" i="3" s="1"/>
  <c r="J6" i="4" s="1"/>
  <c r="N9" i="3" a="1"/>
  <c r="N9" i="3" s="1"/>
  <c r="I6" i="4" s="1"/>
  <c r="M9" i="3" a="1"/>
  <c r="M9" i="3" s="1"/>
  <c r="H6" i="4" s="1"/>
  <c r="L9" i="3" a="1"/>
  <c r="L9" i="3" s="1"/>
  <c r="G6" i="4" s="1"/>
  <c r="K9" i="3" a="1"/>
  <c r="K9" i="3" s="1"/>
  <c r="F6" i="4" s="1"/>
  <c r="J9" i="3" a="1"/>
  <c r="J9" i="3" s="1"/>
  <c r="E6" i="4" s="1"/>
  <c r="AD8" i="3" a="1"/>
  <c r="AD8" i="3" s="1"/>
  <c r="Y5" i="4" s="1"/>
  <c r="AC8" i="3" a="1"/>
  <c r="AC8" i="3" s="1"/>
  <c r="X5" i="4" s="1"/>
  <c r="AB8" i="3" a="1"/>
  <c r="AB8" i="3" s="1"/>
  <c r="W5" i="4" s="1"/>
  <c r="AA8" i="3" a="1"/>
  <c r="AA8" i="3" s="1"/>
  <c r="V5" i="4" s="1"/>
  <c r="Z8" i="3" a="1"/>
  <c r="Z8" i="3" s="1"/>
  <c r="U5" i="4" s="1"/>
  <c r="Y8" i="3" a="1"/>
  <c r="Y8" i="3" s="1"/>
  <c r="T5" i="4" s="1"/>
  <c r="X8" i="3" a="1"/>
  <c r="X8" i="3" s="1"/>
  <c r="S5" i="4" s="1"/>
  <c r="W8" i="3" a="1"/>
  <c r="W8" i="3" s="1"/>
  <c r="R5" i="4" s="1"/>
  <c r="V8" i="3" a="1"/>
  <c r="V8" i="3" s="1"/>
  <c r="Q5" i="4" s="1"/>
  <c r="U8" i="3" a="1"/>
  <c r="U8" i="3" s="1"/>
  <c r="P5" i="4" s="1"/>
  <c r="T8" i="3" a="1"/>
  <c r="T8" i="3" s="1"/>
  <c r="O5" i="4" s="1"/>
  <c r="S8" i="3" a="1"/>
  <c r="S8" i="3" s="1"/>
  <c r="N5" i="4" s="1"/>
  <c r="R8" i="3" a="1"/>
  <c r="R8" i="3" s="1"/>
  <c r="M5" i="4" s="1"/>
  <c r="Q8" i="3" a="1"/>
  <c r="Q8" i="3" s="1"/>
  <c r="L5" i="4" s="1"/>
  <c r="P8" i="3" a="1"/>
  <c r="P8" i="3" s="1"/>
  <c r="K5" i="4" s="1"/>
  <c r="O8" i="3" a="1"/>
  <c r="O8" i="3" s="1"/>
  <c r="J5" i="4" s="1"/>
  <c r="N8" i="3" a="1"/>
  <c r="N8" i="3" s="1"/>
  <c r="I5" i="4" s="1"/>
  <c r="M8" i="3" a="1"/>
  <c r="M8" i="3" s="1"/>
  <c r="H5" i="4" s="1"/>
  <c r="L8" i="3" a="1"/>
  <c r="L8" i="3" s="1"/>
  <c r="G5" i="4" s="1"/>
  <c r="K8" i="3" a="1"/>
  <c r="K8" i="3" s="1"/>
  <c r="F5" i="4" s="1"/>
  <c r="J8" i="3" a="1"/>
  <c r="J8" i="3" s="1"/>
  <c r="E5" i="4" s="1"/>
  <c r="AD7" i="3" a="1"/>
  <c r="AD7" i="3" s="1"/>
  <c r="Y4" i="4" s="1"/>
  <c r="AC7" i="3" a="1"/>
  <c r="AC7" i="3" s="1"/>
  <c r="X4" i="4" s="1"/>
  <c r="AB7" i="3" a="1"/>
  <c r="AB7" i="3" s="1"/>
  <c r="W4" i="4" s="1"/>
  <c r="AA7" i="3" a="1"/>
  <c r="AA7" i="3" s="1"/>
  <c r="V4" i="4" s="1"/>
  <c r="Z7" i="3" a="1"/>
  <c r="Z7" i="3" s="1"/>
  <c r="U4" i="4" s="1"/>
  <c r="Y7" i="3" a="1"/>
  <c r="Y7" i="3" s="1"/>
  <c r="T4" i="4" s="1"/>
  <c r="X7" i="3" a="1"/>
  <c r="X7" i="3" s="1"/>
  <c r="S4" i="4" s="1"/>
  <c r="W7" i="3" a="1"/>
  <c r="W7" i="3" s="1"/>
  <c r="R4" i="4" s="1"/>
  <c r="V7" i="3" a="1"/>
  <c r="V7" i="3" s="1"/>
  <c r="Q4" i="4" s="1"/>
  <c r="U7" i="3" a="1"/>
  <c r="U7" i="3" s="1"/>
  <c r="P4" i="4" s="1"/>
  <c r="T7" i="3" a="1"/>
  <c r="T7" i="3" s="1"/>
  <c r="O4" i="4" s="1"/>
  <c r="S7" i="3" a="1"/>
  <c r="S7" i="3" s="1"/>
  <c r="N4" i="4" s="1"/>
  <c r="R7" i="3" a="1"/>
  <c r="R7" i="3" s="1"/>
  <c r="M4" i="4" s="1"/>
  <c r="Q7" i="3" a="1"/>
  <c r="Q7" i="3" s="1"/>
  <c r="L4" i="4" s="1"/>
  <c r="P7" i="3" a="1"/>
  <c r="P7" i="3" s="1"/>
  <c r="K4" i="4" s="1"/>
  <c r="O7" i="3" a="1"/>
  <c r="O7" i="3" s="1"/>
  <c r="J4" i="4" s="1"/>
  <c r="N7" i="3" a="1"/>
  <c r="N7" i="3" s="1"/>
  <c r="I4" i="4" s="1"/>
  <c r="M7" i="3" a="1"/>
  <c r="M7" i="3" s="1"/>
  <c r="H4" i="4" s="1"/>
  <c r="L7" i="3" a="1"/>
  <c r="L7" i="3" s="1"/>
  <c r="G4" i="4" s="1"/>
  <c r="K7" i="3" a="1"/>
  <c r="K7" i="3" s="1"/>
  <c r="F4" i="4" s="1"/>
  <c r="J7" i="3" a="1"/>
  <c r="J7" i="3" s="1"/>
  <c r="E4" i="4" s="1"/>
  <c r="AD6" i="3" a="1"/>
  <c r="AD6" i="3" s="1"/>
  <c r="Y3" i="4" s="1"/>
  <c r="AC6" i="3" a="1"/>
  <c r="AC6" i="3" s="1"/>
  <c r="X3" i="4" s="1"/>
  <c r="AB6" i="3" a="1"/>
  <c r="AB6" i="3" s="1"/>
  <c r="W3" i="4" s="1"/>
  <c r="AA6" i="3" a="1"/>
  <c r="AA6" i="3" s="1"/>
  <c r="V3" i="4" s="1"/>
  <c r="Z6" i="3" a="1"/>
  <c r="Z6" i="3" s="1"/>
  <c r="U3" i="4" s="1"/>
  <c r="Y6" i="3" a="1"/>
  <c r="Y6" i="3" s="1"/>
  <c r="T3" i="4" s="1"/>
  <c r="X6" i="3" a="1"/>
  <c r="X6" i="3" s="1"/>
  <c r="S3" i="4" s="1"/>
  <c r="W6" i="3" a="1"/>
  <c r="W6" i="3" s="1"/>
  <c r="R3" i="4" s="1"/>
  <c r="V6" i="3" a="1"/>
  <c r="V6" i="3" s="1"/>
  <c r="Q3" i="4" s="1"/>
  <c r="U6" i="3" a="1"/>
  <c r="U6" i="3" s="1"/>
  <c r="P3" i="4" s="1"/>
  <c r="T6" i="3" a="1"/>
  <c r="T6" i="3" s="1"/>
  <c r="O3" i="4" s="1"/>
  <c r="S6" i="3" a="1"/>
  <c r="S6" i="3" s="1"/>
  <c r="N3" i="4" s="1"/>
  <c r="R6" i="3" a="1"/>
  <c r="R6" i="3" s="1"/>
  <c r="M3" i="4" s="1"/>
  <c r="Q6" i="3" a="1"/>
  <c r="Q6" i="3" s="1"/>
  <c r="L3" i="4" s="1"/>
  <c r="P6" i="3" a="1"/>
  <c r="P6" i="3" s="1"/>
  <c r="K3" i="4" s="1"/>
  <c r="O6" i="3" a="1"/>
  <c r="O6" i="3" s="1"/>
  <c r="J3" i="4" s="1"/>
  <c r="N6" i="3" a="1"/>
  <c r="N6" i="3" s="1"/>
  <c r="I3" i="4" s="1"/>
  <c r="M6" i="3" a="1"/>
  <c r="M6" i="3" s="1"/>
  <c r="H3" i="4" s="1"/>
  <c r="L6" i="3" a="1"/>
  <c r="L6" i="3" s="1"/>
  <c r="G3" i="4" s="1"/>
  <c r="K6" i="3" a="1"/>
  <c r="K6" i="3" s="1"/>
  <c r="F3" i="4" s="1"/>
  <c r="J6" i="3" a="1"/>
  <c r="J6" i="3" s="1"/>
  <c r="E3" i="4" s="1"/>
  <c r="AD5" i="3" a="1"/>
  <c r="AD5" i="3" s="1"/>
  <c r="Y2" i="4" s="1"/>
  <c r="AC5" i="3" a="1"/>
  <c r="AC5" i="3" s="1"/>
  <c r="X2" i="4" s="1"/>
  <c r="AB5" i="3" a="1"/>
  <c r="AB5" i="3" s="1"/>
  <c r="W2" i="4" s="1"/>
  <c r="AA5" i="3" a="1"/>
  <c r="AA5" i="3" s="1"/>
  <c r="V2" i="4" s="1"/>
  <c r="Z5" i="3" a="1"/>
  <c r="Z5" i="3" s="1"/>
  <c r="U2" i="4" s="1"/>
  <c r="Y5" i="3" a="1"/>
  <c r="Y5" i="3" s="1"/>
  <c r="T2" i="4" s="1"/>
  <c r="X5" i="3" a="1"/>
  <c r="X5" i="3" s="1"/>
  <c r="S2" i="4" s="1"/>
  <c r="W5" i="3" a="1"/>
  <c r="W5" i="3" s="1"/>
  <c r="R2" i="4" s="1"/>
  <c r="V5" i="3" a="1"/>
  <c r="V5" i="3" s="1"/>
  <c r="Q2" i="4" s="1"/>
  <c r="U5" i="3" a="1"/>
  <c r="U5" i="3" s="1"/>
  <c r="P2" i="4" s="1"/>
  <c r="T5" i="3" a="1"/>
  <c r="T5" i="3" s="1"/>
  <c r="O2" i="4" s="1"/>
  <c r="S5" i="3" a="1"/>
  <c r="S5" i="3" s="1"/>
  <c r="N2" i="4" s="1"/>
  <c r="R5" i="3" a="1"/>
  <c r="R5" i="3" s="1"/>
  <c r="M2" i="4" s="1"/>
  <c r="Q5" i="3" a="1"/>
  <c r="Q5" i="3" s="1"/>
  <c r="L2" i="4" s="1"/>
  <c r="P5" i="3" a="1"/>
  <c r="P5" i="3" s="1"/>
  <c r="K2" i="4" s="1"/>
  <c r="O5" i="3" a="1"/>
  <c r="O5" i="3" s="1"/>
  <c r="J2" i="4" s="1"/>
  <c r="N5" i="3" a="1"/>
  <c r="N5" i="3" s="1"/>
  <c r="I2" i="4" s="1"/>
  <c r="M5" i="3" a="1"/>
  <c r="M5" i="3" s="1"/>
  <c r="H2" i="4" s="1"/>
  <c r="L5" i="3" a="1"/>
  <c r="L5" i="3" s="1"/>
  <c r="G2" i="4" s="1"/>
  <c r="K5" i="3" a="1"/>
  <c r="K5" i="3" s="1"/>
  <c r="F2" i="4" s="1"/>
  <c r="J5" i="3" a="1"/>
  <c r="J5" i="3" s="1"/>
  <c r="E2" i="4" s="1"/>
  <c r="G161" i="3"/>
  <c r="G160" i="3"/>
  <c r="G159" i="3"/>
  <c r="G158" i="3"/>
  <c r="G157" i="3"/>
  <c r="G156" i="3"/>
  <c r="G155" i="3"/>
  <c r="H154" i="3"/>
  <c r="H155" i="3" s="1"/>
  <c r="H156" i="3" s="1"/>
  <c r="G154" i="3"/>
  <c r="G153" i="3"/>
  <c r="G152" i="3"/>
  <c r="G151" i="3"/>
  <c r="H150" i="3"/>
  <c r="H151" i="3" s="1"/>
  <c r="H152" i="3" s="1"/>
  <c r="G150" i="3"/>
  <c r="G149" i="3"/>
  <c r="G148" i="3"/>
  <c r="G147" i="3"/>
  <c r="G146" i="3"/>
  <c r="G145" i="3"/>
  <c r="G144" i="3"/>
  <c r="G143" i="3"/>
  <c r="H142" i="3"/>
  <c r="H143" i="3" s="1"/>
  <c r="H144" i="3" s="1"/>
  <c r="G142" i="3"/>
  <c r="H141" i="3"/>
  <c r="H145" i="3" s="1"/>
  <c r="H149" i="3" s="1"/>
  <c r="H153" i="3" s="1"/>
  <c r="H157" i="3" s="1"/>
  <c r="H161" i="3" s="1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H77" i="3"/>
  <c r="H78" i="3" s="1"/>
  <c r="H79" i="3" s="1"/>
  <c r="H80" i="3" s="1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H46" i="3"/>
  <c r="H47" i="3" s="1"/>
  <c r="H48" i="3" s="1"/>
  <c r="G46" i="3"/>
  <c r="H45" i="3"/>
  <c r="H49" i="3" s="1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H29" i="3"/>
  <c r="H30" i="3" s="1"/>
  <c r="H31" i="3" s="1"/>
  <c r="H32" i="3" s="1"/>
  <c r="G29" i="3"/>
  <c r="G28" i="3"/>
  <c r="G27" i="3"/>
  <c r="G26" i="3"/>
  <c r="H25" i="3"/>
  <c r="H26" i="3" s="1"/>
  <c r="H27" i="3" s="1"/>
  <c r="H28" i="3" s="1"/>
  <c r="G25" i="3"/>
  <c r="G24" i="3"/>
  <c r="G23" i="3"/>
  <c r="G22" i="3"/>
  <c r="H21" i="3"/>
  <c r="H22" i="3" s="1"/>
  <c r="H23" i="3" s="1"/>
  <c r="H24" i="3" s="1"/>
  <c r="G21" i="3"/>
  <c r="G20" i="3"/>
  <c r="G19" i="3"/>
  <c r="G18" i="3"/>
  <c r="H17" i="3"/>
  <c r="H18" i="3" s="1"/>
  <c r="H19" i="3" s="1"/>
  <c r="H20" i="3" s="1"/>
  <c r="G17" i="3"/>
  <c r="H16" i="3"/>
  <c r="H15" i="3"/>
  <c r="H14" i="3"/>
  <c r="H13" i="3"/>
  <c r="H12" i="3"/>
  <c r="H11" i="3"/>
  <c r="H10" i="3"/>
  <c r="G16" i="3"/>
  <c r="G15" i="3"/>
  <c r="G14" i="3"/>
  <c r="G13" i="3"/>
  <c r="G8" i="3"/>
  <c r="G7" i="3"/>
  <c r="G6" i="3"/>
  <c r="G5" i="3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AB9" i="4"/>
  <c r="AB8" i="4"/>
  <c r="AB7" i="4"/>
  <c r="AB6" i="4"/>
  <c r="B100" i="4" l="1"/>
  <c r="B26" i="4"/>
  <c r="B22" i="4"/>
  <c r="B36" i="4"/>
  <c r="B50" i="4"/>
  <c r="B66" i="4"/>
  <c r="B81" i="4"/>
  <c r="B97" i="4"/>
  <c r="B113" i="4"/>
  <c r="B129" i="4"/>
  <c r="B143" i="4"/>
  <c r="B157" i="4"/>
  <c r="B39" i="4"/>
  <c r="B69" i="4"/>
  <c r="B116" i="4"/>
  <c r="B37" i="4"/>
  <c r="B51" i="4"/>
  <c r="B67" i="4"/>
  <c r="B82" i="4"/>
  <c r="B98" i="4"/>
  <c r="B114" i="4"/>
  <c r="B130" i="4"/>
  <c r="B144" i="4"/>
  <c r="B158" i="4"/>
  <c r="B23" i="4"/>
  <c r="B38" i="4"/>
  <c r="B52" i="4"/>
  <c r="B68" i="4"/>
  <c r="B83" i="4"/>
  <c r="B99" i="4"/>
  <c r="B115" i="4"/>
  <c r="B131" i="4"/>
  <c r="B145" i="4"/>
  <c r="B25" i="4"/>
  <c r="B40" i="4"/>
  <c r="B54" i="4"/>
  <c r="B70" i="4"/>
  <c r="B85" i="4"/>
  <c r="B101" i="4"/>
  <c r="B117" i="4"/>
  <c r="B133" i="4"/>
  <c r="B147" i="4"/>
  <c r="B14" i="4"/>
  <c r="B42" i="4"/>
  <c r="B56" i="4"/>
  <c r="B72" i="4"/>
  <c r="B87" i="4"/>
  <c r="B103" i="4"/>
  <c r="B119" i="4"/>
  <c r="B135" i="4"/>
  <c r="B148" i="4"/>
  <c r="B24" i="4"/>
  <c r="B118" i="4"/>
  <c r="B2" i="4"/>
  <c r="B27" i="4"/>
  <c r="B57" i="4"/>
  <c r="B73" i="4"/>
  <c r="B88" i="4"/>
  <c r="B104" i="4"/>
  <c r="B120" i="4"/>
  <c r="B136" i="4"/>
  <c r="B149" i="4"/>
  <c r="B53" i="4"/>
  <c r="B86" i="4"/>
  <c r="B15" i="4"/>
  <c r="B43" i="4"/>
  <c r="B74" i="4"/>
  <c r="B89" i="4"/>
  <c r="B105" i="4"/>
  <c r="B121" i="4"/>
  <c r="B137" i="4"/>
  <c r="B150" i="4"/>
  <c r="B84" i="4"/>
  <c r="B132" i="4"/>
  <c r="B41" i="4"/>
  <c r="B71" i="4"/>
  <c r="B102" i="4"/>
  <c r="B134" i="4"/>
  <c r="B3" i="4"/>
  <c r="B28" i="4"/>
  <c r="B58" i="4"/>
  <c r="B4" i="4"/>
  <c r="B16" i="4"/>
  <c r="B29" i="4"/>
  <c r="B59" i="4"/>
  <c r="B90" i="4"/>
  <c r="B106" i="4"/>
  <c r="B122" i="4"/>
  <c r="B138" i="4"/>
  <c r="B151" i="4"/>
  <c r="B30" i="4"/>
  <c r="B44" i="4"/>
  <c r="B60" i="4"/>
  <c r="B75" i="4"/>
  <c r="B91" i="4"/>
  <c r="B107" i="4"/>
  <c r="B123" i="4"/>
  <c r="B17" i="4"/>
  <c r="B10" i="4"/>
  <c r="B18" i="4"/>
  <c r="B31" i="4"/>
  <c r="B45" i="4"/>
  <c r="B61" i="4"/>
  <c r="B76" i="4"/>
  <c r="B92" i="4"/>
  <c r="B108" i="4"/>
  <c r="B124" i="4"/>
  <c r="B139" i="4"/>
  <c r="B152" i="4"/>
  <c r="B146" i="4"/>
  <c r="B5" i="4"/>
  <c r="B11" i="4"/>
  <c r="B32" i="4"/>
  <c r="B46" i="4"/>
  <c r="B62" i="4"/>
  <c r="B77" i="4"/>
  <c r="B93" i="4"/>
  <c r="B109" i="4"/>
  <c r="B125" i="4"/>
  <c r="B153" i="4"/>
  <c r="B12" i="4"/>
  <c r="B63" i="4"/>
  <c r="B94" i="4"/>
  <c r="B110" i="4"/>
  <c r="B126" i="4"/>
  <c r="B140" i="4"/>
  <c r="B154" i="4"/>
  <c r="B19" i="4"/>
  <c r="B33" i="4"/>
  <c r="B78" i="4"/>
  <c r="B20" i="4"/>
  <c r="B48" i="4"/>
  <c r="B64" i="4"/>
  <c r="B79" i="4"/>
  <c r="B95" i="4"/>
  <c r="B111" i="4"/>
  <c r="B127" i="4"/>
  <c r="B141" i="4"/>
  <c r="B155" i="4"/>
  <c r="B55" i="4"/>
  <c r="B47" i="4"/>
  <c r="B13" i="4"/>
  <c r="B34" i="4"/>
  <c r="B21" i="4"/>
  <c r="B35" i="4"/>
  <c r="B49" i="4"/>
  <c r="B65" i="4"/>
  <c r="B80" i="4"/>
  <c r="B96" i="4"/>
  <c r="B112" i="4"/>
  <c r="B128" i="4"/>
  <c r="B142" i="4"/>
  <c r="B156" i="4"/>
  <c r="H146" i="3"/>
  <c r="H147" i="3" s="1"/>
  <c r="H148" i="3" s="1"/>
  <c r="H158" i="3"/>
  <c r="H159" i="3" s="1"/>
  <c r="H160" i="3" s="1"/>
  <c r="H81" i="3"/>
  <c r="H50" i="3"/>
  <c r="H51" i="3" s="1"/>
  <c r="H52" i="3" s="1"/>
  <c r="H53" i="3"/>
  <c r="H33" i="3"/>
  <c r="Z2" i="4" a="1"/>
  <c r="Z2" i="4" s="1"/>
  <c r="AA2" i="4" s="1"/>
  <c r="Z7" i="4" l="1"/>
  <c r="AA7" i="4" s="1"/>
  <c r="Z10" i="4"/>
  <c r="AA10" i="4" s="1"/>
  <c r="Z26" i="4"/>
  <c r="AA26" i="4" s="1"/>
  <c r="Z42" i="4"/>
  <c r="AA42" i="4" s="1"/>
  <c r="Z58" i="4"/>
  <c r="AA58" i="4" s="1"/>
  <c r="Z74" i="4"/>
  <c r="AA74" i="4" s="1"/>
  <c r="Z90" i="4"/>
  <c r="AA90" i="4" s="1"/>
  <c r="Z106" i="4"/>
  <c r="AA106" i="4" s="1"/>
  <c r="Z122" i="4"/>
  <c r="AA122" i="4" s="1"/>
  <c r="Z138" i="4"/>
  <c r="AA138" i="4" s="1"/>
  <c r="Z154" i="4"/>
  <c r="AA154" i="4" s="1"/>
  <c r="Z105" i="4"/>
  <c r="AA105" i="4" s="1"/>
  <c r="Z21" i="4"/>
  <c r="AA21" i="4" s="1"/>
  <c r="Z37" i="4"/>
  <c r="AA37" i="4" s="1"/>
  <c r="Z53" i="4"/>
  <c r="AA53" i="4" s="1"/>
  <c r="Z69" i="4"/>
  <c r="AA69" i="4" s="1"/>
  <c r="Z85" i="4"/>
  <c r="AA85" i="4" s="1"/>
  <c r="Z101" i="4"/>
  <c r="AA101" i="4" s="1"/>
  <c r="Z117" i="4"/>
  <c r="AA117" i="4" s="1"/>
  <c r="Z133" i="4"/>
  <c r="AA133" i="4" s="1"/>
  <c r="Z149" i="4"/>
  <c r="AA149" i="4" s="1"/>
  <c r="Z57" i="4"/>
  <c r="AA57" i="4" s="1"/>
  <c r="Z16" i="4"/>
  <c r="AA16" i="4" s="1"/>
  <c r="Z32" i="4"/>
  <c r="AA32" i="4" s="1"/>
  <c r="Z48" i="4"/>
  <c r="AA48" i="4" s="1"/>
  <c r="Z64" i="4"/>
  <c r="AA64" i="4" s="1"/>
  <c r="Z80" i="4"/>
  <c r="AA80" i="4" s="1"/>
  <c r="Z96" i="4"/>
  <c r="AA96" i="4" s="1"/>
  <c r="Z112" i="4"/>
  <c r="AA112" i="4" s="1"/>
  <c r="Z128" i="4"/>
  <c r="AA128" i="4" s="1"/>
  <c r="Z144" i="4"/>
  <c r="AA144" i="4" s="1"/>
  <c r="Z11" i="4"/>
  <c r="AA11" i="4" s="1"/>
  <c r="Z27" i="4"/>
  <c r="AA27" i="4" s="1"/>
  <c r="Z43" i="4"/>
  <c r="AA43" i="4" s="1"/>
  <c r="Z59" i="4"/>
  <c r="AA59" i="4" s="1"/>
  <c r="Z75" i="4"/>
  <c r="AA75" i="4" s="1"/>
  <c r="Z91" i="4"/>
  <c r="AA91" i="4" s="1"/>
  <c r="Z107" i="4"/>
  <c r="AA107" i="4" s="1"/>
  <c r="Z123" i="4"/>
  <c r="AA123" i="4" s="1"/>
  <c r="Z139" i="4"/>
  <c r="AA139" i="4" s="1"/>
  <c r="Z155" i="4"/>
  <c r="AA155" i="4" s="1"/>
  <c r="Z22" i="4"/>
  <c r="AA22" i="4" s="1"/>
  <c r="Z38" i="4"/>
  <c r="AA38" i="4" s="1"/>
  <c r="Z54" i="4"/>
  <c r="AA54" i="4" s="1"/>
  <c r="Z70" i="4"/>
  <c r="AA70" i="4" s="1"/>
  <c r="Z86" i="4"/>
  <c r="AA86" i="4" s="1"/>
  <c r="Z102" i="4"/>
  <c r="AA102" i="4" s="1"/>
  <c r="Z118" i="4"/>
  <c r="AA118" i="4" s="1"/>
  <c r="Z134" i="4"/>
  <c r="AA134" i="4" s="1"/>
  <c r="Z150" i="4"/>
  <c r="AA150" i="4" s="1"/>
  <c r="Z41" i="4"/>
  <c r="AA41" i="4" s="1"/>
  <c r="Z17" i="4"/>
  <c r="AA17" i="4" s="1"/>
  <c r="Z33" i="4"/>
  <c r="AA33" i="4" s="1"/>
  <c r="Z49" i="4"/>
  <c r="AA49" i="4" s="1"/>
  <c r="Z65" i="4"/>
  <c r="AA65" i="4" s="1"/>
  <c r="Z81" i="4"/>
  <c r="AA81" i="4" s="1"/>
  <c r="Z97" i="4"/>
  <c r="AA97" i="4" s="1"/>
  <c r="Z113" i="4"/>
  <c r="AA113" i="4" s="1"/>
  <c r="Z129" i="4"/>
  <c r="AA129" i="4" s="1"/>
  <c r="Z145" i="4"/>
  <c r="AA145" i="4" s="1"/>
  <c r="Z89" i="4"/>
  <c r="AA89" i="4" s="1"/>
  <c r="Z121" i="4"/>
  <c r="AA121" i="4" s="1"/>
  <c r="Z153" i="4"/>
  <c r="AA153" i="4" s="1"/>
  <c r="Z12" i="4"/>
  <c r="AA12" i="4" s="1"/>
  <c r="Z28" i="4"/>
  <c r="AA28" i="4" s="1"/>
  <c r="Z44" i="4"/>
  <c r="AA44" i="4" s="1"/>
  <c r="Z60" i="4"/>
  <c r="AA60" i="4" s="1"/>
  <c r="Z76" i="4"/>
  <c r="AA76" i="4" s="1"/>
  <c r="Z92" i="4"/>
  <c r="AA92" i="4" s="1"/>
  <c r="Z108" i="4"/>
  <c r="AA108" i="4" s="1"/>
  <c r="Z124" i="4"/>
  <c r="AA124" i="4" s="1"/>
  <c r="Z140" i="4"/>
  <c r="AA140" i="4" s="1"/>
  <c r="Z156" i="4"/>
  <c r="AA156" i="4" s="1"/>
  <c r="Z73" i="4"/>
  <c r="AA73" i="4" s="1"/>
  <c r="Z23" i="4"/>
  <c r="AA23" i="4" s="1"/>
  <c r="Z39" i="4"/>
  <c r="AA39" i="4" s="1"/>
  <c r="Z55" i="4"/>
  <c r="AA55" i="4" s="1"/>
  <c r="Z71" i="4"/>
  <c r="AA71" i="4" s="1"/>
  <c r="Z87" i="4"/>
  <c r="AA87" i="4" s="1"/>
  <c r="Z103" i="4"/>
  <c r="AA103" i="4" s="1"/>
  <c r="Z119" i="4"/>
  <c r="AA119" i="4" s="1"/>
  <c r="Z135" i="4"/>
  <c r="AA135" i="4" s="1"/>
  <c r="Z151" i="4"/>
  <c r="AA151" i="4" s="1"/>
  <c r="Z137" i="4"/>
  <c r="AA137" i="4" s="1"/>
  <c r="Z18" i="4"/>
  <c r="AA18" i="4" s="1"/>
  <c r="Z34" i="4"/>
  <c r="AA34" i="4" s="1"/>
  <c r="Z50" i="4"/>
  <c r="AA50" i="4" s="1"/>
  <c r="Z66" i="4"/>
  <c r="AA66" i="4" s="1"/>
  <c r="Z82" i="4"/>
  <c r="AA82" i="4" s="1"/>
  <c r="Z98" i="4"/>
  <c r="AA98" i="4" s="1"/>
  <c r="Z114" i="4"/>
  <c r="AA114" i="4" s="1"/>
  <c r="Z130" i="4"/>
  <c r="AA130" i="4" s="1"/>
  <c r="Z146" i="4"/>
  <c r="AA146" i="4" s="1"/>
  <c r="Z13" i="4"/>
  <c r="AA13" i="4" s="1"/>
  <c r="Z29" i="4"/>
  <c r="AA29" i="4" s="1"/>
  <c r="Z45" i="4"/>
  <c r="AA45" i="4" s="1"/>
  <c r="Z61" i="4"/>
  <c r="AA61" i="4" s="1"/>
  <c r="Z77" i="4"/>
  <c r="AA77" i="4" s="1"/>
  <c r="Z93" i="4"/>
  <c r="AA93" i="4" s="1"/>
  <c r="Z109" i="4"/>
  <c r="AA109" i="4" s="1"/>
  <c r="Z125" i="4"/>
  <c r="AA125" i="4" s="1"/>
  <c r="Z141" i="4"/>
  <c r="AA141" i="4" s="1"/>
  <c r="Z157" i="4"/>
  <c r="AA157" i="4" s="1"/>
  <c r="Z25" i="4"/>
  <c r="AA25" i="4" s="1"/>
  <c r="Z24" i="4"/>
  <c r="AA24" i="4" s="1"/>
  <c r="Z40" i="4"/>
  <c r="AA40" i="4" s="1"/>
  <c r="Z56" i="4"/>
  <c r="AA56" i="4" s="1"/>
  <c r="Z72" i="4"/>
  <c r="AA72" i="4" s="1"/>
  <c r="Z88" i="4"/>
  <c r="AA88" i="4" s="1"/>
  <c r="Z104" i="4"/>
  <c r="AA104" i="4" s="1"/>
  <c r="Z120" i="4"/>
  <c r="AA120" i="4" s="1"/>
  <c r="Z136" i="4"/>
  <c r="AA136" i="4" s="1"/>
  <c r="Z152" i="4"/>
  <c r="AA152" i="4" s="1"/>
  <c r="Z19" i="4"/>
  <c r="AA19" i="4" s="1"/>
  <c r="Z35" i="4"/>
  <c r="AA35" i="4" s="1"/>
  <c r="Z51" i="4"/>
  <c r="AA51" i="4" s="1"/>
  <c r="Z67" i="4"/>
  <c r="AA67" i="4" s="1"/>
  <c r="Z83" i="4"/>
  <c r="AA83" i="4" s="1"/>
  <c r="Z99" i="4"/>
  <c r="AA99" i="4" s="1"/>
  <c r="Z115" i="4"/>
  <c r="AA115" i="4" s="1"/>
  <c r="Z131" i="4"/>
  <c r="AA131" i="4" s="1"/>
  <c r="Z147" i="4"/>
  <c r="AA147" i="4" s="1"/>
  <c r="Z14" i="4"/>
  <c r="AA14" i="4" s="1"/>
  <c r="Z30" i="4"/>
  <c r="AA30" i="4" s="1"/>
  <c r="Z46" i="4"/>
  <c r="AA46" i="4" s="1"/>
  <c r="Z62" i="4"/>
  <c r="AA62" i="4" s="1"/>
  <c r="Z78" i="4"/>
  <c r="AA78" i="4" s="1"/>
  <c r="Z94" i="4"/>
  <c r="AA94" i="4" s="1"/>
  <c r="Z110" i="4"/>
  <c r="AA110" i="4" s="1"/>
  <c r="Z126" i="4"/>
  <c r="AA126" i="4" s="1"/>
  <c r="Z142" i="4"/>
  <c r="AA142" i="4" s="1"/>
  <c r="Z158" i="4"/>
  <c r="AA158" i="4" s="1"/>
  <c r="Z20" i="4"/>
  <c r="AA20" i="4" s="1"/>
  <c r="Z36" i="4"/>
  <c r="AA36" i="4" s="1"/>
  <c r="Z52" i="4"/>
  <c r="AA52" i="4" s="1"/>
  <c r="Z68" i="4"/>
  <c r="AA68" i="4" s="1"/>
  <c r="Z84" i="4"/>
  <c r="AA84" i="4" s="1"/>
  <c r="Z100" i="4"/>
  <c r="AA100" i="4" s="1"/>
  <c r="Z116" i="4"/>
  <c r="AA116" i="4" s="1"/>
  <c r="Z132" i="4"/>
  <c r="AA132" i="4" s="1"/>
  <c r="Z148" i="4"/>
  <c r="AA148" i="4" s="1"/>
  <c r="Z15" i="4"/>
  <c r="AA15" i="4" s="1"/>
  <c r="Z31" i="4"/>
  <c r="AA31" i="4" s="1"/>
  <c r="Z47" i="4"/>
  <c r="AA47" i="4" s="1"/>
  <c r="Z63" i="4"/>
  <c r="AA63" i="4" s="1"/>
  <c r="Z79" i="4"/>
  <c r="AA79" i="4" s="1"/>
  <c r="Z95" i="4"/>
  <c r="AA95" i="4" s="1"/>
  <c r="Z111" i="4"/>
  <c r="AA111" i="4" s="1"/>
  <c r="Z127" i="4"/>
  <c r="AA127" i="4" s="1"/>
  <c r="Z143" i="4"/>
  <c r="AA143" i="4" s="1"/>
  <c r="Z6" i="4"/>
  <c r="AA6" i="4" s="1"/>
  <c r="Z8" i="4"/>
  <c r="AA8" i="4" s="1"/>
  <c r="Z9" i="4"/>
  <c r="AA9" i="4" s="1"/>
  <c r="Z3" i="4"/>
  <c r="AA3" i="4" s="1"/>
  <c r="Z4" i="4"/>
  <c r="AA4" i="4" s="1"/>
  <c r="Z5" i="4"/>
  <c r="AA5" i="4" s="1"/>
  <c r="H85" i="3"/>
  <c r="H82" i="3"/>
  <c r="H83" i="3" s="1"/>
  <c r="H84" i="3" s="1"/>
  <c r="H54" i="3"/>
  <c r="H55" i="3" s="1"/>
  <c r="H56" i="3" s="1"/>
  <c r="H57" i="3"/>
  <c r="H34" i="3"/>
  <c r="H35" i="3" s="1"/>
  <c r="H36" i="3" s="1"/>
  <c r="H37" i="3"/>
  <c r="H9" i="3"/>
  <c r="G12" i="3"/>
  <c r="G11" i="3"/>
  <c r="G10" i="3"/>
  <c r="G9" i="3"/>
  <c r="B9" i="4" l="1"/>
  <c r="B6" i="4"/>
  <c r="B7" i="4"/>
  <c r="B8" i="4"/>
  <c r="H86" i="3"/>
  <c r="H87" i="3" s="1"/>
  <c r="H88" i="3" s="1"/>
  <c r="H89" i="3"/>
  <c r="H58" i="3"/>
  <c r="H59" i="3" s="1"/>
  <c r="H60" i="3" s="1"/>
  <c r="H61" i="3"/>
  <c r="H38" i="3"/>
  <c r="H39" i="3" s="1"/>
  <c r="H40" i="3" s="1"/>
  <c r="H41" i="3"/>
  <c r="H42" i="3" s="1"/>
  <c r="H43" i="3" s="1"/>
  <c r="H44" i="3" s="1"/>
  <c r="H93" i="3" l="1"/>
  <c r="H90" i="3"/>
  <c r="H91" i="3" s="1"/>
  <c r="H92" i="3" s="1"/>
  <c r="H62" i="3"/>
  <c r="H63" i="3" s="1"/>
  <c r="H64" i="3" s="1"/>
  <c r="H65" i="3"/>
  <c r="H97" i="3" l="1"/>
  <c r="H94" i="3"/>
  <c r="H95" i="3" s="1"/>
  <c r="H96" i="3" s="1"/>
  <c r="H66" i="3"/>
  <c r="H67" i="3" s="1"/>
  <c r="H68" i="3" s="1"/>
  <c r="H69" i="3"/>
  <c r="H98" i="3" l="1"/>
  <c r="H99" i="3" s="1"/>
  <c r="H100" i="3" s="1"/>
  <c r="H101" i="3"/>
  <c r="H70" i="3"/>
  <c r="H71" i="3" s="1"/>
  <c r="H72" i="3" s="1"/>
  <c r="H73" i="3"/>
  <c r="H74" i="3" s="1"/>
  <c r="H75" i="3" s="1"/>
  <c r="H76" i="3" s="1"/>
  <c r="H102" i="3" l="1"/>
  <c r="H103" i="3" s="1"/>
  <c r="H104" i="3" s="1"/>
  <c r="H105" i="3"/>
  <c r="H109" i="3" l="1"/>
  <c r="H106" i="3"/>
  <c r="H107" i="3" s="1"/>
  <c r="H108" i="3" s="1"/>
  <c r="H113" i="3" l="1"/>
  <c r="H110" i="3"/>
  <c r="H111" i="3" s="1"/>
  <c r="H112" i="3" s="1"/>
  <c r="H114" i="3" l="1"/>
  <c r="H115" i="3" s="1"/>
  <c r="H116" i="3" s="1"/>
  <c r="H117" i="3"/>
  <c r="H118" i="3" l="1"/>
  <c r="H119" i="3" s="1"/>
  <c r="H120" i="3" s="1"/>
  <c r="H121" i="3"/>
  <c r="H122" i="3" l="1"/>
  <c r="H123" i="3" s="1"/>
  <c r="H124" i="3" s="1"/>
  <c r="H125" i="3"/>
  <c r="H126" i="3" l="1"/>
  <c r="H127" i="3" s="1"/>
  <c r="H128" i="3" s="1"/>
  <c r="H129" i="3"/>
  <c r="H130" i="3" l="1"/>
  <c r="H131" i="3" s="1"/>
  <c r="H132" i="3" s="1"/>
  <c r="H133" i="3"/>
  <c r="H134" i="3" l="1"/>
  <c r="H135" i="3" s="1"/>
  <c r="H136" i="3" s="1"/>
  <c r="H137" i="3"/>
  <c r="H138" i="3" s="1"/>
  <c r="H139" i="3" s="1"/>
  <c r="H140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<sst xmlns="http://schemas.openxmlformats.org/spreadsheetml/2006/main" count="577" uniqueCount="75">
  <si>
    <t>Revenue</t>
  </si>
  <si>
    <t>Cost Of Goods Sold</t>
  </si>
  <si>
    <t>Gross Profit</t>
  </si>
  <si>
    <t>Research And Development Expenses</t>
  </si>
  <si>
    <t>SG&amp;A Expenses</t>
  </si>
  <si>
    <t>Other Operating Income Or Expenses</t>
  </si>
  <si>
    <t>Operating Expenses</t>
  </si>
  <si>
    <t>Operating Income</t>
  </si>
  <si>
    <t>Total Non-Operating Income/Expense</t>
  </si>
  <si>
    <t>Pre-Tax Income</t>
  </si>
  <si>
    <t>Income Taxes</t>
  </si>
  <si>
    <t>Income After Taxes</t>
  </si>
  <si>
    <t>Other Income</t>
  </si>
  <si>
    <t>Income From Continuous Operations</t>
  </si>
  <si>
    <t>Income From Discontinued Operations</t>
  </si>
  <si>
    <t>Net Income</t>
  </si>
  <si>
    <t>EBITDA</t>
  </si>
  <si>
    <t>EBIT</t>
  </si>
  <si>
    <t>Basic Shares Outstanding</t>
  </si>
  <si>
    <t>Shares Outstanding</t>
  </si>
  <si>
    <t>Basic EPS</t>
  </si>
  <si>
    <t>Q4</t>
  </si>
  <si>
    <t>Q3</t>
  </si>
  <si>
    <t>Q2</t>
  </si>
  <si>
    <t>Q1</t>
  </si>
  <si>
    <t>Year:</t>
  </si>
  <si>
    <t>Account:</t>
  </si>
  <si>
    <t>TICKER</t>
  </si>
  <si>
    <t>KO</t>
  </si>
  <si>
    <t>ASOF_DATE</t>
  </si>
  <si>
    <t>YR</t>
  </si>
  <si>
    <t>QRT_NUM</t>
  </si>
  <si>
    <t>EPS</t>
  </si>
  <si>
    <t>Earnings_Per_Share</t>
  </si>
  <si>
    <t>COGS</t>
  </si>
  <si>
    <t>SG&amp;A_Expenses</t>
  </si>
  <si>
    <t>Other_Operating_Income_or_Expenses</t>
  </si>
  <si>
    <t>Operating_Expenses</t>
  </si>
  <si>
    <t>Operating_Income</t>
  </si>
  <si>
    <t>Total_NonOperating_Income_or_Expense</t>
  </si>
  <si>
    <t>PreTax_Income</t>
  </si>
  <si>
    <t>Income_Taxes</t>
  </si>
  <si>
    <t>Income_After_Taxes</t>
  </si>
  <si>
    <t>Other_Income</t>
  </si>
  <si>
    <t>Income_From_Continuous_Operations</t>
  </si>
  <si>
    <t>Income_From_Discontinued_Operations</t>
  </si>
  <si>
    <t>Net _Income</t>
  </si>
  <si>
    <t>Basic_Shares_Outstanding</t>
  </si>
  <si>
    <t>Shares_Outstanding</t>
  </si>
  <si>
    <t>Basic_EPS</t>
  </si>
  <si>
    <t>SOURCE_FILE</t>
  </si>
  <si>
    <t>LOADED_AT</t>
  </si>
  <si>
    <t>LOAD_BATCH_ID</t>
  </si>
  <si>
    <t>Columns in Upload</t>
  </si>
  <si>
    <t>Column Name:</t>
  </si>
  <si>
    <t>Concat:</t>
  </si>
  <si>
    <t>Support Tab</t>
  </si>
  <si>
    <t>DILUTED_EPS</t>
  </si>
  <si>
    <t>BASIC_EPS</t>
  </si>
  <si>
    <t>DILUTED_SHARES</t>
  </si>
  <si>
    <t>BASIC_SHARES</t>
  </si>
  <si>
    <t>NET_INCOME</t>
  </si>
  <si>
    <t>INCOME_FROM_DISCONTINUED_OPERATIONS</t>
  </si>
  <si>
    <t>INCOME_FROM_CONTINUOUS_OPERATIONS</t>
  </si>
  <si>
    <t>OTHER_INCOME</t>
  </si>
  <si>
    <t>INCOME_AFTER_TAXES</t>
  </si>
  <si>
    <t>INCOME_TAXES</t>
  </si>
  <si>
    <t>PRETAX_INCOME</t>
  </si>
  <si>
    <t>TOTAL_NONOPERATING_INCOME_OR_EXPENSE</t>
  </si>
  <si>
    <t>OPERATING_INCOME</t>
  </si>
  <si>
    <t>OPERATING_EXPENSES</t>
  </si>
  <si>
    <t>OTHER_OPERATING_INCOME_OR_EXPENSES</t>
  </si>
  <si>
    <t>SGA_EXPENSES</t>
  </si>
  <si>
    <t>GROSS_PROFIT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</si>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</sst>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Font="1"/>
    <xf numFmtId="0" fontId="18" fillId="0" borderId="10" xfId="0" applyFont="1" applyBorder="1"/>
    <xf numFmtId="14" fontId="18" fillId="0" borderId="0" xfId="0" applyNumberFormat="1" applyFont="1"/>
    <xf numFmtId="0" fontId="18" fillId="0" borderId="11" xfId="0" applyFont="1" applyBorder="1"/>
    <xf numFmtId="0" fontId="18" fillId="0" borderId="0" xfId="0" applyFont="1" applyAlignment="1">
      <alignment horizontal="center"/>
    </xf>
    <xf numFmtId="14" fontId="18" fillId="0" borderId="10" xfId="0" applyNumberFormat="1" applyFont="1" applyBorder="1" applyAlignment="1">
      <alignment horizontal="center"/>
    </xf>
    <xf numFmtId="164" fontId="0" fillId="0" borderId="0" xfId="2" applyNumberFormat="1" applyFont="1"/>
    <xf numFmtId="43" fontId="0" fillId="0" borderId="0" xfId="1" applyFont="1"/>
    <xf numFmtId="165" fontId="0" fillId="0" borderId="0" xfId="1" applyNumberFormat="1" applyFont="1"/>
    <xf numFmtId="164" fontId="18" fillId="0" borderId="11" xfId="2" applyNumberFormat="1" applyFont="1" applyBorder="1"/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center"/>
    </xf>
    <xf numFmtId="0" fontId="19" fillId="0" borderId="0" xfId="0" applyFont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22" fontId="0" fillId="0" borderId="0" xfId="0" applyNumberFormat="1"/>
    <xf numFmtId="166" fontId="0" fillId="0" borderId="0" xfId="0" applyNumberFormat="1" applyAlignment="1">
      <alignment horizont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F744A-4D57-4CAA-A536-88E554A2BDAC}">
  <dimension ref="A1:IW35"/>
  <sheetViews>
    <sheetView showGridLines="0" workbookViewId="0">
      <selection activeCell="B35" sqref="B35"/>
    </sheetView>
  </sheetViews>
  <sheetFormatPr defaultColWidth="13.7109375" defaultRowHeight="15" x14ac:dyDescent="0.25"/>
  <cols>
    <col min="1" max="1" width="35.85546875" bestFit="1" customWidth="1"/>
    <col min="2" max="17" width="19.42578125" bestFit="1" customWidth="1"/>
    <col min="18" max="18" width="19" bestFit="1" customWidth="1"/>
    <col min="19" max="20" width="19.42578125" bestFit="1" customWidth="1"/>
    <col min="21" max="29" width="19" bestFit="1" customWidth="1"/>
    <col min="30" max="30" width="18.42578125" bestFit="1" customWidth="1"/>
    <col min="31" max="33" width="19" bestFit="1" customWidth="1"/>
    <col min="34" max="34" width="19.7109375" bestFit="1" customWidth="1"/>
    <col min="35" max="37" width="19" bestFit="1" customWidth="1"/>
    <col min="38" max="38" width="18.42578125" bestFit="1" customWidth="1"/>
    <col min="39" max="53" width="19.42578125" bestFit="1" customWidth="1"/>
    <col min="54" max="101" width="24.28515625" bestFit="1" customWidth="1"/>
    <col min="102" max="102" width="22.7109375" bestFit="1" customWidth="1"/>
    <col min="103" max="104" width="24.28515625" bestFit="1" customWidth="1"/>
    <col min="105" max="106" width="22.7109375" bestFit="1" customWidth="1"/>
    <col min="107" max="118" width="24.28515625" bestFit="1" customWidth="1"/>
    <col min="119" max="119" width="22.7109375" bestFit="1" customWidth="1"/>
    <col min="120" max="121" width="24.28515625" bestFit="1" customWidth="1"/>
    <col min="122" max="122" width="22.7109375" bestFit="1" customWidth="1"/>
    <col min="123" max="124" width="24.28515625" bestFit="1" customWidth="1"/>
    <col min="125" max="126" width="22.7109375" bestFit="1" customWidth="1"/>
    <col min="127" max="128" width="24.28515625" bestFit="1" customWidth="1"/>
    <col min="129" max="157" width="22.7109375" bestFit="1" customWidth="1"/>
    <col min="158" max="158" width="14.140625" bestFit="1" customWidth="1"/>
  </cols>
  <sheetData>
    <row r="1" spans="1:257" x14ac:dyDescent="0.25">
      <c r="B1" s="5" t="s">
        <v>21</v>
      </c>
      <c r="C1" s="5" t="s">
        <v>22</v>
      </c>
      <c r="D1" s="5" t="s">
        <v>23</v>
      </c>
      <c r="E1" s="5" t="s">
        <v>24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21</v>
      </c>
      <c r="O1" s="5" t="s">
        <v>22</v>
      </c>
      <c r="P1" s="5" t="s">
        <v>23</v>
      </c>
      <c r="Q1" s="5" t="s">
        <v>24</v>
      </c>
      <c r="R1" s="5" t="s">
        <v>21</v>
      </c>
      <c r="S1" s="5" t="s">
        <v>22</v>
      </c>
      <c r="T1" s="5" t="s">
        <v>23</v>
      </c>
      <c r="U1" s="5" t="s">
        <v>24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21</v>
      </c>
      <c r="AA1" s="5" t="s">
        <v>22</v>
      </c>
      <c r="AB1" s="5" t="s">
        <v>23</v>
      </c>
      <c r="AC1" s="5" t="s">
        <v>24</v>
      </c>
      <c r="AD1" s="5" t="s">
        <v>21</v>
      </c>
      <c r="AE1" s="5" t="s">
        <v>22</v>
      </c>
      <c r="AF1" s="5" t="s">
        <v>23</v>
      </c>
      <c r="AG1" s="5" t="s">
        <v>24</v>
      </c>
      <c r="AH1" s="5" t="s">
        <v>21</v>
      </c>
      <c r="AI1" s="5" t="s">
        <v>22</v>
      </c>
      <c r="AJ1" s="5" t="s">
        <v>23</v>
      </c>
      <c r="AK1" s="5" t="s">
        <v>24</v>
      </c>
      <c r="AL1" s="5" t="s">
        <v>21</v>
      </c>
      <c r="AM1" s="5" t="s">
        <v>22</v>
      </c>
      <c r="AN1" s="5" t="s">
        <v>23</v>
      </c>
      <c r="AO1" s="5" t="s">
        <v>24</v>
      </c>
      <c r="AP1" s="5" t="s">
        <v>21</v>
      </c>
      <c r="AQ1" s="5" t="s">
        <v>22</v>
      </c>
      <c r="AR1" s="5" t="s">
        <v>23</v>
      </c>
      <c r="AS1" s="5" t="s">
        <v>24</v>
      </c>
      <c r="AT1" s="5" t="s">
        <v>21</v>
      </c>
      <c r="AU1" s="5" t="s">
        <v>22</v>
      </c>
      <c r="AV1" s="5" t="s">
        <v>23</v>
      </c>
      <c r="AW1" s="5" t="s">
        <v>24</v>
      </c>
      <c r="AX1" s="5" t="s">
        <v>21</v>
      </c>
      <c r="AY1" s="5" t="s">
        <v>22</v>
      </c>
      <c r="AZ1" s="5" t="s">
        <v>23</v>
      </c>
      <c r="BA1" s="5" t="s">
        <v>24</v>
      </c>
      <c r="BB1" s="5" t="s">
        <v>21</v>
      </c>
      <c r="BC1" s="5" t="s">
        <v>22</v>
      </c>
      <c r="BD1" s="5" t="s">
        <v>23</v>
      </c>
      <c r="BE1" s="5" t="s">
        <v>24</v>
      </c>
      <c r="BF1" s="5" t="s">
        <v>21</v>
      </c>
      <c r="BG1" s="5" t="s">
        <v>22</v>
      </c>
      <c r="BH1" s="5" t="s">
        <v>23</v>
      </c>
      <c r="BI1" s="5" t="s">
        <v>24</v>
      </c>
      <c r="BJ1" s="5" t="s">
        <v>21</v>
      </c>
      <c r="BK1" s="5" t="s">
        <v>22</v>
      </c>
      <c r="BL1" s="5" t="s">
        <v>23</v>
      </c>
      <c r="BM1" s="5" t="s">
        <v>24</v>
      </c>
      <c r="BN1" s="5" t="s">
        <v>21</v>
      </c>
      <c r="BO1" s="5" t="s">
        <v>22</v>
      </c>
      <c r="BP1" s="5" t="s">
        <v>23</v>
      </c>
      <c r="BQ1" s="5" t="s">
        <v>24</v>
      </c>
      <c r="BR1" s="5" t="s">
        <v>21</v>
      </c>
      <c r="BS1" s="5" t="s">
        <v>22</v>
      </c>
      <c r="BT1" s="5" t="s">
        <v>23</v>
      </c>
      <c r="BU1" s="5" t="s">
        <v>24</v>
      </c>
      <c r="BV1" s="5" t="s">
        <v>21</v>
      </c>
      <c r="BW1" s="5" t="s">
        <v>22</v>
      </c>
      <c r="BX1" s="5" t="s">
        <v>23</v>
      </c>
      <c r="BY1" s="5" t="s">
        <v>24</v>
      </c>
      <c r="BZ1" s="5" t="s">
        <v>21</v>
      </c>
      <c r="CA1" s="5" t="s">
        <v>22</v>
      </c>
      <c r="CB1" s="5" t="s">
        <v>23</v>
      </c>
      <c r="CC1" s="5" t="s">
        <v>24</v>
      </c>
      <c r="CD1" s="5" t="s">
        <v>21</v>
      </c>
      <c r="CE1" s="5" t="s">
        <v>22</v>
      </c>
      <c r="CF1" s="5" t="s">
        <v>23</v>
      </c>
      <c r="CG1" s="5" t="s">
        <v>24</v>
      </c>
      <c r="CH1" s="5" t="s">
        <v>21</v>
      </c>
      <c r="CI1" s="5" t="s">
        <v>22</v>
      </c>
      <c r="CJ1" s="5" t="s">
        <v>23</v>
      </c>
      <c r="CK1" s="5" t="s">
        <v>24</v>
      </c>
      <c r="CL1" s="5" t="s">
        <v>21</v>
      </c>
      <c r="CM1" s="5" t="s">
        <v>22</v>
      </c>
      <c r="CN1" s="5" t="s">
        <v>23</v>
      </c>
      <c r="CO1" s="5" t="s">
        <v>24</v>
      </c>
      <c r="CP1" s="5" t="s">
        <v>21</v>
      </c>
      <c r="CQ1" s="5" t="s">
        <v>22</v>
      </c>
      <c r="CR1" s="5" t="s">
        <v>23</v>
      </c>
      <c r="CS1" s="5" t="s">
        <v>24</v>
      </c>
      <c r="CT1" s="5" t="s">
        <v>21</v>
      </c>
      <c r="CU1" s="5" t="s">
        <v>22</v>
      </c>
      <c r="CV1" s="5" t="s">
        <v>23</v>
      </c>
      <c r="CW1" s="5" t="s">
        <v>24</v>
      </c>
      <c r="CX1" s="5" t="s">
        <v>21</v>
      </c>
      <c r="CY1" s="5" t="s">
        <v>22</v>
      </c>
      <c r="CZ1" s="5" t="s">
        <v>23</v>
      </c>
      <c r="DA1" s="5" t="s">
        <v>24</v>
      </c>
      <c r="DB1" s="5" t="s">
        <v>21</v>
      </c>
      <c r="DC1" s="5" t="s">
        <v>22</v>
      </c>
      <c r="DD1" s="5" t="s">
        <v>23</v>
      </c>
      <c r="DE1" s="5" t="s">
        <v>24</v>
      </c>
      <c r="DF1" s="5" t="s">
        <v>21</v>
      </c>
      <c r="DG1" s="5" t="s">
        <v>22</v>
      </c>
      <c r="DH1" s="5" t="s">
        <v>23</v>
      </c>
      <c r="DI1" s="5" t="s">
        <v>24</v>
      </c>
      <c r="DJ1" s="5" t="s">
        <v>21</v>
      </c>
      <c r="DK1" s="5" t="s">
        <v>22</v>
      </c>
      <c r="DL1" s="5" t="s">
        <v>23</v>
      </c>
      <c r="DM1" s="5" t="s">
        <v>24</v>
      </c>
      <c r="DN1" s="5" t="s">
        <v>21</v>
      </c>
      <c r="DO1" s="5" t="s">
        <v>22</v>
      </c>
      <c r="DP1" s="5" t="s">
        <v>23</v>
      </c>
      <c r="DQ1" s="5" t="s">
        <v>24</v>
      </c>
      <c r="DR1" s="5" t="s">
        <v>21</v>
      </c>
      <c r="DS1" s="5" t="s">
        <v>22</v>
      </c>
      <c r="DT1" s="5" t="s">
        <v>23</v>
      </c>
      <c r="DU1" s="5" t="s">
        <v>24</v>
      </c>
      <c r="DV1" s="5" t="s">
        <v>21</v>
      </c>
      <c r="DW1" s="5" t="s">
        <v>22</v>
      </c>
      <c r="DX1" s="5" t="s">
        <v>23</v>
      </c>
      <c r="DY1" s="5" t="s">
        <v>24</v>
      </c>
      <c r="DZ1" s="5" t="s">
        <v>21</v>
      </c>
      <c r="EA1" s="5" t="s">
        <v>22</v>
      </c>
      <c r="EB1" s="5" t="s">
        <v>23</v>
      </c>
      <c r="EC1" s="5" t="s">
        <v>24</v>
      </c>
      <c r="ED1" s="5" t="s">
        <v>21</v>
      </c>
      <c r="EE1" s="5" t="s">
        <v>22</v>
      </c>
      <c r="EF1" s="5" t="s">
        <v>23</v>
      </c>
      <c r="EG1" s="5" t="s">
        <v>24</v>
      </c>
      <c r="EH1" s="5" t="s">
        <v>21</v>
      </c>
      <c r="EI1" s="5" t="s">
        <v>22</v>
      </c>
      <c r="EJ1" s="5" t="s">
        <v>23</v>
      </c>
      <c r="EK1" s="5" t="s">
        <v>24</v>
      </c>
      <c r="EL1" s="5" t="s">
        <v>21</v>
      </c>
      <c r="EM1" s="5" t="s">
        <v>22</v>
      </c>
      <c r="EN1" s="5" t="s">
        <v>23</v>
      </c>
      <c r="EO1" s="5" t="s">
        <v>24</v>
      </c>
      <c r="EP1" s="5" t="s">
        <v>21</v>
      </c>
      <c r="EQ1" s="5" t="s">
        <v>22</v>
      </c>
      <c r="ER1" s="5" t="s">
        <v>23</v>
      </c>
      <c r="ES1" s="5" t="s">
        <v>24</v>
      </c>
      <c r="ET1" s="5" t="s">
        <v>21</v>
      </c>
      <c r="EU1" s="5" t="s">
        <v>22</v>
      </c>
      <c r="EV1" s="5" t="s">
        <v>23</v>
      </c>
      <c r="EW1" s="5" t="s">
        <v>24</v>
      </c>
      <c r="EX1" s="5" t="s">
        <v>21</v>
      </c>
      <c r="EY1" s="5" t="s">
        <v>22</v>
      </c>
      <c r="EZ1" s="5" t="s">
        <v>23</v>
      </c>
      <c r="FA1" s="5" t="s">
        <v>24</v>
      </c>
      <c r="FB1" s="5" t="s">
        <v>21</v>
      </c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</row>
    <row r="2" spans="1:257" x14ac:dyDescent="0.25">
      <c r="B2" s="5">
        <v>2025</v>
      </c>
      <c r="C2" s="5">
        <v>2025</v>
      </c>
      <c r="D2" s="5">
        <v>2025</v>
      </c>
      <c r="E2" s="5">
        <v>2025</v>
      </c>
      <c r="F2" s="5">
        <v>2024</v>
      </c>
      <c r="G2" s="5">
        <v>2024</v>
      </c>
      <c r="H2" s="5">
        <v>2024</v>
      </c>
      <c r="I2" s="5">
        <v>2024</v>
      </c>
      <c r="J2" s="5">
        <v>2023</v>
      </c>
      <c r="K2" s="5">
        <v>2023</v>
      </c>
      <c r="L2" s="5">
        <v>2023</v>
      </c>
      <c r="M2" s="5">
        <v>2023</v>
      </c>
      <c r="N2" s="5">
        <v>2022</v>
      </c>
      <c r="O2" s="5">
        <v>2022</v>
      </c>
      <c r="P2" s="5">
        <v>2022</v>
      </c>
      <c r="Q2" s="5">
        <v>2022</v>
      </c>
      <c r="R2" s="5">
        <v>2021</v>
      </c>
      <c r="S2" s="5">
        <v>2021</v>
      </c>
      <c r="T2" s="5">
        <v>2021</v>
      </c>
      <c r="U2" s="5">
        <v>2021</v>
      </c>
      <c r="V2" s="5">
        <v>2020</v>
      </c>
      <c r="W2" s="5">
        <v>2020</v>
      </c>
      <c r="X2" s="5">
        <v>2020</v>
      </c>
      <c r="Y2" s="5">
        <v>2020</v>
      </c>
      <c r="Z2" s="5">
        <v>2019</v>
      </c>
      <c r="AA2" s="5">
        <v>2019</v>
      </c>
      <c r="AB2" s="5">
        <v>2019</v>
      </c>
      <c r="AC2" s="5">
        <v>2019</v>
      </c>
      <c r="AD2" s="5">
        <v>2018</v>
      </c>
      <c r="AE2" s="5">
        <v>2018</v>
      </c>
      <c r="AF2" s="5">
        <v>2018</v>
      </c>
      <c r="AG2" s="5">
        <v>2018</v>
      </c>
      <c r="AH2" s="5">
        <v>2017</v>
      </c>
      <c r="AI2" s="5">
        <v>2017</v>
      </c>
      <c r="AJ2" s="5">
        <v>2017</v>
      </c>
      <c r="AK2" s="5">
        <v>2017</v>
      </c>
      <c r="AL2" s="5">
        <v>2016</v>
      </c>
      <c r="AM2" s="5">
        <v>2016</v>
      </c>
      <c r="AN2" s="5">
        <v>2016</v>
      </c>
      <c r="AO2" s="5">
        <v>2016</v>
      </c>
      <c r="AP2" s="5">
        <v>2015</v>
      </c>
      <c r="AQ2" s="5">
        <v>2015</v>
      </c>
      <c r="AR2" s="5">
        <v>2015</v>
      </c>
      <c r="AS2" s="5">
        <v>2015</v>
      </c>
      <c r="AT2" s="5">
        <v>2014</v>
      </c>
      <c r="AU2" s="5">
        <v>2014</v>
      </c>
      <c r="AV2" s="5">
        <v>2014</v>
      </c>
      <c r="AW2" s="5">
        <v>2014</v>
      </c>
      <c r="AX2" s="5">
        <v>2013</v>
      </c>
      <c r="AY2" s="5">
        <v>2013</v>
      </c>
      <c r="AZ2" s="5">
        <v>2013</v>
      </c>
      <c r="BA2" s="5">
        <v>2013</v>
      </c>
      <c r="BB2" s="5">
        <v>2012</v>
      </c>
      <c r="BC2" s="5">
        <v>2012</v>
      </c>
      <c r="BD2" s="5">
        <v>2012</v>
      </c>
      <c r="BE2" s="5">
        <v>2012</v>
      </c>
      <c r="BF2" s="5">
        <v>2011</v>
      </c>
      <c r="BG2" s="5">
        <v>2011</v>
      </c>
      <c r="BH2" s="5">
        <v>2011</v>
      </c>
      <c r="BI2" s="5">
        <v>2011</v>
      </c>
      <c r="BJ2" s="5">
        <v>2010</v>
      </c>
      <c r="BK2" s="5">
        <v>2010</v>
      </c>
      <c r="BL2" s="5">
        <v>2010</v>
      </c>
      <c r="BM2" s="5">
        <v>2010</v>
      </c>
      <c r="BN2" s="5">
        <v>2009</v>
      </c>
      <c r="BO2" s="5">
        <v>2009</v>
      </c>
      <c r="BP2" s="5">
        <v>2009</v>
      </c>
      <c r="BQ2" s="5">
        <v>2009</v>
      </c>
      <c r="BR2" s="5">
        <v>2008</v>
      </c>
      <c r="BS2" s="5">
        <v>2008</v>
      </c>
      <c r="BT2" s="5">
        <v>2008</v>
      </c>
      <c r="BU2" s="5">
        <v>2008</v>
      </c>
      <c r="BV2" s="5">
        <v>2007</v>
      </c>
      <c r="BW2" s="5">
        <v>2007</v>
      </c>
      <c r="BX2" s="5">
        <v>2007</v>
      </c>
      <c r="BY2" s="5">
        <v>2007</v>
      </c>
      <c r="BZ2" s="5">
        <v>2006</v>
      </c>
      <c r="CA2" s="5">
        <v>2006</v>
      </c>
      <c r="CB2" s="5">
        <v>2006</v>
      </c>
      <c r="CC2" s="5">
        <v>2006</v>
      </c>
      <c r="CD2" s="5">
        <v>2005</v>
      </c>
      <c r="CE2" s="5">
        <v>2005</v>
      </c>
      <c r="CF2" s="5">
        <v>2005</v>
      </c>
      <c r="CG2" s="5">
        <v>2005</v>
      </c>
      <c r="CH2" s="5">
        <v>2004</v>
      </c>
      <c r="CI2" s="5">
        <v>2004</v>
      </c>
      <c r="CJ2" s="5">
        <v>2004</v>
      </c>
      <c r="CK2" s="5">
        <v>2004</v>
      </c>
      <c r="CL2" s="5">
        <v>2003</v>
      </c>
      <c r="CM2" s="5">
        <v>2003</v>
      </c>
      <c r="CN2" s="5">
        <v>2003</v>
      </c>
      <c r="CO2" s="5">
        <v>2003</v>
      </c>
      <c r="CP2" s="5">
        <v>2002</v>
      </c>
      <c r="CQ2" s="5">
        <v>2002</v>
      </c>
      <c r="CR2" s="5">
        <v>2002</v>
      </c>
      <c r="CS2" s="5">
        <v>2002</v>
      </c>
      <c r="CT2" s="5">
        <v>2001</v>
      </c>
      <c r="CU2" s="5">
        <v>2001</v>
      </c>
      <c r="CV2" s="5">
        <v>2001</v>
      </c>
      <c r="CW2" s="5">
        <v>2001</v>
      </c>
      <c r="CX2" s="5">
        <v>2000</v>
      </c>
      <c r="CY2" s="5">
        <v>2000</v>
      </c>
      <c r="CZ2" s="5">
        <v>2000</v>
      </c>
      <c r="DA2" s="5">
        <v>2000</v>
      </c>
      <c r="DB2" s="5">
        <v>1999</v>
      </c>
      <c r="DC2" s="5">
        <v>1999</v>
      </c>
      <c r="DD2" s="5">
        <v>1999</v>
      </c>
      <c r="DE2" s="5">
        <v>1999</v>
      </c>
      <c r="DF2" s="5">
        <v>1998</v>
      </c>
      <c r="DG2" s="5">
        <v>1998</v>
      </c>
      <c r="DH2" s="5">
        <v>1998</v>
      </c>
      <c r="DI2" s="5">
        <v>1998</v>
      </c>
      <c r="DJ2" s="5">
        <v>1997</v>
      </c>
      <c r="DK2" s="5">
        <v>1997</v>
      </c>
      <c r="DL2" s="5">
        <v>1997</v>
      </c>
      <c r="DM2" s="5">
        <v>1997</v>
      </c>
      <c r="DN2" s="5">
        <v>1996</v>
      </c>
      <c r="DO2" s="5">
        <v>1996</v>
      </c>
      <c r="DP2" s="5">
        <v>1996</v>
      </c>
      <c r="DQ2" s="5">
        <v>1996</v>
      </c>
      <c r="DR2" s="5">
        <v>1995</v>
      </c>
      <c r="DS2" s="5">
        <v>1995</v>
      </c>
      <c r="DT2" s="5">
        <v>1995</v>
      </c>
      <c r="DU2" s="5">
        <v>1995</v>
      </c>
      <c r="DV2" s="5">
        <v>1994</v>
      </c>
      <c r="DW2" s="5">
        <v>1994</v>
      </c>
      <c r="DX2" s="5">
        <v>1994</v>
      </c>
      <c r="DY2" s="5">
        <v>1994</v>
      </c>
      <c r="DZ2" s="5">
        <v>1993</v>
      </c>
      <c r="EA2" s="5">
        <v>1993</v>
      </c>
      <c r="EB2" s="5">
        <v>1993</v>
      </c>
      <c r="EC2" s="5">
        <v>1993</v>
      </c>
      <c r="ED2" s="5">
        <v>1992</v>
      </c>
      <c r="EE2" s="5">
        <v>1992</v>
      </c>
      <c r="EF2" s="5">
        <v>1992</v>
      </c>
      <c r="EG2" s="5">
        <v>1992</v>
      </c>
      <c r="EH2" s="5">
        <v>1991</v>
      </c>
      <c r="EI2" s="5">
        <v>1991</v>
      </c>
      <c r="EJ2" s="5">
        <v>1991</v>
      </c>
      <c r="EK2" s="5">
        <v>1991</v>
      </c>
      <c r="EL2" s="5">
        <v>1990</v>
      </c>
      <c r="EM2" s="5">
        <v>1990</v>
      </c>
      <c r="EN2" s="5">
        <v>1990</v>
      </c>
      <c r="EO2" s="5">
        <v>1990</v>
      </c>
      <c r="EP2" s="5">
        <v>1989</v>
      </c>
      <c r="EQ2" s="5">
        <v>1989</v>
      </c>
      <c r="ER2" s="5">
        <v>1989</v>
      </c>
      <c r="ES2" s="5">
        <v>1989</v>
      </c>
      <c r="ET2" s="5">
        <v>1988</v>
      </c>
      <c r="EU2" s="5">
        <v>1988</v>
      </c>
      <c r="EV2" s="5">
        <v>1988</v>
      </c>
      <c r="EW2" s="5">
        <v>1988</v>
      </c>
      <c r="EX2" s="5">
        <v>1987</v>
      </c>
      <c r="EY2" s="5">
        <v>1987</v>
      </c>
      <c r="EZ2" s="5">
        <v>1987</v>
      </c>
      <c r="FA2" s="5">
        <v>1987</v>
      </c>
      <c r="FB2" s="5">
        <v>1986</v>
      </c>
    </row>
    <row r="3" spans="1:257" s="1" customFormat="1" x14ac:dyDescent="0.25">
      <c r="A3" s="2"/>
      <c r="B3" s="6">
        <v>46022</v>
      </c>
      <c r="C3" s="6">
        <v>45930</v>
      </c>
      <c r="D3" s="6">
        <v>45838</v>
      </c>
      <c r="E3" s="6">
        <v>45747</v>
      </c>
      <c r="F3" s="6">
        <v>45657</v>
      </c>
      <c r="G3" s="6">
        <v>45565</v>
      </c>
      <c r="H3" s="6">
        <v>45473</v>
      </c>
      <c r="I3" s="6">
        <v>45382</v>
      </c>
      <c r="J3" s="6">
        <v>45291</v>
      </c>
      <c r="K3" s="6">
        <v>45199</v>
      </c>
      <c r="L3" s="6">
        <v>45107</v>
      </c>
      <c r="M3" s="6">
        <v>45016</v>
      </c>
      <c r="N3" s="6">
        <v>44926</v>
      </c>
      <c r="O3" s="6">
        <v>44834</v>
      </c>
      <c r="P3" s="6">
        <v>44742</v>
      </c>
      <c r="Q3" s="6">
        <v>44651</v>
      </c>
      <c r="R3" s="6">
        <v>44561</v>
      </c>
      <c r="S3" s="6">
        <v>44469</v>
      </c>
      <c r="T3" s="6">
        <v>44377</v>
      </c>
      <c r="U3" s="6">
        <v>44286</v>
      </c>
      <c r="V3" s="6">
        <v>44196</v>
      </c>
      <c r="W3" s="6">
        <v>44104</v>
      </c>
      <c r="X3" s="6">
        <v>44012</v>
      </c>
      <c r="Y3" s="6">
        <v>43921</v>
      </c>
      <c r="Z3" s="6">
        <v>43830</v>
      </c>
      <c r="AA3" s="6">
        <v>43738</v>
      </c>
      <c r="AB3" s="6">
        <v>43646</v>
      </c>
      <c r="AC3" s="6">
        <v>43555</v>
      </c>
      <c r="AD3" s="6">
        <v>43465</v>
      </c>
      <c r="AE3" s="6">
        <v>43373</v>
      </c>
      <c r="AF3" s="6">
        <v>43281</v>
      </c>
      <c r="AG3" s="6">
        <v>43190</v>
      </c>
      <c r="AH3" s="6">
        <v>43100</v>
      </c>
      <c r="AI3" s="6">
        <v>43008</v>
      </c>
      <c r="AJ3" s="6">
        <v>42916</v>
      </c>
      <c r="AK3" s="6">
        <v>42825</v>
      </c>
      <c r="AL3" s="6">
        <v>42735</v>
      </c>
      <c r="AM3" s="6">
        <v>42643</v>
      </c>
      <c r="AN3" s="6">
        <v>42551</v>
      </c>
      <c r="AO3" s="6">
        <v>42460</v>
      </c>
      <c r="AP3" s="6">
        <v>42369</v>
      </c>
      <c r="AQ3" s="6">
        <v>42277</v>
      </c>
      <c r="AR3" s="6">
        <v>42185</v>
      </c>
      <c r="AS3" s="6">
        <v>42094</v>
      </c>
      <c r="AT3" s="6">
        <v>42004</v>
      </c>
      <c r="AU3" s="6">
        <v>41912</v>
      </c>
      <c r="AV3" s="6">
        <v>41820</v>
      </c>
      <c r="AW3" s="6">
        <v>41729</v>
      </c>
      <c r="AX3" s="6">
        <v>41639</v>
      </c>
      <c r="AY3" s="6">
        <v>41547</v>
      </c>
      <c r="AZ3" s="6">
        <v>41455</v>
      </c>
      <c r="BA3" s="6">
        <v>41364</v>
      </c>
      <c r="BB3" s="6">
        <v>41274</v>
      </c>
      <c r="BC3" s="6">
        <v>41182</v>
      </c>
      <c r="BD3" s="6">
        <v>41090</v>
      </c>
      <c r="BE3" s="6">
        <v>40999</v>
      </c>
      <c r="BF3" s="6">
        <v>40908</v>
      </c>
      <c r="BG3" s="6">
        <v>40816</v>
      </c>
      <c r="BH3" s="6">
        <v>40724</v>
      </c>
      <c r="BI3" s="6">
        <v>40633</v>
      </c>
      <c r="BJ3" s="6">
        <v>40543</v>
      </c>
      <c r="BK3" s="6">
        <v>40451</v>
      </c>
      <c r="BL3" s="6">
        <v>40359</v>
      </c>
      <c r="BM3" s="6">
        <v>40268</v>
      </c>
      <c r="BN3" s="6">
        <v>40178</v>
      </c>
      <c r="BO3" s="6">
        <v>40086</v>
      </c>
      <c r="BP3" s="6">
        <v>39994</v>
      </c>
      <c r="BQ3" s="6">
        <v>39903</v>
      </c>
      <c r="BR3" s="6">
        <v>39813</v>
      </c>
      <c r="BS3" s="6">
        <v>39721</v>
      </c>
      <c r="BT3" s="6">
        <v>39629</v>
      </c>
      <c r="BU3" s="6">
        <v>39538</v>
      </c>
      <c r="BV3" s="6">
        <v>39447</v>
      </c>
      <c r="BW3" s="6">
        <v>39355</v>
      </c>
      <c r="BX3" s="6">
        <v>39263</v>
      </c>
      <c r="BY3" s="6">
        <v>39172</v>
      </c>
      <c r="BZ3" s="6">
        <v>39082</v>
      </c>
      <c r="CA3" s="6">
        <v>38990</v>
      </c>
      <c r="CB3" s="6">
        <v>38898</v>
      </c>
      <c r="CC3" s="6">
        <v>38807</v>
      </c>
      <c r="CD3" s="6">
        <v>38717</v>
      </c>
      <c r="CE3" s="6">
        <v>38625</v>
      </c>
      <c r="CF3" s="6">
        <v>38533</v>
      </c>
      <c r="CG3" s="6">
        <v>38442</v>
      </c>
      <c r="CH3" s="6">
        <v>38352</v>
      </c>
      <c r="CI3" s="6">
        <v>38260</v>
      </c>
      <c r="CJ3" s="6">
        <v>38168</v>
      </c>
      <c r="CK3" s="6">
        <v>38077</v>
      </c>
      <c r="CL3" s="6">
        <v>37986</v>
      </c>
      <c r="CM3" s="6">
        <v>37894</v>
      </c>
      <c r="CN3" s="6">
        <v>37802</v>
      </c>
      <c r="CO3" s="6">
        <v>37711</v>
      </c>
      <c r="CP3" s="6">
        <v>37621</v>
      </c>
      <c r="CQ3" s="6">
        <v>37529</v>
      </c>
      <c r="CR3" s="6">
        <v>37437</v>
      </c>
      <c r="CS3" s="6">
        <v>37346</v>
      </c>
      <c r="CT3" s="6">
        <v>37256</v>
      </c>
      <c r="CU3" s="6">
        <v>37164</v>
      </c>
      <c r="CV3" s="6">
        <v>37072</v>
      </c>
      <c r="CW3" s="6">
        <v>36981</v>
      </c>
      <c r="CX3" s="6">
        <v>36891</v>
      </c>
      <c r="CY3" s="6">
        <v>36799</v>
      </c>
      <c r="CZ3" s="6">
        <v>36707</v>
      </c>
      <c r="DA3" s="6">
        <v>36616</v>
      </c>
      <c r="DB3" s="6">
        <v>36525</v>
      </c>
      <c r="DC3" s="6">
        <v>36433</v>
      </c>
      <c r="DD3" s="6">
        <v>36341</v>
      </c>
      <c r="DE3" s="6">
        <v>36250</v>
      </c>
      <c r="DF3" s="6">
        <v>36160</v>
      </c>
      <c r="DG3" s="6">
        <v>36068</v>
      </c>
      <c r="DH3" s="6">
        <v>35976</v>
      </c>
      <c r="DI3" s="6">
        <v>35885</v>
      </c>
      <c r="DJ3" s="6">
        <v>35795</v>
      </c>
      <c r="DK3" s="6">
        <v>35703</v>
      </c>
      <c r="DL3" s="6">
        <v>35611</v>
      </c>
      <c r="DM3" s="6">
        <v>35520</v>
      </c>
      <c r="DN3" s="6">
        <v>35430</v>
      </c>
      <c r="DO3" s="6">
        <v>35338</v>
      </c>
      <c r="DP3" s="6">
        <v>35246</v>
      </c>
      <c r="DQ3" s="6">
        <v>35155</v>
      </c>
      <c r="DR3" s="6">
        <v>35064</v>
      </c>
      <c r="DS3" s="6">
        <v>34972</v>
      </c>
      <c r="DT3" s="6">
        <v>34880</v>
      </c>
      <c r="DU3" s="6">
        <v>34789</v>
      </c>
      <c r="DV3" s="6">
        <v>34699</v>
      </c>
      <c r="DW3" s="6">
        <v>34607</v>
      </c>
      <c r="DX3" s="6">
        <v>34515</v>
      </c>
      <c r="DY3" s="6">
        <v>34424</v>
      </c>
      <c r="DZ3" s="6">
        <v>34334</v>
      </c>
      <c r="EA3" s="6">
        <v>34242</v>
      </c>
      <c r="EB3" s="6">
        <v>34150</v>
      </c>
      <c r="EC3" s="6">
        <v>34059</v>
      </c>
      <c r="ED3" s="6">
        <v>33969</v>
      </c>
      <c r="EE3" s="6">
        <v>33877</v>
      </c>
      <c r="EF3" s="6">
        <v>33785</v>
      </c>
      <c r="EG3" s="6">
        <v>33694</v>
      </c>
      <c r="EH3" s="6">
        <v>33603</v>
      </c>
      <c r="EI3" s="6">
        <v>33511</v>
      </c>
      <c r="EJ3" s="6">
        <v>33419</v>
      </c>
      <c r="EK3" s="6">
        <v>33328</v>
      </c>
      <c r="EL3" s="6">
        <v>33238</v>
      </c>
      <c r="EM3" s="6">
        <v>33146</v>
      </c>
      <c r="EN3" s="6">
        <v>33054</v>
      </c>
      <c r="EO3" s="6">
        <v>32963</v>
      </c>
      <c r="EP3" s="6">
        <v>32873</v>
      </c>
      <c r="EQ3" s="6">
        <v>32781</v>
      </c>
      <c r="ER3" s="6">
        <v>32689</v>
      </c>
      <c r="ES3" s="6">
        <v>32598</v>
      </c>
      <c r="ET3" s="6">
        <v>32508</v>
      </c>
      <c r="EU3" s="6">
        <v>32416</v>
      </c>
      <c r="EV3" s="6">
        <v>32324</v>
      </c>
      <c r="EW3" s="6">
        <v>32233</v>
      </c>
      <c r="EX3" s="6">
        <v>32142</v>
      </c>
      <c r="EY3" s="6">
        <v>32050</v>
      </c>
      <c r="EZ3" s="6">
        <v>31958</v>
      </c>
      <c r="FA3" s="6">
        <v>31867</v>
      </c>
      <c r="FB3" s="6">
        <v>31777</v>
      </c>
    </row>
    <row r="4" spans="1:257" s="1" customFormat="1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</row>
    <row r="5" spans="1:257" x14ac:dyDescent="0.25">
      <c r="A5" t="s">
        <v>0</v>
      </c>
      <c r="B5" s="9">
        <v>11822000000</v>
      </c>
      <c r="C5" s="9">
        <v>12455000000</v>
      </c>
      <c r="D5" s="9">
        <v>12535000000</v>
      </c>
      <c r="E5" s="9">
        <v>11129000000</v>
      </c>
      <c r="F5" s="9">
        <v>11544000000</v>
      </c>
      <c r="G5" s="9">
        <v>11854000000</v>
      </c>
      <c r="H5" s="9">
        <v>12363000000</v>
      </c>
      <c r="I5" s="9">
        <v>11300000000</v>
      </c>
      <c r="J5" s="9">
        <v>10849000000</v>
      </c>
      <c r="K5" s="9">
        <v>11953000000</v>
      </c>
      <c r="L5" s="9">
        <v>11972000000</v>
      </c>
      <c r="M5" s="9">
        <v>10980000000</v>
      </c>
      <c r="N5" s="9">
        <v>10125000000</v>
      </c>
      <c r="O5" s="9">
        <v>11063000000</v>
      </c>
      <c r="P5" s="9">
        <v>11325000000</v>
      </c>
      <c r="Q5" s="9">
        <v>10491000000</v>
      </c>
      <c r="R5" s="9">
        <v>9464000000</v>
      </c>
      <c r="S5" s="9">
        <v>10042000000</v>
      </c>
      <c r="T5" s="9">
        <v>10129000000</v>
      </c>
      <c r="U5" s="9">
        <v>9020000000</v>
      </c>
      <c r="V5" s="9">
        <v>8611000000</v>
      </c>
      <c r="W5" s="9">
        <v>8652000000</v>
      </c>
      <c r="X5" s="9">
        <v>7150000000</v>
      </c>
      <c r="Y5" s="9">
        <v>8601000000</v>
      </c>
      <c r="Z5" s="9">
        <v>9068000000</v>
      </c>
      <c r="AA5" s="9">
        <v>9507000000</v>
      </c>
      <c r="AB5" s="9">
        <v>9997000000</v>
      </c>
      <c r="AC5" s="9">
        <v>8694000000</v>
      </c>
      <c r="AD5" s="9">
        <v>8478000000</v>
      </c>
      <c r="AE5" s="9">
        <v>8775000000</v>
      </c>
      <c r="AF5" s="9">
        <v>9421000000</v>
      </c>
      <c r="AG5" s="9">
        <v>7626000000</v>
      </c>
      <c r="AH5" s="9">
        <v>8314000000</v>
      </c>
      <c r="AI5" s="9">
        <v>9078000000</v>
      </c>
      <c r="AJ5" s="9">
        <v>9702000000</v>
      </c>
      <c r="AK5" s="9">
        <v>9118000000</v>
      </c>
      <c r="AL5" s="9">
        <v>9409000000</v>
      </c>
      <c r="AM5" s="9">
        <v>10633000000</v>
      </c>
      <c r="AN5" s="9">
        <v>11539000000</v>
      </c>
      <c r="AO5" s="9">
        <v>10282000000</v>
      </c>
      <c r="AP5" s="9">
        <v>10000000000</v>
      </c>
      <c r="AQ5" s="9">
        <v>11427000000</v>
      </c>
      <c r="AR5" s="9">
        <v>12156000000</v>
      </c>
      <c r="AS5" s="9">
        <v>10711000000</v>
      </c>
      <c r="AT5" s="9">
        <v>10872000000</v>
      </c>
      <c r="AU5" s="9">
        <v>11976000000</v>
      </c>
      <c r="AV5" s="9">
        <v>12574000000</v>
      </c>
      <c r="AW5" s="9">
        <v>10576000000</v>
      </c>
      <c r="AX5" s="9">
        <v>11040000000</v>
      </c>
      <c r="AY5" s="9">
        <v>12030000000</v>
      </c>
      <c r="AZ5" s="9">
        <v>12749000000</v>
      </c>
      <c r="BA5" s="9">
        <v>11035000000</v>
      </c>
      <c r="BB5" s="9">
        <v>11455000000</v>
      </c>
      <c r="BC5" s="9">
        <v>12340000000</v>
      </c>
      <c r="BD5" s="9">
        <v>13085000000</v>
      </c>
      <c r="BE5" s="9">
        <v>11137000000</v>
      </c>
      <c r="BF5" s="9">
        <v>11040000000</v>
      </c>
      <c r="BG5" s="9">
        <v>12248000000</v>
      </c>
      <c r="BH5" s="9">
        <v>12737000000</v>
      </c>
      <c r="BI5" s="9">
        <v>10517000000</v>
      </c>
      <c r="BJ5" s="9">
        <v>10494000000</v>
      </c>
      <c r="BK5" s="9">
        <v>8426000000</v>
      </c>
      <c r="BL5" s="9">
        <v>8674000000</v>
      </c>
      <c r="BM5" s="9">
        <v>7525000000</v>
      </c>
      <c r="BN5" s="9">
        <v>7510000000</v>
      </c>
      <c r="BO5" s="9">
        <v>8044000000</v>
      </c>
      <c r="BP5" s="9">
        <v>8267000000</v>
      </c>
      <c r="BQ5" s="9">
        <v>7169000000</v>
      </c>
      <c r="BR5" s="9">
        <v>7126000000</v>
      </c>
      <c r="BS5" s="9">
        <v>8393000000</v>
      </c>
      <c r="BT5" s="9">
        <v>9046000000</v>
      </c>
      <c r="BU5" s="9">
        <v>7379000000</v>
      </c>
      <c r="BV5" s="9">
        <v>7331000000</v>
      </c>
      <c r="BW5" s="9">
        <v>7690000000</v>
      </c>
      <c r="BX5" s="9">
        <v>7733000000</v>
      </c>
      <c r="BY5" s="9">
        <v>6103000000</v>
      </c>
      <c r="BZ5" s="9">
        <v>5932000000</v>
      </c>
      <c r="CA5" s="9">
        <v>6454000000</v>
      </c>
      <c r="CB5" s="9">
        <v>6476000000</v>
      </c>
      <c r="CC5" s="9">
        <v>5226000000</v>
      </c>
      <c r="CD5" s="9">
        <v>5551000000</v>
      </c>
      <c r="CE5" s="9">
        <v>6037000000</v>
      </c>
      <c r="CF5" s="9">
        <v>6310000000</v>
      </c>
      <c r="CG5" s="9">
        <v>5206000000</v>
      </c>
      <c r="CH5" s="9">
        <v>5154000000</v>
      </c>
      <c r="CI5" s="9">
        <v>5596000000</v>
      </c>
      <c r="CJ5" s="9">
        <v>5914000000</v>
      </c>
      <c r="CK5" s="9">
        <v>5078000000</v>
      </c>
      <c r="CL5" s="9">
        <v>4989000000</v>
      </c>
      <c r="CM5" s="9">
        <v>5671000000</v>
      </c>
      <c r="CN5" s="9">
        <v>5695000000</v>
      </c>
      <c r="CO5" s="9">
        <v>4502000000</v>
      </c>
      <c r="CP5" s="9">
        <v>4795000000</v>
      </c>
      <c r="CQ5" s="9">
        <v>5322000000</v>
      </c>
      <c r="CR5" s="9">
        <v>5368000000</v>
      </c>
      <c r="CS5" s="9">
        <v>4079000000</v>
      </c>
      <c r="CT5" s="9">
        <v>4238000000</v>
      </c>
      <c r="CU5" s="9">
        <v>4695000000</v>
      </c>
      <c r="CV5" s="9">
        <v>4653000000</v>
      </c>
      <c r="CW5" s="9">
        <v>3959000000</v>
      </c>
      <c r="CX5" s="9">
        <v>4903000000</v>
      </c>
      <c r="CY5" s="9">
        <v>5413000000</v>
      </c>
      <c r="CZ5" s="9">
        <v>5487000000</v>
      </c>
      <c r="DA5" s="9">
        <v>4256000000</v>
      </c>
      <c r="DB5" s="9">
        <v>4931000000</v>
      </c>
      <c r="DC5" s="9">
        <v>5195000000</v>
      </c>
      <c r="DD5" s="9">
        <v>5379000000</v>
      </c>
      <c r="DE5" s="9">
        <v>4428000000</v>
      </c>
      <c r="DF5" s="9">
        <v>4458000000</v>
      </c>
      <c r="DG5" s="9">
        <v>4747000000</v>
      </c>
      <c r="DH5" s="9">
        <v>5151000000</v>
      </c>
      <c r="DI5" s="9">
        <v>4457000000</v>
      </c>
      <c r="DJ5" s="9">
        <v>4701000000</v>
      </c>
      <c r="DK5" s="9">
        <v>4954000000</v>
      </c>
      <c r="DL5" s="9">
        <v>5075000000</v>
      </c>
      <c r="DM5" s="9">
        <v>4138000000</v>
      </c>
      <c r="DN5" s="9">
        <v>4476000000</v>
      </c>
      <c r="DO5" s="9">
        <v>4687000000</v>
      </c>
      <c r="DP5" s="9">
        <v>5286000000</v>
      </c>
      <c r="DQ5" s="9">
        <v>4194000000</v>
      </c>
      <c r="DR5" s="9">
        <v>4333000000</v>
      </c>
      <c r="DS5" s="9">
        <v>4895000000</v>
      </c>
      <c r="DT5" s="9">
        <v>4936000000</v>
      </c>
      <c r="DU5" s="9">
        <v>3854000000</v>
      </c>
      <c r="DV5" s="9">
        <v>4017000000</v>
      </c>
      <c r="DW5" s="9">
        <v>4461000000</v>
      </c>
      <c r="DX5" s="9">
        <v>4342000000</v>
      </c>
      <c r="DY5" s="9">
        <v>3352000000</v>
      </c>
      <c r="DZ5" s="9">
        <v>3373000000</v>
      </c>
      <c r="EA5" s="9">
        <v>3629000000</v>
      </c>
      <c r="EB5" s="9">
        <v>3899000000</v>
      </c>
      <c r="EC5" s="9">
        <v>3056000000</v>
      </c>
      <c r="ED5" s="9">
        <v>3244091000</v>
      </c>
      <c r="EE5" s="9">
        <v>3507503000</v>
      </c>
      <c r="EF5" s="9">
        <v>3550373000</v>
      </c>
      <c r="EG5" s="9">
        <v>2772000000</v>
      </c>
      <c r="EH5" s="9">
        <v>2879001000</v>
      </c>
      <c r="EI5" s="9">
        <v>3172116000</v>
      </c>
      <c r="EJ5" s="9">
        <v>3039523000</v>
      </c>
      <c r="EK5" s="9">
        <v>2480974000</v>
      </c>
      <c r="EL5" s="9">
        <v>2556009000</v>
      </c>
      <c r="EM5" s="9">
        <v>2792754000</v>
      </c>
      <c r="EN5" s="9">
        <v>2739308000</v>
      </c>
      <c r="EO5" s="9">
        <v>2148278000</v>
      </c>
      <c r="EP5" s="9">
        <v>2248912000</v>
      </c>
      <c r="EQ5" s="9">
        <v>2302564000</v>
      </c>
      <c r="ER5" s="9">
        <v>2429122000</v>
      </c>
      <c r="ES5" s="9">
        <v>1985188000</v>
      </c>
      <c r="ET5" s="9">
        <v>2026829000</v>
      </c>
      <c r="EU5" s="9">
        <v>2128320000.0000002</v>
      </c>
      <c r="EV5" s="9">
        <v>2313632000</v>
      </c>
      <c r="EW5" s="9">
        <v>1869050000</v>
      </c>
      <c r="EX5" s="9">
        <v>843924000</v>
      </c>
      <c r="EY5" s="9">
        <v>2483126000</v>
      </c>
      <c r="EZ5" s="9">
        <v>2435169000</v>
      </c>
      <c r="FA5" s="9">
        <v>1896122000</v>
      </c>
    </row>
    <row r="6" spans="1:257" x14ac:dyDescent="0.25">
      <c r="A6" t="s">
        <v>1</v>
      </c>
      <c r="B6" s="9">
        <v>4723000000</v>
      </c>
      <c r="C6" s="9">
        <v>4797000000</v>
      </c>
      <c r="D6" s="9">
        <v>4714000000</v>
      </c>
      <c r="E6" s="9">
        <v>4163000000</v>
      </c>
      <c r="F6" s="9">
        <v>4613000000</v>
      </c>
      <c r="G6" s="9">
        <v>4664000000</v>
      </c>
      <c r="H6" s="9">
        <v>4812000000</v>
      </c>
      <c r="I6" s="9">
        <v>4235000000</v>
      </c>
      <c r="J6" s="9">
        <v>4634000000</v>
      </c>
      <c r="K6" s="9">
        <v>4657000000</v>
      </c>
      <c r="L6" s="9">
        <v>4912000000</v>
      </c>
      <c r="M6" s="9">
        <v>4317000000</v>
      </c>
      <c r="N6" s="9">
        <v>4513000000</v>
      </c>
      <c r="O6" s="9">
        <v>4566000000</v>
      </c>
      <c r="P6" s="9">
        <v>4830000000</v>
      </c>
      <c r="Q6" s="9">
        <v>4091000000</v>
      </c>
      <c r="R6" s="9">
        <v>4088000000</v>
      </c>
      <c r="S6" s="9">
        <v>3977000000</v>
      </c>
      <c r="T6" s="9">
        <v>3787000000</v>
      </c>
      <c r="U6" s="9">
        <v>3505000000</v>
      </c>
      <c r="V6" s="9">
        <v>3578000000</v>
      </c>
      <c r="W6" s="9">
        <v>3471000000</v>
      </c>
      <c r="X6" s="9">
        <v>3013000000</v>
      </c>
      <c r="Y6" s="9">
        <v>3371000000</v>
      </c>
      <c r="Z6" s="9">
        <v>3566000000</v>
      </c>
      <c r="AA6" s="9">
        <v>3767000000</v>
      </c>
      <c r="AB6" s="9">
        <v>3921000000</v>
      </c>
      <c r="AC6" s="9">
        <v>3365000000</v>
      </c>
      <c r="AD6" s="9">
        <v>3440000000</v>
      </c>
      <c r="AE6" s="9">
        <v>3346000000</v>
      </c>
      <c r="AF6" s="9">
        <v>3543000000</v>
      </c>
      <c r="AG6" s="9">
        <v>2738000000</v>
      </c>
      <c r="AH6" s="9">
        <v>3155000000</v>
      </c>
      <c r="AI6" s="9">
        <v>3394000000</v>
      </c>
      <c r="AJ6" s="9">
        <v>3659000000</v>
      </c>
      <c r="AK6" s="9">
        <v>3513000000</v>
      </c>
      <c r="AL6" s="9">
        <v>3794000000</v>
      </c>
      <c r="AM6" s="9">
        <v>4131000000</v>
      </c>
      <c r="AN6" s="9">
        <v>4471000000</v>
      </c>
      <c r="AO6" s="9">
        <v>4069000000</v>
      </c>
      <c r="AP6" s="9">
        <v>4054000000</v>
      </c>
      <c r="AQ6" s="9">
        <v>4577000000</v>
      </c>
      <c r="AR6" s="9">
        <v>4748000000</v>
      </c>
      <c r="AS6" s="9">
        <v>4103000000</v>
      </c>
      <c r="AT6" s="9">
        <v>4357000000</v>
      </c>
      <c r="AU6" s="9">
        <v>4630000000</v>
      </c>
      <c r="AV6" s="9">
        <v>4819000000</v>
      </c>
      <c r="AW6" s="9">
        <v>4083000000</v>
      </c>
      <c r="AX6" s="9">
        <v>4315000000</v>
      </c>
      <c r="AY6" s="9">
        <v>4793000000</v>
      </c>
      <c r="AZ6" s="9">
        <v>4989000000</v>
      </c>
      <c r="BA6" s="9">
        <v>4324000000</v>
      </c>
      <c r="BB6" s="9">
        <v>4628000000</v>
      </c>
      <c r="BC6" s="9">
        <v>4853000000</v>
      </c>
      <c r="BD6" s="9">
        <v>5224000000</v>
      </c>
      <c r="BE6" s="9">
        <v>4348000000</v>
      </c>
      <c r="BF6" s="9">
        <v>4403000000</v>
      </c>
      <c r="BG6" s="9">
        <v>4875000000</v>
      </c>
      <c r="BH6" s="9">
        <v>4989000000</v>
      </c>
      <c r="BI6" s="9">
        <v>3948000000</v>
      </c>
      <c r="BJ6" s="9">
        <v>4279000000</v>
      </c>
      <c r="BK6" s="9">
        <v>2918000000</v>
      </c>
      <c r="BL6" s="9">
        <v>2955000000</v>
      </c>
      <c r="BM6" s="9">
        <v>2541000000</v>
      </c>
      <c r="BN6" s="9">
        <v>2651000000</v>
      </c>
      <c r="BO6" s="9">
        <v>2934000000</v>
      </c>
      <c r="BP6" s="9">
        <v>2913000000</v>
      </c>
      <c r="BQ6" s="9">
        <v>2590000000</v>
      </c>
      <c r="BR6" s="9">
        <v>2568000000</v>
      </c>
      <c r="BS6" s="9">
        <v>3020000000</v>
      </c>
      <c r="BT6" s="9">
        <v>3162000000</v>
      </c>
      <c r="BU6" s="9">
        <v>2624000000</v>
      </c>
      <c r="BV6" s="9">
        <v>2641000000</v>
      </c>
      <c r="BW6" s="9">
        <v>2884000000</v>
      </c>
      <c r="BX6" s="9">
        <v>2736000000</v>
      </c>
      <c r="BY6" s="9">
        <v>2145000000</v>
      </c>
      <c r="BZ6" s="9">
        <v>2063000000</v>
      </c>
      <c r="CA6" s="9">
        <v>2265000000</v>
      </c>
      <c r="CB6" s="9">
        <v>2110000000</v>
      </c>
      <c r="CC6" s="9">
        <v>1726000000</v>
      </c>
      <c r="CD6" s="9">
        <v>1996000000</v>
      </c>
      <c r="CE6" s="9">
        <v>2235000000</v>
      </c>
      <c r="CF6" s="9">
        <v>2146000000</v>
      </c>
      <c r="CG6" s="9">
        <v>1818000000</v>
      </c>
      <c r="CH6" s="9">
        <v>1821000000</v>
      </c>
      <c r="CI6" s="9">
        <v>2061000000</v>
      </c>
      <c r="CJ6" s="9">
        <v>2039000000</v>
      </c>
      <c r="CK6" s="9">
        <v>1753000000</v>
      </c>
      <c r="CL6" s="9">
        <v>1864000000</v>
      </c>
      <c r="CM6" s="9">
        <v>2168000000</v>
      </c>
      <c r="CN6" s="9">
        <v>2127000000</v>
      </c>
      <c r="CO6" s="9">
        <v>1617000000</v>
      </c>
      <c r="CP6" s="9">
        <v>1701000000</v>
      </c>
      <c r="CQ6" s="9">
        <v>2083000000</v>
      </c>
      <c r="CR6" s="9">
        <v>1927000000</v>
      </c>
      <c r="CS6" s="9">
        <v>1394000000</v>
      </c>
      <c r="CT6" s="9">
        <v>1428000000</v>
      </c>
      <c r="CU6" s="9">
        <v>1692000000</v>
      </c>
      <c r="CV6" s="9">
        <v>1579000000</v>
      </c>
      <c r="CW6" s="9">
        <v>1345000000</v>
      </c>
      <c r="CX6" s="9">
        <v>1393000000</v>
      </c>
      <c r="CY6" s="9">
        <v>1736000000</v>
      </c>
      <c r="CZ6" s="9">
        <v>1677000000</v>
      </c>
      <c r="DA6" s="9">
        <v>1398000000</v>
      </c>
      <c r="DB6" s="9">
        <v>1336000000</v>
      </c>
      <c r="DC6" s="9">
        <v>1706000000</v>
      </c>
      <c r="DD6" s="9">
        <v>1636000000</v>
      </c>
      <c r="DE6" s="9">
        <v>1331000000</v>
      </c>
      <c r="DF6" s="9">
        <v>1299000000</v>
      </c>
      <c r="DG6" s="9">
        <v>1446000000</v>
      </c>
      <c r="DH6" s="9">
        <v>1499000000</v>
      </c>
      <c r="DI6" s="9">
        <v>1318000000</v>
      </c>
      <c r="DJ6" s="9">
        <v>1452000000</v>
      </c>
      <c r="DK6" s="9">
        <v>1659000000</v>
      </c>
      <c r="DL6" s="9">
        <v>1609000000</v>
      </c>
      <c r="DM6" s="9">
        <v>1295000000</v>
      </c>
      <c r="DN6" s="9">
        <v>1488000000</v>
      </c>
      <c r="DO6" s="9">
        <v>1814000000</v>
      </c>
      <c r="DP6" s="9">
        <v>1906000000</v>
      </c>
      <c r="DQ6" s="9">
        <v>1530000000</v>
      </c>
      <c r="DR6" s="9">
        <v>1670000000</v>
      </c>
      <c r="DS6" s="9">
        <v>1949000000</v>
      </c>
      <c r="DT6" s="9">
        <v>1876000000</v>
      </c>
      <c r="DU6" s="9">
        <v>1445000000</v>
      </c>
      <c r="DV6" s="9">
        <v>1498000000</v>
      </c>
      <c r="DW6" s="9">
        <v>1760000000</v>
      </c>
      <c r="DX6" s="9">
        <v>1667000000</v>
      </c>
      <c r="DY6" s="9">
        <v>1242000000</v>
      </c>
      <c r="DZ6" s="9">
        <v>1260000000</v>
      </c>
      <c r="EA6" s="9">
        <v>1343000000</v>
      </c>
      <c r="EB6" s="9">
        <v>1464000000</v>
      </c>
      <c r="EC6" s="9">
        <v>1093000000</v>
      </c>
      <c r="ED6" s="9">
        <v>1263951000</v>
      </c>
      <c r="EE6" s="9">
        <v>1385344000</v>
      </c>
      <c r="EF6" s="9">
        <v>1373563000</v>
      </c>
      <c r="EG6" s="9">
        <v>1031519000</v>
      </c>
      <c r="EH6" s="9">
        <v>1191322000</v>
      </c>
      <c r="EI6" s="9">
        <v>1307256000</v>
      </c>
      <c r="EJ6" s="9">
        <v>1185758000</v>
      </c>
      <c r="EK6" s="9">
        <v>964049000</v>
      </c>
      <c r="EL6" s="9">
        <v>1075213000</v>
      </c>
      <c r="EM6" s="9">
        <v>1167285000</v>
      </c>
      <c r="EN6" s="9">
        <v>1099885000</v>
      </c>
      <c r="EO6" s="9">
        <v>866467000</v>
      </c>
      <c r="EP6" s="9">
        <v>1017185000</v>
      </c>
      <c r="EQ6" s="9">
        <v>995928000</v>
      </c>
      <c r="ER6" s="9">
        <v>1046412000</v>
      </c>
      <c r="ES6" s="9">
        <v>832544000</v>
      </c>
      <c r="ET6" s="9">
        <v>912758000</v>
      </c>
      <c r="EU6" s="9">
        <v>906477000</v>
      </c>
      <c r="EV6" s="9">
        <v>1020974000</v>
      </c>
      <c r="EW6" s="9">
        <v>861263000</v>
      </c>
      <c r="EX6" s="9">
        <v>191775000</v>
      </c>
      <c r="EY6" s="9">
        <v>1251933000</v>
      </c>
      <c r="EZ6" s="9">
        <v>1221200000</v>
      </c>
      <c r="FA6" s="9">
        <v>968251000</v>
      </c>
    </row>
    <row r="7" spans="1:257" x14ac:dyDescent="0.25">
      <c r="A7" t="s">
        <v>2</v>
      </c>
      <c r="B7" s="9">
        <v>7099000000</v>
      </c>
      <c r="C7" s="9">
        <v>7658000000</v>
      </c>
      <c r="D7" s="9">
        <v>7821000000</v>
      </c>
      <c r="E7" s="9">
        <v>6966000000</v>
      </c>
      <c r="F7" s="9">
        <v>6931000000</v>
      </c>
      <c r="G7" s="9">
        <v>7190000000</v>
      </c>
      <c r="H7" s="9">
        <v>7551000000</v>
      </c>
      <c r="I7" s="9">
        <v>7065000000</v>
      </c>
      <c r="J7" s="9">
        <v>6215000000</v>
      </c>
      <c r="K7" s="9">
        <v>7296000000</v>
      </c>
      <c r="L7" s="9">
        <v>7060000000</v>
      </c>
      <c r="M7" s="9">
        <v>6663000000</v>
      </c>
      <c r="N7" s="9">
        <v>5612000000</v>
      </c>
      <c r="O7" s="9">
        <v>6497000000</v>
      </c>
      <c r="P7" s="9">
        <v>6495000000</v>
      </c>
      <c r="Q7" s="9">
        <v>6400000000</v>
      </c>
      <c r="R7" s="9">
        <v>5376000000</v>
      </c>
      <c r="S7" s="9">
        <v>6065000000</v>
      </c>
      <c r="T7" s="9">
        <v>6342000000</v>
      </c>
      <c r="U7" s="9">
        <v>5515000000</v>
      </c>
      <c r="V7" s="9">
        <v>5033000000</v>
      </c>
      <c r="W7" s="9">
        <v>5181000000</v>
      </c>
      <c r="X7" s="9">
        <v>4137000000</v>
      </c>
      <c r="Y7" s="9">
        <v>5230000000</v>
      </c>
      <c r="Z7" s="9">
        <v>5502000000</v>
      </c>
      <c r="AA7" s="9">
        <v>5740000000</v>
      </c>
      <c r="AB7" s="9">
        <v>6076000000</v>
      </c>
      <c r="AC7" s="9">
        <v>5329000000</v>
      </c>
      <c r="AD7" s="9">
        <v>5038000000</v>
      </c>
      <c r="AE7" s="9">
        <v>5429000000</v>
      </c>
      <c r="AF7" s="9">
        <v>5878000000</v>
      </c>
      <c r="AG7" s="9">
        <v>4888000000</v>
      </c>
      <c r="AH7" s="9">
        <v>5159000000</v>
      </c>
      <c r="AI7" s="9">
        <v>5684000000</v>
      </c>
      <c r="AJ7" s="9">
        <v>6043000000</v>
      </c>
      <c r="AK7" s="9">
        <v>5605000000</v>
      </c>
      <c r="AL7" s="9">
        <v>5615000000</v>
      </c>
      <c r="AM7" s="9">
        <v>6502000000</v>
      </c>
      <c r="AN7" s="9">
        <v>7068000000</v>
      </c>
      <c r="AO7" s="9">
        <v>6213000000</v>
      </c>
      <c r="AP7" s="9">
        <v>5946000000</v>
      </c>
      <c r="AQ7" s="9">
        <v>6850000000</v>
      </c>
      <c r="AR7" s="9">
        <v>7408000000</v>
      </c>
      <c r="AS7" s="9">
        <v>6608000000</v>
      </c>
      <c r="AT7" s="9">
        <v>6515000000</v>
      </c>
      <c r="AU7" s="9">
        <v>7346000000</v>
      </c>
      <c r="AV7" s="9">
        <v>7755000000</v>
      </c>
      <c r="AW7" s="9">
        <v>6493000000</v>
      </c>
      <c r="AX7" s="9">
        <v>6725000000</v>
      </c>
      <c r="AY7" s="9">
        <v>7237000000</v>
      </c>
      <c r="AZ7" s="9">
        <v>7760000000</v>
      </c>
      <c r="BA7" s="9">
        <v>6711000000</v>
      </c>
      <c r="BB7" s="9">
        <v>6827000000</v>
      </c>
      <c r="BC7" s="9">
        <v>7487000000</v>
      </c>
      <c r="BD7" s="9">
        <v>7861000000</v>
      </c>
      <c r="BE7" s="9">
        <v>6789000000</v>
      </c>
      <c r="BF7" s="9">
        <v>6637000000</v>
      </c>
      <c r="BG7" s="9">
        <v>7373000000</v>
      </c>
      <c r="BH7" s="9">
        <v>7748000000</v>
      </c>
      <c r="BI7" s="9">
        <v>6569000000</v>
      </c>
      <c r="BJ7" s="9">
        <v>6215000000</v>
      </c>
      <c r="BK7" s="9">
        <v>5508000000</v>
      </c>
      <c r="BL7" s="9">
        <v>5719000000</v>
      </c>
      <c r="BM7" s="9">
        <v>4984000000</v>
      </c>
      <c r="BN7" s="9">
        <v>4859000000</v>
      </c>
      <c r="BO7" s="9">
        <v>5110000000</v>
      </c>
      <c r="BP7" s="9">
        <v>5354000000</v>
      </c>
      <c r="BQ7" s="9">
        <v>4579000000</v>
      </c>
      <c r="BR7" s="9">
        <v>4558000000</v>
      </c>
      <c r="BS7" s="9">
        <v>5373000000</v>
      </c>
      <c r="BT7" s="9">
        <v>5884000000</v>
      </c>
      <c r="BU7" s="9">
        <v>4755000000</v>
      </c>
      <c r="BV7" s="9">
        <v>4690000000</v>
      </c>
      <c r="BW7" s="9">
        <v>4806000000</v>
      </c>
      <c r="BX7" s="9">
        <v>4997000000</v>
      </c>
      <c r="BY7" s="9">
        <v>3958000000</v>
      </c>
      <c r="BZ7" s="9">
        <v>3869000000</v>
      </c>
      <c r="CA7" s="9">
        <v>4189000000</v>
      </c>
      <c r="CB7" s="9">
        <v>4366000000</v>
      </c>
      <c r="CC7" s="9">
        <v>3500000000</v>
      </c>
      <c r="CD7" s="9">
        <v>3555000000</v>
      </c>
      <c r="CE7" s="9">
        <v>3802000000</v>
      </c>
      <c r="CF7" s="9">
        <v>4164000000</v>
      </c>
      <c r="CG7" s="9">
        <v>3388000000</v>
      </c>
      <c r="CH7" s="9">
        <v>3333000000</v>
      </c>
      <c r="CI7" s="9">
        <v>3535000000</v>
      </c>
      <c r="CJ7" s="9">
        <v>3875000000</v>
      </c>
      <c r="CK7" s="9">
        <v>3325000000</v>
      </c>
      <c r="CL7" s="9">
        <v>3125000000</v>
      </c>
      <c r="CM7" s="9">
        <v>3503000000</v>
      </c>
      <c r="CN7" s="9">
        <v>3568000000</v>
      </c>
      <c r="CO7" s="9">
        <v>2885000000</v>
      </c>
      <c r="CP7" s="9">
        <v>3094000000</v>
      </c>
      <c r="CQ7" s="9">
        <v>3239000000</v>
      </c>
      <c r="CR7" s="9">
        <v>3441000000</v>
      </c>
      <c r="CS7" s="9">
        <v>2685000000</v>
      </c>
      <c r="CT7" s="9">
        <v>2810000000</v>
      </c>
      <c r="CU7" s="9">
        <v>3003000000</v>
      </c>
      <c r="CV7" s="9">
        <v>3074000000</v>
      </c>
      <c r="CW7" s="9">
        <v>2614000000</v>
      </c>
      <c r="CX7" s="9">
        <v>3510000000</v>
      </c>
      <c r="CY7" s="9">
        <v>3677000000</v>
      </c>
      <c r="CZ7" s="9">
        <v>3810000000</v>
      </c>
      <c r="DA7" s="9">
        <v>2858000000</v>
      </c>
      <c r="DB7" s="9">
        <v>3595000000</v>
      </c>
      <c r="DC7" s="9">
        <v>3489000000</v>
      </c>
      <c r="DD7" s="9">
        <v>3743000000</v>
      </c>
      <c r="DE7" s="9">
        <v>3097000000</v>
      </c>
      <c r="DF7" s="9">
        <v>3159000000</v>
      </c>
      <c r="DG7" s="9">
        <v>3301000000</v>
      </c>
      <c r="DH7" s="9">
        <v>3652000000</v>
      </c>
      <c r="DI7" s="9">
        <v>3139000000</v>
      </c>
      <c r="DJ7" s="9">
        <v>3249000000</v>
      </c>
      <c r="DK7" s="9">
        <v>3295000000</v>
      </c>
      <c r="DL7" s="9">
        <v>3466000000</v>
      </c>
      <c r="DM7" s="9">
        <v>2843000000</v>
      </c>
      <c r="DN7" s="9">
        <v>2988000000</v>
      </c>
      <c r="DO7" s="9">
        <v>2873000000</v>
      </c>
      <c r="DP7" s="9">
        <v>3380000000</v>
      </c>
      <c r="DQ7" s="9">
        <v>2664000000</v>
      </c>
      <c r="DR7" s="9">
        <v>2663000000</v>
      </c>
      <c r="DS7" s="9">
        <v>2946000000</v>
      </c>
      <c r="DT7" s="9">
        <v>3060000000</v>
      </c>
      <c r="DU7" s="9">
        <v>2409000000</v>
      </c>
      <c r="DV7" s="9">
        <v>2519000000</v>
      </c>
      <c r="DW7" s="9">
        <v>2701000000</v>
      </c>
      <c r="DX7" s="9">
        <v>2675000000</v>
      </c>
      <c r="DY7" s="9">
        <v>2110000000</v>
      </c>
      <c r="DZ7" s="9">
        <v>2113000000</v>
      </c>
      <c r="EA7" s="9">
        <v>2286000000</v>
      </c>
      <c r="EB7" s="9">
        <v>2435000000</v>
      </c>
      <c r="EC7" s="9">
        <v>1963000000</v>
      </c>
      <c r="ED7" s="9">
        <v>1980140000</v>
      </c>
      <c r="EE7" s="9">
        <v>2122159000</v>
      </c>
      <c r="EF7" s="9">
        <v>2176810000</v>
      </c>
      <c r="EG7" s="9">
        <v>1740481000</v>
      </c>
      <c r="EH7" s="9">
        <v>1687679000</v>
      </c>
      <c r="EI7" s="9">
        <v>1864860000</v>
      </c>
      <c r="EJ7" s="9">
        <v>1853765000</v>
      </c>
      <c r="EK7" s="9">
        <v>1516925000</v>
      </c>
      <c r="EL7" s="9">
        <v>1480796000</v>
      </c>
      <c r="EM7" s="9">
        <v>1625469000</v>
      </c>
      <c r="EN7" s="9">
        <v>1639423000</v>
      </c>
      <c r="EO7" s="9">
        <v>1281811000</v>
      </c>
      <c r="EP7" s="9">
        <v>1231727000</v>
      </c>
      <c r="EQ7" s="9">
        <v>1306636000</v>
      </c>
      <c r="ER7" s="9">
        <v>1382710000</v>
      </c>
      <c r="ES7" s="9">
        <v>1152644000</v>
      </c>
      <c r="ET7" s="9">
        <v>1114071000</v>
      </c>
      <c r="EU7" s="9">
        <v>1221843000</v>
      </c>
      <c r="EV7" s="9">
        <v>1292658000</v>
      </c>
      <c r="EW7" s="9">
        <v>1007787000</v>
      </c>
      <c r="EX7" s="9">
        <v>652149000</v>
      </c>
      <c r="EY7" s="9">
        <v>1231193000</v>
      </c>
      <c r="EZ7" s="9">
        <v>1213969000</v>
      </c>
      <c r="FA7" s="9">
        <v>927871000</v>
      </c>
    </row>
    <row r="9" spans="1:257" x14ac:dyDescent="0.25">
      <c r="A9" t="s">
        <v>3</v>
      </c>
      <c r="CX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</row>
    <row r="10" spans="1:257" x14ac:dyDescent="0.25">
      <c r="A10" t="s">
        <v>4</v>
      </c>
      <c r="B10" s="9">
        <v>4199000000</v>
      </c>
      <c r="C10" s="9">
        <v>3618000000</v>
      </c>
      <c r="D10" s="9">
        <v>3470000000</v>
      </c>
      <c r="E10" s="9">
        <v>3234000000</v>
      </c>
      <c r="F10" s="9">
        <v>4046000000</v>
      </c>
      <c r="G10" s="9">
        <v>3636000000</v>
      </c>
      <c r="H10" s="9">
        <v>3549000000</v>
      </c>
      <c r="I10" s="9">
        <v>3351000000</v>
      </c>
      <c r="J10" s="9">
        <v>3799000000</v>
      </c>
      <c r="K10" s="9">
        <v>3667000000</v>
      </c>
      <c r="L10" s="9">
        <v>3321000000</v>
      </c>
      <c r="M10" s="9">
        <v>3185000000</v>
      </c>
      <c r="N10" s="9">
        <v>3431000000</v>
      </c>
      <c r="O10" s="9">
        <v>3279000000</v>
      </c>
      <c r="P10" s="9">
        <v>3203000000</v>
      </c>
      <c r="Q10" s="9">
        <v>2967000000</v>
      </c>
      <c r="R10" s="9">
        <v>3336000000</v>
      </c>
      <c r="S10" s="9">
        <v>3122000000</v>
      </c>
      <c r="T10" s="9">
        <v>3017000000</v>
      </c>
      <c r="U10" s="9">
        <v>2669000000</v>
      </c>
      <c r="V10" s="9">
        <v>2589000000</v>
      </c>
      <c r="W10" s="9">
        <v>2511000000</v>
      </c>
      <c r="X10" s="9">
        <v>1983000000</v>
      </c>
      <c r="Y10" s="9">
        <v>2648000000</v>
      </c>
      <c r="Z10" s="9">
        <v>3224000000</v>
      </c>
      <c r="AA10" s="9">
        <v>3116000000</v>
      </c>
      <c r="AB10" s="9">
        <v>2996000000</v>
      </c>
      <c r="AC10" s="9">
        <v>2767000000</v>
      </c>
      <c r="AD10" s="9">
        <v>2914000000</v>
      </c>
      <c r="AE10" s="9">
        <v>2660000000</v>
      </c>
      <c r="AF10" s="9">
        <v>2887000000</v>
      </c>
      <c r="AG10" s="9">
        <v>2541000000</v>
      </c>
      <c r="AH10" s="9">
        <v>3057000000</v>
      </c>
      <c r="AI10" s="9">
        <v>3245000000</v>
      </c>
      <c r="AJ10" s="9">
        <v>3180000000</v>
      </c>
      <c r="AK10" s="9">
        <v>3352000000</v>
      </c>
      <c r="AL10" s="9">
        <v>3688000000</v>
      </c>
      <c r="AM10" s="9">
        <v>4009000000</v>
      </c>
      <c r="AN10" s="9">
        <v>3912000000</v>
      </c>
      <c r="AO10" s="9">
        <v>3761000000</v>
      </c>
      <c r="AP10" s="9">
        <v>3937000000</v>
      </c>
      <c r="AQ10" s="9">
        <v>4207000000</v>
      </c>
      <c r="AR10" s="9">
        <v>4204000000</v>
      </c>
      <c r="AS10" s="9">
        <v>4079000000</v>
      </c>
      <c r="AT10" s="9">
        <v>4338000000</v>
      </c>
      <c r="AU10" s="9">
        <v>4507000000</v>
      </c>
      <c r="AV10" s="9">
        <v>4384000000</v>
      </c>
      <c r="AW10" s="9">
        <v>3989000000</v>
      </c>
      <c r="AX10" s="9">
        <v>4319000000</v>
      </c>
      <c r="AY10" s="9">
        <v>4424000000</v>
      </c>
      <c r="AZ10" s="9">
        <v>4385000000</v>
      </c>
      <c r="BA10" s="9">
        <v>4182000000</v>
      </c>
      <c r="BB10" s="9">
        <v>4430000000</v>
      </c>
      <c r="BC10" s="9">
        <v>4630000000</v>
      </c>
      <c r="BD10" s="9">
        <v>4497000000</v>
      </c>
      <c r="BE10" s="9">
        <v>4181000000</v>
      </c>
      <c r="BF10" s="9">
        <v>4406000000</v>
      </c>
      <c r="BG10" s="9">
        <v>4523000000</v>
      </c>
      <c r="BH10" s="9">
        <v>4417000000</v>
      </c>
      <c r="BI10" s="9">
        <v>4076000000</v>
      </c>
      <c r="BJ10" s="9">
        <v>4547000000</v>
      </c>
      <c r="BK10" s="9">
        <v>3064000000</v>
      </c>
      <c r="BL10" s="9">
        <v>2878000000</v>
      </c>
      <c r="BM10" s="9">
        <v>2705000000</v>
      </c>
      <c r="BN10" s="9">
        <v>2978000000</v>
      </c>
      <c r="BO10" s="9">
        <v>2912000000</v>
      </c>
      <c r="BP10" s="9">
        <v>2844000000</v>
      </c>
      <c r="BQ10" s="9">
        <v>2624000000</v>
      </c>
      <c r="BR10" s="9">
        <v>2744000000</v>
      </c>
      <c r="BS10" s="9">
        <v>3139000000</v>
      </c>
      <c r="BT10" s="9">
        <v>3095000000</v>
      </c>
      <c r="BU10" s="9">
        <v>2796000000</v>
      </c>
      <c r="BV10" s="9">
        <v>3039000000</v>
      </c>
      <c r="BW10" s="9">
        <v>2896000000</v>
      </c>
      <c r="BX10" s="9">
        <v>2685000000</v>
      </c>
      <c r="BY10" s="9">
        <v>2325000000</v>
      </c>
      <c r="BZ10" s="9">
        <v>2587000000</v>
      </c>
      <c r="CA10" s="9">
        <v>2488000000</v>
      </c>
      <c r="CB10" s="9">
        <v>2296000000</v>
      </c>
      <c r="CC10" s="9">
        <v>2060000000</v>
      </c>
      <c r="CD10" s="9">
        <v>2293000000</v>
      </c>
      <c r="CE10" s="9">
        <v>2225000000</v>
      </c>
      <c r="CF10" s="9">
        <v>2192000000</v>
      </c>
      <c r="CG10" s="9">
        <v>2029000000</v>
      </c>
      <c r="CH10" s="9">
        <v>1986000000</v>
      </c>
      <c r="CI10" s="9">
        <v>2046000000</v>
      </c>
      <c r="CJ10" s="9">
        <v>1984000000</v>
      </c>
      <c r="CK10" s="9">
        <v>1874000000</v>
      </c>
      <c r="CL10" s="9">
        <v>1744000000</v>
      </c>
      <c r="CM10" s="9">
        <v>1997000000</v>
      </c>
      <c r="CN10" s="9">
        <v>1896000000</v>
      </c>
      <c r="CO10" s="9">
        <v>1650000000</v>
      </c>
      <c r="CP10" s="9">
        <v>1804000000</v>
      </c>
      <c r="CQ10" s="9">
        <v>1789000000</v>
      </c>
      <c r="CR10" s="9">
        <v>1881000000</v>
      </c>
      <c r="CS10" s="9">
        <v>1527000000</v>
      </c>
      <c r="CT10" s="9">
        <v>1562000000</v>
      </c>
      <c r="CU10" s="9">
        <v>1692000000</v>
      </c>
      <c r="CV10" s="9">
        <v>1561000000</v>
      </c>
      <c r="CW10" s="9">
        <v>1334000000</v>
      </c>
      <c r="CX10" s="9">
        <v>3351000000</v>
      </c>
      <c r="CY10" s="9">
        <v>2256000000</v>
      </c>
      <c r="CZ10" s="9">
        <v>2334000000</v>
      </c>
      <c r="DA10" s="9">
        <v>1938000000</v>
      </c>
      <c r="DB10" s="9">
        <v>3118000000</v>
      </c>
      <c r="DC10" s="9">
        <v>2390000000</v>
      </c>
      <c r="DD10" s="9">
        <v>2353000000</v>
      </c>
      <c r="DE10" s="9">
        <v>1953000000</v>
      </c>
      <c r="DF10" s="9">
        <v>2222000000</v>
      </c>
      <c r="DG10" s="9">
        <v>2064000000</v>
      </c>
      <c r="DH10" s="9">
        <v>2141000000</v>
      </c>
      <c r="DI10" s="9">
        <v>1857000000</v>
      </c>
      <c r="DJ10" s="9">
        <v>2076000000</v>
      </c>
      <c r="DK10" s="9">
        <v>2052000000</v>
      </c>
      <c r="DL10" s="9">
        <v>2023000000</v>
      </c>
      <c r="DM10" s="9">
        <v>1701000000</v>
      </c>
      <c r="DN10" s="9">
        <v>1909000000</v>
      </c>
      <c r="DO10" s="9">
        <v>2388000000</v>
      </c>
      <c r="DP10" s="9">
        <v>1965000000</v>
      </c>
      <c r="DQ10" s="9">
        <v>1631000000</v>
      </c>
      <c r="DR10" s="9">
        <v>1714000000</v>
      </c>
      <c r="DS10" s="9">
        <v>1940000000</v>
      </c>
      <c r="DT10" s="9">
        <v>1802000000</v>
      </c>
      <c r="DU10" s="9">
        <v>1530000000</v>
      </c>
      <c r="DV10" s="9">
        <v>1653000000</v>
      </c>
      <c r="DW10" s="9">
        <v>1701000000</v>
      </c>
      <c r="DX10" s="9">
        <v>1605000000</v>
      </c>
      <c r="DY10" s="9">
        <v>1338000000</v>
      </c>
      <c r="DZ10" s="9">
        <v>1476000000</v>
      </c>
      <c r="EA10" s="9">
        <v>1457000000</v>
      </c>
      <c r="EB10" s="9">
        <v>1476000000</v>
      </c>
      <c r="EC10" s="9">
        <v>1286000000</v>
      </c>
      <c r="ED10" s="9">
        <v>1396917000</v>
      </c>
      <c r="EE10" s="9">
        <v>1351203000</v>
      </c>
      <c r="EF10" s="9">
        <v>1340276000</v>
      </c>
      <c r="EG10" s="9">
        <v>1160996000</v>
      </c>
      <c r="EH10" s="9">
        <v>1200601000</v>
      </c>
      <c r="EI10" s="9">
        <v>1220156000</v>
      </c>
      <c r="EJ10" s="9">
        <v>1160498000</v>
      </c>
      <c r="EK10" s="9">
        <v>1022929000</v>
      </c>
      <c r="EL10" s="9">
        <v>1059328000</v>
      </c>
      <c r="EM10" s="9">
        <v>1113039000</v>
      </c>
      <c r="EN10" s="9">
        <v>1059741000</v>
      </c>
      <c r="EO10" s="9">
        <v>843828000</v>
      </c>
      <c r="EP10" s="9">
        <v>849972000</v>
      </c>
      <c r="EQ10" s="9">
        <v>848336000</v>
      </c>
      <c r="ER10" s="9">
        <v>883935000</v>
      </c>
      <c r="ES10" s="9">
        <v>765689000</v>
      </c>
      <c r="ET10" s="9">
        <v>773356000</v>
      </c>
      <c r="EU10" s="9">
        <v>790416000</v>
      </c>
      <c r="EV10" s="9">
        <v>827201000</v>
      </c>
      <c r="EW10" s="9">
        <v>647085000</v>
      </c>
      <c r="EX10" s="9">
        <v>469902000</v>
      </c>
      <c r="EY10" s="9">
        <v>837039000</v>
      </c>
      <c r="EZ10" s="9">
        <v>790695000</v>
      </c>
      <c r="FA10" s="9">
        <v>603756000</v>
      </c>
      <c r="FB10" s="9"/>
    </row>
    <row r="11" spans="1:257" x14ac:dyDescent="0.25">
      <c r="A11" t="s">
        <v>5</v>
      </c>
      <c r="B11" s="9">
        <v>-1059000000</v>
      </c>
      <c r="C11" s="9">
        <v>-58000000</v>
      </c>
      <c r="D11" s="9">
        <v>-71000000</v>
      </c>
      <c r="E11" s="9">
        <v>-73000000</v>
      </c>
      <c r="F11" s="9">
        <v>-176000000</v>
      </c>
      <c r="G11" s="9">
        <v>-1044000000</v>
      </c>
      <c r="H11" s="9">
        <v>-1370000000</v>
      </c>
      <c r="I11" s="9">
        <v>-1573000000</v>
      </c>
      <c r="J11" s="9">
        <v>-143000000</v>
      </c>
      <c r="K11" s="9">
        <v>-359000000</v>
      </c>
      <c r="L11" s="9">
        <v>-1338000000</v>
      </c>
      <c r="M11" s="9">
        <v>-111000000</v>
      </c>
      <c r="N11" s="9">
        <v>-106000000</v>
      </c>
      <c r="O11" s="9">
        <v>-130000000</v>
      </c>
      <c r="P11" s="9">
        <v>-951000000</v>
      </c>
      <c r="Q11" s="9">
        <v>-28000000</v>
      </c>
      <c r="R11" s="9">
        <v>-368000000</v>
      </c>
      <c r="S11" s="9">
        <v>-45000000</v>
      </c>
      <c r="T11" s="9">
        <v>-309000000</v>
      </c>
      <c r="U11" s="9">
        <v>-124000000</v>
      </c>
      <c r="V11" s="9">
        <v>-106000000</v>
      </c>
      <c r="W11" s="9">
        <v>-372000000</v>
      </c>
      <c r="X11" s="9">
        <v>-173000000</v>
      </c>
      <c r="Y11" s="9">
        <v>-202000000</v>
      </c>
      <c r="Z11" s="9">
        <v>-114000000</v>
      </c>
      <c r="AA11" s="9">
        <v>-125000000</v>
      </c>
      <c r="AB11" s="9">
        <v>-92000000</v>
      </c>
      <c r="AC11" s="9">
        <v>-127000000</v>
      </c>
      <c r="AD11" s="9">
        <v>-163000000</v>
      </c>
      <c r="AE11" s="9">
        <v>-155000000</v>
      </c>
      <c r="AF11" s="9">
        <v>-225000000</v>
      </c>
      <c r="AG11" s="9">
        <v>-536000000</v>
      </c>
      <c r="AH11" s="9">
        <v>-592000000</v>
      </c>
      <c r="AI11" s="9">
        <v>-194000000</v>
      </c>
      <c r="AJ11" s="9">
        <v>-826000000</v>
      </c>
      <c r="AK11" s="9">
        <v>-290000000</v>
      </c>
      <c r="AL11" s="9">
        <v>-541000000</v>
      </c>
      <c r="AM11" s="9">
        <v>-222000000</v>
      </c>
      <c r="AN11" s="9">
        <v>-297000000</v>
      </c>
      <c r="AO11" s="9">
        <v>-311000000</v>
      </c>
      <c r="AP11" s="9">
        <v>-491000000</v>
      </c>
      <c r="AQ11" s="9">
        <v>-264000000</v>
      </c>
      <c r="AR11" s="9">
        <v>-669000000</v>
      </c>
      <c r="AS11" s="9">
        <v>-233000000</v>
      </c>
      <c r="AT11" s="9">
        <v>-726000000</v>
      </c>
      <c r="AU11" s="9">
        <v>-128000000</v>
      </c>
      <c r="AV11" s="9">
        <v>-201000000</v>
      </c>
      <c r="AW11" s="9">
        <v>-128000000</v>
      </c>
      <c r="AX11" s="9">
        <v>-301000000</v>
      </c>
      <c r="AY11" s="9">
        <v>-341000000</v>
      </c>
      <c r="AZ11" s="9">
        <v>-132000000</v>
      </c>
      <c r="BA11" s="9">
        <v>-121000000</v>
      </c>
      <c r="BB11" s="9">
        <v>-214000000</v>
      </c>
      <c r="BC11" s="9">
        <v>-64000000</v>
      </c>
      <c r="BD11" s="9">
        <v>-70000000</v>
      </c>
      <c r="BE11" s="9">
        <v>-99000000</v>
      </c>
      <c r="BF11" s="9">
        <v>-275000000</v>
      </c>
      <c r="BG11" s="9">
        <v>-96000000</v>
      </c>
      <c r="BH11" s="9">
        <v>-152000000</v>
      </c>
      <c r="BI11" s="9">
        <v>-209000000</v>
      </c>
      <c r="BJ11" s="9">
        <v>-545000000</v>
      </c>
      <c r="BK11" s="9">
        <v>-100000000</v>
      </c>
      <c r="BL11" s="9">
        <v>-78000000</v>
      </c>
      <c r="BM11" s="9">
        <v>-96000000</v>
      </c>
      <c r="BN11" s="9">
        <v>-101000000</v>
      </c>
      <c r="BO11" s="9">
        <v>-48000000</v>
      </c>
      <c r="BP11" s="9">
        <v>-72000000</v>
      </c>
      <c r="BQ11" s="9">
        <v>-92000000</v>
      </c>
      <c r="BR11" s="9">
        <v>-108000000</v>
      </c>
      <c r="BS11" s="9">
        <v>-47000000</v>
      </c>
      <c r="BT11" s="9">
        <v>-110000000</v>
      </c>
      <c r="BU11" s="9">
        <v>-85000000</v>
      </c>
      <c r="BV11" s="9">
        <v>-125000000</v>
      </c>
      <c r="BW11" s="9">
        <v>-81000000</v>
      </c>
      <c r="BX11" s="9">
        <v>-42000000</v>
      </c>
      <c r="BY11" s="9">
        <v>-6000000</v>
      </c>
      <c r="BZ11" s="9">
        <v>-70000000</v>
      </c>
      <c r="CA11" s="9">
        <v>-39000000</v>
      </c>
      <c r="CB11" s="9">
        <v>-31000000</v>
      </c>
      <c r="CC11" s="9">
        <v>-45000000</v>
      </c>
      <c r="CD11" s="9">
        <v>0</v>
      </c>
      <c r="CE11" s="9">
        <v>-85000000</v>
      </c>
      <c r="CF11" s="9">
        <v>0</v>
      </c>
      <c r="CG11" s="9">
        <v>0</v>
      </c>
      <c r="CH11" s="9">
        <v>0</v>
      </c>
      <c r="CI11" s="9">
        <v>-392000000</v>
      </c>
      <c r="CJ11" s="9">
        <v>-88000000</v>
      </c>
      <c r="CK11" s="9">
        <v>0</v>
      </c>
      <c r="CL11" s="9">
        <v>-289000000</v>
      </c>
      <c r="CM11" s="9">
        <v>-55000000</v>
      </c>
      <c r="CN11" s="9">
        <v>-70000000</v>
      </c>
      <c r="CO11" s="9">
        <v>-159000000</v>
      </c>
      <c r="CP11" s="9">
        <v>0</v>
      </c>
      <c r="CQ11" s="9">
        <v>0</v>
      </c>
      <c r="CR11" s="9">
        <v>0</v>
      </c>
      <c r="CS11" s="9">
        <v>0</v>
      </c>
      <c r="CT11" s="9">
        <v>0</v>
      </c>
      <c r="CU11" s="9">
        <v>0</v>
      </c>
      <c r="CV11" s="9">
        <v>0</v>
      </c>
      <c r="CW11" s="9">
        <v>0</v>
      </c>
      <c r="CX11" s="9">
        <v>-478000000</v>
      </c>
      <c r="CY11" s="9">
        <v>-94000000</v>
      </c>
      <c r="CZ11" s="9">
        <v>-191000000</v>
      </c>
      <c r="DA11" s="9">
        <v>-680000000</v>
      </c>
      <c r="DB11" s="9">
        <v>0</v>
      </c>
      <c r="DC11" s="9">
        <v>0</v>
      </c>
      <c r="DD11" s="9">
        <v>0</v>
      </c>
      <c r="DE11" s="9">
        <v>0</v>
      </c>
      <c r="DF11" s="9">
        <v>0</v>
      </c>
      <c r="DG11" s="9">
        <v>0</v>
      </c>
      <c r="DH11" s="9">
        <v>0</v>
      </c>
      <c r="DI11" s="9">
        <v>0</v>
      </c>
      <c r="DJ11" s="9">
        <v>0</v>
      </c>
      <c r="DK11" s="9">
        <v>0</v>
      </c>
      <c r="DL11" s="9">
        <v>0</v>
      </c>
      <c r="DM11" s="9">
        <v>0</v>
      </c>
      <c r="DN11" s="9">
        <v>0</v>
      </c>
      <c r="DO11" s="9">
        <v>0</v>
      </c>
      <c r="DP11" s="9">
        <v>0</v>
      </c>
      <c r="DQ11" s="9">
        <v>0</v>
      </c>
      <c r="DR11" s="9">
        <v>0</v>
      </c>
      <c r="DS11" s="9">
        <v>0</v>
      </c>
      <c r="DT11" s="9">
        <v>0</v>
      </c>
      <c r="DU11" s="9">
        <v>0</v>
      </c>
      <c r="DV11" s="9">
        <v>0</v>
      </c>
      <c r="DW11" s="9">
        <v>0</v>
      </c>
      <c r="DX11" s="9">
        <v>0</v>
      </c>
      <c r="DY11" s="9">
        <v>0</v>
      </c>
      <c r="DZ11" s="9">
        <v>0</v>
      </c>
      <c r="EA11" s="9">
        <v>0</v>
      </c>
      <c r="EB11" s="9">
        <v>0</v>
      </c>
      <c r="EC11" s="9">
        <v>0</v>
      </c>
      <c r="ED11" s="9">
        <v>0</v>
      </c>
      <c r="EE11" s="9">
        <v>0</v>
      </c>
      <c r="EF11" s="9">
        <v>0</v>
      </c>
      <c r="EG11" s="9">
        <v>0</v>
      </c>
      <c r="EH11" s="9">
        <v>0</v>
      </c>
      <c r="EI11" s="9">
        <v>0</v>
      </c>
      <c r="EJ11" s="9">
        <v>0</v>
      </c>
      <c r="EK11" s="9">
        <v>0</v>
      </c>
      <c r="EL11" s="9">
        <v>0</v>
      </c>
      <c r="EM11" s="9">
        <v>0</v>
      </c>
      <c r="EN11" s="9">
        <v>0</v>
      </c>
      <c r="EO11" s="9">
        <v>0</v>
      </c>
      <c r="EP11" s="9">
        <v>0</v>
      </c>
      <c r="EQ11" s="9">
        <v>0</v>
      </c>
      <c r="ER11" s="9">
        <v>0</v>
      </c>
      <c r="ES11" s="9">
        <v>0</v>
      </c>
      <c r="ET11" s="9">
        <v>0</v>
      </c>
      <c r="EU11" s="9">
        <v>0</v>
      </c>
      <c r="EV11" s="9">
        <v>0</v>
      </c>
      <c r="EW11" s="9">
        <v>0</v>
      </c>
      <c r="EX11" s="9">
        <v>0</v>
      </c>
      <c r="EY11" s="9">
        <v>0</v>
      </c>
      <c r="EZ11" s="9">
        <v>0</v>
      </c>
      <c r="FA11" s="9">
        <v>0</v>
      </c>
      <c r="FB11" s="9"/>
    </row>
    <row r="12" spans="1:257" x14ac:dyDescent="0.25">
      <c r="A12" t="s">
        <v>6</v>
      </c>
      <c r="B12" s="9">
        <v>5258000000</v>
      </c>
      <c r="C12" s="9">
        <v>3676000000</v>
      </c>
      <c r="D12" s="9">
        <v>3541000000</v>
      </c>
      <c r="E12" s="9">
        <v>3307000000</v>
      </c>
      <c r="F12" s="9">
        <v>4222000000</v>
      </c>
      <c r="G12" s="9">
        <v>4680000000</v>
      </c>
      <c r="H12" s="9">
        <v>4919000000</v>
      </c>
      <c r="I12" s="9">
        <v>4924000000</v>
      </c>
      <c r="J12" s="9">
        <v>3942000000</v>
      </c>
      <c r="K12" s="9">
        <v>4026000000</v>
      </c>
      <c r="L12" s="9">
        <v>4659000000</v>
      </c>
      <c r="M12" s="9">
        <v>3296000000</v>
      </c>
      <c r="N12" s="9">
        <v>3537000000</v>
      </c>
      <c r="O12" s="9">
        <v>3409000000</v>
      </c>
      <c r="P12" s="9">
        <v>4154000000</v>
      </c>
      <c r="Q12" s="9">
        <v>2995000000</v>
      </c>
      <c r="R12" s="9">
        <v>3704000000</v>
      </c>
      <c r="S12" s="9">
        <v>3167000000</v>
      </c>
      <c r="T12" s="9">
        <v>3326000000</v>
      </c>
      <c r="U12" s="9">
        <v>2793000000</v>
      </c>
      <c r="V12" s="9">
        <v>2695000000</v>
      </c>
      <c r="W12" s="9">
        <v>2883000000</v>
      </c>
      <c r="X12" s="9">
        <v>2156000000</v>
      </c>
      <c r="Y12" s="9">
        <v>2850000000</v>
      </c>
      <c r="Z12" s="9">
        <v>3338000000</v>
      </c>
      <c r="AA12" s="9">
        <v>3241000000</v>
      </c>
      <c r="AB12" s="9">
        <v>3088000000</v>
      </c>
      <c r="AC12" s="9">
        <v>2894000000</v>
      </c>
      <c r="AD12" s="9">
        <v>3077000000</v>
      </c>
      <c r="AE12" s="9">
        <v>2815000000</v>
      </c>
      <c r="AF12" s="9">
        <v>3112000000</v>
      </c>
      <c r="AG12" s="9">
        <v>3077000000</v>
      </c>
      <c r="AH12" s="9">
        <v>3649000000</v>
      </c>
      <c r="AI12" s="9">
        <v>3439000000</v>
      </c>
      <c r="AJ12" s="9">
        <v>4006000000</v>
      </c>
      <c r="AK12" s="9">
        <v>3642000000</v>
      </c>
      <c r="AL12" s="9">
        <v>4229000000</v>
      </c>
      <c r="AM12" s="9">
        <v>4231000000</v>
      </c>
      <c r="AN12" s="9">
        <v>4209000000</v>
      </c>
      <c r="AO12" s="9">
        <v>4072000000</v>
      </c>
      <c r="AP12" s="9">
        <v>4428000000</v>
      </c>
      <c r="AQ12" s="9">
        <v>4471000000</v>
      </c>
      <c r="AR12" s="9">
        <v>4873000000</v>
      </c>
      <c r="AS12" s="9">
        <v>4312000000</v>
      </c>
      <c r="AT12" s="9">
        <v>5064000000</v>
      </c>
      <c r="AU12" s="9">
        <v>4635000000</v>
      </c>
      <c r="AV12" s="9">
        <v>4585000000</v>
      </c>
      <c r="AW12" s="9">
        <v>4117000000</v>
      </c>
      <c r="AX12" s="9">
        <v>4620000000</v>
      </c>
      <c r="AY12" s="9">
        <v>4765000000</v>
      </c>
      <c r="AZ12" s="9">
        <v>4517000000</v>
      </c>
      <c r="BA12" s="9">
        <v>4303000000</v>
      </c>
      <c r="BB12" s="9">
        <v>4644000000</v>
      </c>
      <c r="BC12" s="9">
        <v>4694000000</v>
      </c>
      <c r="BD12" s="9">
        <v>4567000000</v>
      </c>
      <c r="BE12" s="9">
        <v>4280000000</v>
      </c>
      <c r="BF12" s="9">
        <v>4681000000</v>
      </c>
      <c r="BG12" s="9">
        <v>4619000000</v>
      </c>
      <c r="BH12" s="9">
        <v>4569000000</v>
      </c>
      <c r="BI12" s="9">
        <v>4285000000</v>
      </c>
      <c r="BJ12" s="9">
        <v>5092000000</v>
      </c>
      <c r="BK12" s="9">
        <v>3164000000</v>
      </c>
      <c r="BL12" s="9">
        <v>2956000000</v>
      </c>
      <c r="BM12" s="9">
        <v>2801000000</v>
      </c>
      <c r="BN12" s="9">
        <v>3079000000</v>
      </c>
      <c r="BO12" s="9">
        <v>2960000000</v>
      </c>
      <c r="BP12" s="9">
        <v>2916000000</v>
      </c>
      <c r="BQ12" s="9">
        <v>2716000000</v>
      </c>
      <c r="BR12" s="9">
        <v>2852000000</v>
      </c>
      <c r="BS12" s="9">
        <v>3186000000</v>
      </c>
      <c r="BT12" s="9">
        <v>3205000000</v>
      </c>
      <c r="BU12" s="9">
        <v>2881000000</v>
      </c>
      <c r="BV12" s="9">
        <v>3164000000</v>
      </c>
      <c r="BW12" s="9">
        <v>2977000000</v>
      </c>
      <c r="BX12" s="9">
        <v>2727000000</v>
      </c>
      <c r="BY12" s="9">
        <v>2331000000</v>
      </c>
      <c r="BZ12" s="9">
        <v>2657000000</v>
      </c>
      <c r="CA12" s="9">
        <v>2527000000</v>
      </c>
      <c r="CB12" s="9">
        <v>2327000000</v>
      </c>
      <c r="CC12" s="9">
        <v>2105000000</v>
      </c>
      <c r="CD12" s="9">
        <v>2293000000</v>
      </c>
      <c r="CE12" s="9">
        <v>2310000000</v>
      </c>
      <c r="CF12" s="9">
        <v>2192000000</v>
      </c>
      <c r="CG12" s="9">
        <v>2029000000</v>
      </c>
      <c r="CH12" s="9">
        <v>1986000000</v>
      </c>
      <c r="CI12" s="9">
        <v>2438000000</v>
      </c>
      <c r="CJ12" s="9">
        <v>2072000000</v>
      </c>
      <c r="CK12" s="9">
        <v>1874000000</v>
      </c>
      <c r="CL12" s="9">
        <v>2033000000</v>
      </c>
      <c r="CM12" s="9">
        <v>2052000000</v>
      </c>
      <c r="CN12" s="9">
        <v>1966000000</v>
      </c>
      <c r="CO12" s="9">
        <v>1809000000</v>
      </c>
      <c r="CP12" s="9">
        <v>1804000000</v>
      </c>
      <c r="CQ12" s="9">
        <v>1789000000</v>
      </c>
      <c r="CR12" s="9">
        <v>1881000000</v>
      </c>
      <c r="CS12" s="9">
        <v>1527000000</v>
      </c>
      <c r="CT12" s="9">
        <v>1562000000</v>
      </c>
      <c r="CU12" s="9">
        <v>1692000000</v>
      </c>
      <c r="CV12" s="9">
        <v>1561000000</v>
      </c>
      <c r="CW12" s="9">
        <v>1334000000</v>
      </c>
      <c r="CX12" s="9">
        <v>3351000000</v>
      </c>
      <c r="CY12" s="9">
        <v>2350000000</v>
      </c>
      <c r="CZ12" s="9">
        <v>2525000000</v>
      </c>
      <c r="DA12" s="9">
        <v>2618000000</v>
      </c>
      <c r="DB12" s="9">
        <v>3118000000</v>
      </c>
      <c r="DC12" s="9">
        <v>2390000000</v>
      </c>
      <c r="DD12" s="9">
        <v>2353000000</v>
      </c>
      <c r="DE12" s="9">
        <v>1953000000</v>
      </c>
      <c r="DF12" s="9">
        <v>2222000000</v>
      </c>
      <c r="DG12" s="9">
        <v>2064000000</v>
      </c>
      <c r="DH12" s="9">
        <v>2141000000</v>
      </c>
      <c r="DI12" s="9">
        <v>1857000000</v>
      </c>
      <c r="DJ12" s="9">
        <v>2076000000</v>
      </c>
      <c r="DK12" s="9">
        <v>2052000000</v>
      </c>
      <c r="DL12" s="9">
        <v>2023000000</v>
      </c>
      <c r="DM12" s="9">
        <v>1701000000</v>
      </c>
      <c r="DN12" s="9">
        <v>1909000000</v>
      </c>
      <c r="DO12" s="9">
        <v>2388000000</v>
      </c>
      <c r="DP12" s="9">
        <v>1965000000</v>
      </c>
      <c r="DQ12" s="9">
        <v>1631000000</v>
      </c>
      <c r="DR12" s="9">
        <v>1714000000</v>
      </c>
      <c r="DS12" s="9">
        <v>1940000000</v>
      </c>
      <c r="DT12" s="9">
        <v>1802000000</v>
      </c>
      <c r="DU12" s="9">
        <v>1530000000</v>
      </c>
      <c r="DV12" s="9">
        <v>1653000000</v>
      </c>
      <c r="DW12" s="9">
        <v>1701000000</v>
      </c>
      <c r="DX12" s="9">
        <v>1605000000</v>
      </c>
      <c r="DY12" s="9">
        <v>1338000000</v>
      </c>
      <c r="DZ12" s="9">
        <v>1476000000</v>
      </c>
      <c r="EA12" s="9">
        <v>1457000000</v>
      </c>
      <c r="EB12" s="9">
        <v>1476000000</v>
      </c>
      <c r="EC12" s="9">
        <v>1286000000</v>
      </c>
      <c r="ED12" s="9">
        <v>1396917000</v>
      </c>
      <c r="EE12" s="9">
        <v>1351203000</v>
      </c>
      <c r="EF12" s="9">
        <v>1340276000</v>
      </c>
      <c r="EG12" s="9">
        <v>1160996000</v>
      </c>
      <c r="EH12" s="9">
        <v>1200601000</v>
      </c>
      <c r="EI12" s="9">
        <v>1220156000</v>
      </c>
      <c r="EJ12" s="9">
        <v>1160498000</v>
      </c>
      <c r="EK12" s="9">
        <v>1022929000</v>
      </c>
      <c r="EL12" s="9">
        <v>1059328000</v>
      </c>
      <c r="EM12" s="9">
        <v>1113039000</v>
      </c>
      <c r="EN12" s="9">
        <v>1059741000</v>
      </c>
      <c r="EO12" s="9">
        <v>843828000</v>
      </c>
      <c r="EP12" s="9">
        <v>849972000</v>
      </c>
      <c r="EQ12" s="9">
        <v>848336000</v>
      </c>
      <c r="ER12" s="9">
        <v>883935000</v>
      </c>
      <c r="ES12" s="9">
        <v>765689000</v>
      </c>
      <c r="ET12" s="9">
        <v>773356000</v>
      </c>
      <c r="EU12" s="9">
        <v>790416000</v>
      </c>
      <c r="EV12" s="9">
        <v>827201000</v>
      </c>
      <c r="EW12" s="9">
        <v>647085000</v>
      </c>
      <c r="EX12" s="9">
        <v>469902000</v>
      </c>
      <c r="EY12" s="9">
        <v>837039000</v>
      </c>
      <c r="EZ12" s="9">
        <v>790695000</v>
      </c>
      <c r="FA12" s="9">
        <v>603756000</v>
      </c>
      <c r="FB12" s="9"/>
    </row>
    <row r="13" spans="1:257" x14ac:dyDescent="0.25">
      <c r="A13" t="s">
        <v>7</v>
      </c>
      <c r="B13" s="9">
        <v>1841000000</v>
      </c>
      <c r="C13" s="9">
        <v>3982000000</v>
      </c>
      <c r="D13" s="9">
        <v>4280000000</v>
      </c>
      <c r="E13" s="9">
        <v>3659000000</v>
      </c>
      <c r="F13" s="9">
        <v>2709000000</v>
      </c>
      <c r="G13" s="9">
        <v>2510000000</v>
      </c>
      <c r="H13" s="9">
        <v>2632000000</v>
      </c>
      <c r="I13" s="9">
        <v>2141000000</v>
      </c>
      <c r="J13" s="9">
        <v>2273000000</v>
      </c>
      <c r="K13" s="9">
        <v>3270000000</v>
      </c>
      <c r="L13" s="9">
        <v>2401000000</v>
      </c>
      <c r="M13" s="9">
        <v>3367000000</v>
      </c>
      <c r="N13" s="9">
        <v>2075000000</v>
      </c>
      <c r="O13" s="9">
        <v>3088000000</v>
      </c>
      <c r="P13" s="9">
        <v>2341000000</v>
      </c>
      <c r="Q13" s="9">
        <v>3405000000</v>
      </c>
      <c r="R13" s="9">
        <v>1672000000</v>
      </c>
      <c r="S13" s="9">
        <v>2898000000</v>
      </c>
      <c r="T13" s="9">
        <v>3016000000</v>
      </c>
      <c r="U13" s="9">
        <v>2722000000</v>
      </c>
      <c r="V13" s="9">
        <v>2338000000</v>
      </c>
      <c r="W13" s="9">
        <v>2298000000</v>
      </c>
      <c r="X13" s="9">
        <v>1981000000</v>
      </c>
      <c r="Y13" s="9">
        <v>2380000000</v>
      </c>
      <c r="Z13" s="9">
        <v>2164000000</v>
      </c>
      <c r="AA13" s="9">
        <v>2499000000</v>
      </c>
      <c r="AB13" s="9">
        <v>2988000000</v>
      </c>
      <c r="AC13" s="9">
        <v>2435000000</v>
      </c>
      <c r="AD13" s="9">
        <v>1961000000</v>
      </c>
      <c r="AE13" s="9">
        <v>2614000000</v>
      </c>
      <c r="AF13" s="9">
        <v>2766000000</v>
      </c>
      <c r="AG13" s="9">
        <v>1811000000</v>
      </c>
      <c r="AH13" s="9">
        <v>1510000000</v>
      </c>
      <c r="AI13" s="9">
        <v>2245000000</v>
      </c>
      <c r="AJ13" s="9">
        <v>2037000000</v>
      </c>
      <c r="AK13" s="9">
        <v>1963000000</v>
      </c>
      <c r="AL13" s="9">
        <v>1386000000</v>
      </c>
      <c r="AM13" s="9">
        <v>2271000000</v>
      </c>
      <c r="AN13" s="9">
        <v>2859000000</v>
      </c>
      <c r="AO13" s="9">
        <v>2141000000</v>
      </c>
      <c r="AP13" s="9">
        <v>1518000000</v>
      </c>
      <c r="AQ13" s="9">
        <v>2379000000</v>
      </c>
      <c r="AR13" s="9">
        <v>2535000000</v>
      </c>
      <c r="AS13" s="9">
        <v>2296000000</v>
      </c>
      <c r="AT13" s="9">
        <v>1451000000</v>
      </c>
      <c r="AU13" s="9">
        <v>2711000000</v>
      </c>
      <c r="AV13" s="9">
        <v>3170000000</v>
      </c>
      <c r="AW13" s="9">
        <v>2376000000</v>
      </c>
      <c r="AX13" s="9">
        <v>2105000000</v>
      </c>
      <c r="AY13" s="9">
        <v>2472000000</v>
      </c>
      <c r="AZ13" s="9">
        <v>3243000000</v>
      </c>
      <c r="BA13" s="9">
        <v>2408000000</v>
      </c>
      <c r="BB13" s="9">
        <v>2183000000</v>
      </c>
      <c r="BC13" s="9">
        <v>2793000000</v>
      </c>
      <c r="BD13" s="9">
        <v>3294000000</v>
      </c>
      <c r="BE13" s="9">
        <v>2509000000</v>
      </c>
      <c r="BF13" s="9">
        <v>1956000000</v>
      </c>
      <c r="BG13" s="9">
        <v>2754000000</v>
      </c>
      <c r="BH13" s="9">
        <v>3179000000</v>
      </c>
      <c r="BI13" s="9">
        <v>2284000000</v>
      </c>
      <c r="BJ13" s="9">
        <v>1123000000</v>
      </c>
      <c r="BK13" s="9">
        <v>2344000000</v>
      </c>
      <c r="BL13" s="9">
        <v>2763000000</v>
      </c>
      <c r="BM13" s="9">
        <v>2183000000</v>
      </c>
      <c r="BN13" s="9">
        <v>1780000000</v>
      </c>
      <c r="BO13" s="9">
        <v>2150000000</v>
      </c>
      <c r="BP13" s="9">
        <v>2438000000</v>
      </c>
      <c r="BQ13" s="9">
        <v>1863000000</v>
      </c>
      <c r="BR13" s="9">
        <v>1706000000</v>
      </c>
      <c r="BS13" s="9">
        <v>2187000000</v>
      </c>
      <c r="BT13" s="9">
        <v>2679000000</v>
      </c>
      <c r="BU13" s="9">
        <v>1874000000</v>
      </c>
      <c r="BV13" s="9">
        <v>1526000000</v>
      </c>
      <c r="BW13" s="9">
        <v>1829000000</v>
      </c>
      <c r="BX13" s="9">
        <v>2270000000</v>
      </c>
      <c r="BY13" s="9">
        <v>1627000000</v>
      </c>
      <c r="BZ13" s="9">
        <v>1212000000</v>
      </c>
      <c r="CA13" s="9">
        <v>1662000000</v>
      </c>
      <c r="CB13" s="9">
        <v>2039000000</v>
      </c>
      <c r="CC13" s="9">
        <v>1395000000</v>
      </c>
      <c r="CD13" s="9">
        <v>1262000000</v>
      </c>
      <c r="CE13" s="9">
        <v>1492000000</v>
      </c>
      <c r="CF13" s="9">
        <v>1972000000</v>
      </c>
      <c r="CG13" s="9">
        <v>1359000000</v>
      </c>
      <c r="CH13" s="9">
        <v>1347000000</v>
      </c>
      <c r="CI13" s="9">
        <v>1097000000</v>
      </c>
      <c r="CJ13" s="9">
        <v>1803000000</v>
      </c>
      <c r="CK13" s="9">
        <v>1451000000</v>
      </c>
      <c r="CL13" s="9">
        <v>1092000000</v>
      </c>
      <c r="CM13" s="9">
        <v>1451000000</v>
      </c>
      <c r="CN13" s="9">
        <v>1602000000</v>
      </c>
      <c r="CO13" s="9">
        <v>1076000000</v>
      </c>
      <c r="CP13" s="9">
        <v>1290000000</v>
      </c>
      <c r="CQ13" s="9">
        <v>1450000000</v>
      </c>
      <c r="CR13" s="9">
        <v>1560000000</v>
      </c>
      <c r="CS13" s="9">
        <v>1158000000</v>
      </c>
      <c r="CT13" s="9">
        <v>1248000000</v>
      </c>
      <c r="CU13" s="9">
        <v>1311000000</v>
      </c>
      <c r="CV13" s="9">
        <v>1513000000</v>
      </c>
      <c r="CW13" s="9">
        <v>1280000000</v>
      </c>
      <c r="CX13" s="9">
        <v>159000000</v>
      </c>
      <c r="CY13" s="9">
        <v>1327000000</v>
      </c>
      <c r="CZ13" s="9">
        <v>1285000000</v>
      </c>
      <c r="DA13" s="9">
        <v>240000000</v>
      </c>
      <c r="DB13" s="9">
        <v>477000000</v>
      </c>
      <c r="DC13" s="9">
        <v>1099000000</v>
      </c>
      <c r="DD13" s="9">
        <v>1390000000</v>
      </c>
      <c r="DE13" s="9">
        <v>1144000000</v>
      </c>
      <c r="DF13" s="9">
        <v>937000000</v>
      </c>
      <c r="DG13" s="9">
        <v>1237000000</v>
      </c>
      <c r="DH13" s="9">
        <v>1511000000</v>
      </c>
      <c r="DI13" s="9">
        <v>1282000000</v>
      </c>
      <c r="DJ13" s="9">
        <v>1173000000</v>
      </c>
      <c r="DK13" s="9">
        <v>1243000000</v>
      </c>
      <c r="DL13" s="9">
        <v>1443000000</v>
      </c>
      <c r="DM13" s="9">
        <v>1142000000</v>
      </c>
      <c r="DN13" s="9">
        <v>1079000000</v>
      </c>
      <c r="DO13" s="9">
        <v>485000000</v>
      </c>
      <c r="DP13" s="9">
        <v>1415000000</v>
      </c>
      <c r="DQ13" s="9">
        <v>1033000000</v>
      </c>
      <c r="DR13" s="9">
        <v>949000000</v>
      </c>
      <c r="DS13" s="9">
        <v>1006000000</v>
      </c>
      <c r="DT13" s="9">
        <v>1258000000</v>
      </c>
      <c r="DU13" s="9">
        <v>879000000</v>
      </c>
      <c r="DV13" s="9">
        <v>866000000</v>
      </c>
      <c r="DW13" s="9">
        <v>1000000000</v>
      </c>
      <c r="DX13" s="9">
        <v>1070000000</v>
      </c>
      <c r="DY13" s="9">
        <v>772000000</v>
      </c>
      <c r="DZ13" s="9">
        <v>637000000</v>
      </c>
      <c r="EA13" s="9">
        <v>829000000</v>
      </c>
      <c r="EB13" s="9">
        <v>959000000</v>
      </c>
      <c r="EC13" s="9">
        <v>677000000</v>
      </c>
      <c r="ED13" s="9">
        <v>583222900</v>
      </c>
      <c r="EE13" s="9">
        <v>770956100</v>
      </c>
      <c r="EF13" s="9">
        <v>836534200</v>
      </c>
      <c r="EG13" s="9">
        <v>579484900</v>
      </c>
      <c r="EH13" s="9">
        <v>487078100</v>
      </c>
      <c r="EI13" s="9">
        <v>644703900</v>
      </c>
      <c r="EJ13" s="9">
        <v>693266800</v>
      </c>
      <c r="EK13" s="9">
        <v>493996100</v>
      </c>
      <c r="EL13" s="9">
        <v>421468000</v>
      </c>
      <c r="EM13" s="9">
        <v>512429900</v>
      </c>
      <c r="EN13" s="9">
        <v>579682100</v>
      </c>
      <c r="EO13" s="9">
        <v>437983200</v>
      </c>
      <c r="EP13" s="9">
        <v>381755100</v>
      </c>
      <c r="EQ13" s="9">
        <v>458300000</v>
      </c>
      <c r="ER13" s="9">
        <v>498775100</v>
      </c>
      <c r="ES13" s="9">
        <v>386955000</v>
      </c>
      <c r="ET13" s="9">
        <v>340715000</v>
      </c>
      <c r="EU13" s="9">
        <v>431427000</v>
      </c>
      <c r="EV13" s="9">
        <v>465457000</v>
      </c>
      <c r="EW13" s="9">
        <v>360702000</v>
      </c>
      <c r="EX13" s="9">
        <v>182247000</v>
      </c>
      <c r="EY13" s="9">
        <v>394154100</v>
      </c>
      <c r="EZ13" s="9">
        <v>423273900</v>
      </c>
      <c r="FA13" s="9">
        <v>324115000</v>
      </c>
      <c r="FB13" s="9"/>
    </row>
    <row r="14" spans="1:257" x14ac:dyDescent="0.25">
      <c r="A14" t="s">
        <v>8</v>
      </c>
      <c r="B14" s="9">
        <v>1121000000</v>
      </c>
      <c r="C14" s="9">
        <v>201000000</v>
      </c>
      <c r="D14" s="9">
        <v>516000000</v>
      </c>
      <c r="E14" s="9">
        <v>398000000</v>
      </c>
      <c r="F14" s="9">
        <v>97000000</v>
      </c>
      <c r="G14" s="9">
        <v>870000000</v>
      </c>
      <c r="H14" s="9">
        <v>396000000</v>
      </c>
      <c r="I14" s="9">
        <v>1731000000</v>
      </c>
      <c r="J14" s="9">
        <v>209000000</v>
      </c>
      <c r="K14" s="9">
        <v>267000000</v>
      </c>
      <c r="L14" s="9">
        <v>479000000</v>
      </c>
      <c r="M14" s="9">
        <v>686000000</v>
      </c>
      <c r="N14" s="9">
        <v>425000000</v>
      </c>
      <c r="O14" s="9">
        <v>356000000</v>
      </c>
      <c r="P14" s="9">
        <v>-57000000</v>
      </c>
      <c r="Q14" s="9">
        <v>53000000</v>
      </c>
      <c r="R14" s="9">
        <v>1288000000</v>
      </c>
      <c r="S14" s="9">
        <v>186000000</v>
      </c>
      <c r="T14" s="9">
        <v>602000000</v>
      </c>
      <c r="U14" s="9">
        <v>41000000</v>
      </c>
      <c r="V14" s="9">
        <v>23000000</v>
      </c>
      <c r="W14" s="9">
        <v>-117000000</v>
      </c>
      <c r="X14" s="9">
        <v>216000000</v>
      </c>
      <c r="Y14" s="9">
        <v>630000000</v>
      </c>
      <c r="Z14" s="9">
        <v>256000000</v>
      </c>
      <c r="AA14" s="9">
        <v>593000000</v>
      </c>
      <c r="AB14" s="9">
        <v>61000000</v>
      </c>
      <c r="AC14" s="9">
        <v>-210000000</v>
      </c>
      <c r="AD14" s="9">
        <v>-884000000</v>
      </c>
      <c r="AE14" s="9">
        <v>-241000000</v>
      </c>
      <c r="AF14" s="9">
        <v>176000000</v>
      </c>
      <c r="AG14" s="9">
        <v>22000000</v>
      </c>
      <c r="AH14" s="9">
        <v>-425000000</v>
      </c>
      <c r="AI14" s="9">
        <v>-571000000</v>
      </c>
      <c r="AJ14" s="9">
        <v>587000000</v>
      </c>
      <c r="AK14" s="9">
        <v>-456000000</v>
      </c>
      <c r="AL14" s="9">
        <v>-871000000</v>
      </c>
      <c r="AM14" s="9">
        <v>-843000000</v>
      </c>
      <c r="AN14" s="9">
        <v>1440000000</v>
      </c>
      <c r="AO14" s="9">
        <v>-247000000</v>
      </c>
      <c r="AP14" s="9">
        <v>20000000</v>
      </c>
      <c r="AQ14" s="9">
        <v>-654000000</v>
      </c>
      <c r="AR14" s="9">
        <v>1826000000</v>
      </c>
      <c r="AS14" s="9">
        <v>-315000000</v>
      </c>
      <c r="AT14" s="9">
        <v>-375000000</v>
      </c>
      <c r="AU14" s="9">
        <v>-51000000</v>
      </c>
      <c r="AV14" s="9">
        <v>214000000</v>
      </c>
      <c r="AW14" s="9">
        <v>-171000000</v>
      </c>
      <c r="AX14" s="9">
        <v>123000000</v>
      </c>
      <c r="AY14" s="9">
        <v>908000000</v>
      </c>
      <c r="AZ14" s="9">
        <v>282000000</v>
      </c>
      <c r="BA14" s="9">
        <v>-64000000</v>
      </c>
      <c r="BB14" s="9">
        <v>194000000</v>
      </c>
      <c r="BC14" s="9">
        <v>291000000</v>
      </c>
      <c r="BD14" s="9">
        <v>329000000</v>
      </c>
      <c r="BE14" s="9">
        <v>216000000</v>
      </c>
      <c r="BF14" s="9">
        <v>260000000</v>
      </c>
      <c r="BG14" s="9">
        <v>173000000</v>
      </c>
      <c r="BH14" s="9">
        <v>620000000</v>
      </c>
      <c r="BI14" s="9">
        <v>232000000</v>
      </c>
      <c r="BJ14" s="9">
        <v>5082000000</v>
      </c>
      <c r="BK14" s="9">
        <v>356000000</v>
      </c>
      <c r="BL14" s="9">
        <v>360000000</v>
      </c>
      <c r="BM14" s="9">
        <v>-4000000</v>
      </c>
      <c r="BN14" s="9">
        <v>180000000</v>
      </c>
      <c r="BO14" s="9">
        <v>293000000</v>
      </c>
      <c r="BP14" s="9">
        <v>290000000</v>
      </c>
      <c r="BQ14" s="9">
        <v>-48000000</v>
      </c>
      <c r="BR14" s="9">
        <v>-546000000</v>
      </c>
      <c r="BS14" s="9">
        <v>283000000</v>
      </c>
      <c r="BT14" s="9">
        <v>-762000000</v>
      </c>
      <c r="BU14" s="9">
        <v>85000000</v>
      </c>
      <c r="BV14" s="9">
        <v>143000000</v>
      </c>
      <c r="BW14" s="9">
        <v>284000000</v>
      </c>
      <c r="BX14" s="9">
        <v>138000000</v>
      </c>
      <c r="BY14" s="9">
        <v>102000000</v>
      </c>
      <c r="BZ14" s="9">
        <v>-326000000</v>
      </c>
      <c r="CA14" s="9">
        <v>164000000</v>
      </c>
      <c r="CB14" s="9">
        <v>352000000</v>
      </c>
      <c r="CC14" s="9">
        <v>80000000</v>
      </c>
      <c r="CD14" s="9">
        <v>111000000</v>
      </c>
      <c r="CE14" s="9">
        <v>161000000</v>
      </c>
      <c r="CF14" s="9">
        <v>244000000</v>
      </c>
      <c r="CG14" s="9">
        <v>89000000</v>
      </c>
      <c r="CH14" s="9">
        <v>75000000</v>
      </c>
      <c r="CI14" s="9">
        <v>138000000</v>
      </c>
      <c r="CJ14" s="9">
        <v>250000000</v>
      </c>
      <c r="CK14" s="9">
        <v>61000000</v>
      </c>
      <c r="CL14" s="9">
        <v>32000000</v>
      </c>
      <c r="CM14" s="9">
        <v>47000000</v>
      </c>
      <c r="CN14" s="9">
        <v>148000000</v>
      </c>
      <c r="CO14" s="9">
        <v>47000000</v>
      </c>
      <c r="CP14" s="9">
        <v>-17000000</v>
      </c>
      <c r="CQ14" s="9">
        <v>45000000</v>
      </c>
      <c r="CR14" s="9">
        <v>115000000</v>
      </c>
      <c r="CS14" s="9">
        <v>-102000000</v>
      </c>
      <c r="CT14" s="9">
        <v>44000000</v>
      </c>
      <c r="CU14" s="9">
        <v>223000000</v>
      </c>
      <c r="CV14" s="9">
        <v>84000000</v>
      </c>
      <c r="CW14" s="9">
        <v>-33000000</v>
      </c>
      <c r="CX14" s="9">
        <v>318000000</v>
      </c>
      <c r="CY14" s="9">
        <v>156000000</v>
      </c>
      <c r="CZ14" s="9">
        <v>57000000</v>
      </c>
      <c r="DA14" s="9">
        <v>-143000000</v>
      </c>
      <c r="DB14" s="9">
        <v>-119000000</v>
      </c>
      <c r="DC14" s="9">
        <v>42000000</v>
      </c>
      <c r="DD14" s="9">
        <v>-24000000</v>
      </c>
      <c r="DE14" s="9">
        <v>-62000000</v>
      </c>
      <c r="DF14" s="9">
        <v>-72000000</v>
      </c>
      <c r="DG14" s="9">
        <v>50000000</v>
      </c>
      <c r="DH14" s="9">
        <v>292000000</v>
      </c>
      <c r="DI14" s="9">
        <v>-39000000</v>
      </c>
      <c r="DJ14" s="9">
        <v>11000000</v>
      </c>
      <c r="DK14" s="9">
        <v>262000000</v>
      </c>
      <c r="DL14" s="9">
        <v>492000000</v>
      </c>
      <c r="DM14" s="9">
        <v>289000000</v>
      </c>
      <c r="DN14" s="9">
        <v>58000000</v>
      </c>
      <c r="DO14" s="9">
        <v>483000000</v>
      </c>
      <c r="DP14" s="9">
        <v>140000000</v>
      </c>
      <c r="DQ14" s="9">
        <v>0</v>
      </c>
      <c r="DR14" s="9">
        <v>-24000000</v>
      </c>
      <c r="DS14" s="9">
        <v>162000000</v>
      </c>
      <c r="DT14" s="9">
        <v>46000000</v>
      </c>
      <c r="DU14" s="9">
        <v>52000000</v>
      </c>
      <c r="DV14" s="9">
        <v>-38000000</v>
      </c>
      <c r="DW14" s="9">
        <v>33000000</v>
      </c>
      <c r="DX14" s="9">
        <v>37000000</v>
      </c>
      <c r="DY14" s="9">
        <v>-12000000</v>
      </c>
      <c r="DZ14" s="9">
        <v>42000000</v>
      </c>
      <c r="EA14" s="9">
        <v>41000000</v>
      </c>
      <c r="EB14" s="9">
        <v>21000000</v>
      </c>
      <c r="EC14" s="9">
        <v>-21000000</v>
      </c>
      <c r="ED14" s="9">
        <v>-30566000</v>
      </c>
      <c r="EE14" s="9">
        <v>17095000</v>
      </c>
      <c r="EF14" s="9">
        <v>10391000</v>
      </c>
      <c r="EG14" s="9">
        <v>-20923000</v>
      </c>
      <c r="EH14" s="9">
        <v>60022000</v>
      </c>
      <c r="EI14" s="9">
        <v>20475000</v>
      </c>
      <c r="EJ14" s="9">
        <v>9928000</v>
      </c>
      <c r="EK14" s="9">
        <v>-26191000</v>
      </c>
      <c r="EL14" s="9">
        <v>7591000</v>
      </c>
      <c r="EM14" s="9">
        <v>62164000</v>
      </c>
      <c r="EN14" s="9">
        <v>17887000</v>
      </c>
      <c r="EO14" s="9">
        <v>-24770000</v>
      </c>
      <c r="EP14" s="9">
        <v>-38910000</v>
      </c>
      <c r="EQ14" s="9">
        <v>72977000</v>
      </c>
      <c r="ER14" s="9">
        <v>9341000</v>
      </c>
      <c r="ES14" s="9">
        <v>-4883000</v>
      </c>
      <c r="ET14" s="9">
        <v>9585000</v>
      </c>
      <c r="EU14" s="9">
        <v>18521000</v>
      </c>
      <c r="EV14" s="9">
        <v>-644000</v>
      </c>
      <c r="EW14" s="9">
        <v>-43626000</v>
      </c>
      <c r="EX14" s="9">
        <v>70268000</v>
      </c>
      <c r="EY14" s="9">
        <v>25132000</v>
      </c>
      <c r="EZ14" s="9">
        <v>13396000</v>
      </c>
      <c r="FA14" s="9">
        <v>-20102000</v>
      </c>
      <c r="FB14" s="9"/>
    </row>
    <row r="15" spans="1:257" x14ac:dyDescent="0.25">
      <c r="A15" t="s">
        <v>9</v>
      </c>
      <c r="B15" s="9">
        <v>2962000000</v>
      </c>
      <c r="C15" s="9">
        <v>4183000000</v>
      </c>
      <c r="D15" s="9">
        <v>4796000000</v>
      </c>
      <c r="E15" s="9">
        <v>4057000000</v>
      </c>
      <c r="F15" s="9">
        <v>2806000000</v>
      </c>
      <c r="G15" s="9">
        <v>3380000000</v>
      </c>
      <c r="H15" s="9">
        <v>3028000000</v>
      </c>
      <c r="I15" s="9">
        <v>3872000000</v>
      </c>
      <c r="J15" s="9">
        <v>2482000000</v>
      </c>
      <c r="K15" s="9">
        <v>3537000000</v>
      </c>
      <c r="L15" s="9">
        <v>2880000000</v>
      </c>
      <c r="M15" s="9">
        <v>4053000000</v>
      </c>
      <c r="N15" s="9">
        <v>2500000000</v>
      </c>
      <c r="O15" s="9">
        <v>3444000000</v>
      </c>
      <c r="P15" s="9">
        <v>2284000000</v>
      </c>
      <c r="Q15" s="9">
        <v>3458000000</v>
      </c>
      <c r="R15" s="9">
        <v>2960000000</v>
      </c>
      <c r="S15" s="9">
        <v>3084000000</v>
      </c>
      <c r="T15" s="9">
        <v>3618000000</v>
      </c>
      <c r="U15" s="9">
        <v>2763000000</v>
      </c>
      <c r="V15" s="9">
        <v>2361000000</v>
      </c>
      <c r="W15" s="9">
        <v>2181000000</v>
      </c>
      <c r="X15" s="9">
        <v>2197000000</v>
      </c>
      <c r="Y15" s="9">
        <v>3010000000</v>
      </c>
      <c r="Z15" s="9">
        <v>2420000000</v>
      </c>
      <c r="AA15" s="9">
        <v>3092000000</v>
      </c>
      <c r="AB15" s="9">
        <v>3049000000</v>
      </c>
      <c r="AC15" s="9">
        <v>2225000000</v>
      </c>
      <c r="AD15" s="9">
        <v>1077000000</v>
      </c>
      <c r="AE15" s="9">
        <v>2373000000</v>
      </c>
      <c r="AF15" s="9">
        <v>2942000000</v>
      </c>
      <c r="AG15" s="9">
        <v>1833000000</v>
      </c>
      <c r="AH15" s="9">
        <v>1085000000</v>
      </c>
      <c r="AI15" s="9">
        <v>1674000000</v>
      </c>
      <c r="AJ15" s="9">
        <v>2624000000</v>
      </c>
      <c r="AK15" s="9">
        <v>1507000000</v>
      </c>
      <c r="AL15" s="9">
        <v>515000000</v>
      </c>
      <c r="AM15" s="9">
        <v>1428000000</v>
      </c>
      <c r="AN15" s="9">
        <v>4299000000</v>
      </c>
      <c r="AO15" s="9">
        <v>1894000000</v>
      </c>
      <c r="AP15" s="9">
        <v>1538000000</v>
      </c>
      <c r="AQ15" s="9">
        <v>1725000000</v>
      </c>
      <c r="AR15" s="9">
        <v>4361000000</v>
      </c>
      <c r="AS15" s="9">
        <v>1981000000</v>
      </c>
      <c r="AT15" s="9">
        <v>1076000000</v>
      </c>
      <c r="AU15" s="9">
        <v>2660000000</v>
      </c>
      <c r="AV15" s="9">
        <v>3384000000</v>
      </c>
      <c r="AW15" s="9">
        <v>2205000000</v>
      </c>
      <c r="AX15" s="9">
        <v>2228000000</v>
      </c>
      <c r="AY15" s="9">
        <v>3380000000</v>
      </c>
      <c r="AZ15" s="9">
        <v>3525000000</v>
      </c>
      <c r="BA15" s="9">
        <v>2344000000</v>
      </c>
      <c r="BB15" s="9">
        <v>2377000000</v>
      </c>
      <c r="BC15" s="9">
        <v>3084000000</v>
      </c>
      <c r="BD15" s="9">
        <v>3623000000</v>
      </c>
      <c r="BE15" s="9">
        <v>2725000000</v>
      </c>
      <c r="BF15" s="9">
        <v>2216000000</v>
      </c>
      <c r="BG15" s="9">
        <v>2927000000</v>
      </c>
      <c r="BH15" s="9">
        <v>3799000000</v>
      </c>
      <c r="BI15" s="9">
        <v>2516000000</v>
      </c>
      <c r="BJ15" s="9">
        <v>6205000000</v>
      </c>
      <c r="BK15" s="9">
        <v>2700000000</v>
      </c>
      <c r="BL15" s="9">
        <v>3123000000</v>
      </c>
      <c r="BM15" s="9">
        <v>2179000000</v>
      </c>
      <c r="BN15" s="9">
        <v>1960000000</v>
      </c>
      <c r="BO15" s="9">
        <v>2443000000</v>
      </c>
      <c r="BP15" s="9">
        <v>2728000000</v>
      </c>
      <c r="BQ15" s="9">
        <v>1815000000</v>
      </c>
      <c r="BR15" s="9">
        <v>1160000000</v>
      </c>
      <c r="BS15" s="9">
        <v>2470000000</v>
      </c>
      <c r="BT15" s="9">
        <v>1917000000</v>
      </c>
      <c r="BU15" s="9">
        <v>1959000000</v>
      </c>
      <c r="BV15" s="9">
        <v>1669000000</v>
      </c>
      <c r="BW15" s="9">
        <v>2113000000</v>
      </c>
      <c r="BX15" s="9">
        <v>2408000000</v>
      </c>
      <c r="BY15" s="9">
        <v>1729000000</v>
      </c>
      <c r="BZ15" s="9">
        <v>886000000</v>
      </c>
      <c r="CA15" s="9">
        <v>1826000000</v>
      </c>
      <c r="CB15" s="9">
        <v>2391000000</v>
      </c>
      <c r="CC15" s="9">
        <v>1475000000</v>
      </c>
      <c r="CD15" s="9">
        <v>1373000000</v>
      </c>
      <c r="CE15" s="9">
        <v>1653000000</v>
      </c>
      <c r="CF15" s="9">
        <v>2216000000</v>
      </c>
      <c r="CG15" s="9">
        <v>1448000000</v>
      </c>
      <c r="CH15" s="9">
        <v>1422000000</v>
      </c>
      <c r="CI15" s="9">
        <v>1235000000</v>
      </c>
      <c r="CJ15" s="9">
        <v>2053000000</v>
      </c>
      <c r="CK15" s="9">
        <v>1512000000</v>
      </c>
      <c r="CL15" s="9">
        <v>1124000000</v>
      </c>
      <c r="CM15" s="9">
        <v>1498000000</v>
      </c>
      <c r="CN15" s="9">
        <v>1750000000</v>
      </c>
      <c r="CO15" s="9">
        <v>1123000000</v>
      </c>
      <c r="CP15" s="9">
        <v>1273000000</v>
      </c>
      <c r="CQ15" s="9">
        <v>1495000000</v>
      </c>
      <c r="CR15" s="9">
        <v>1675000000</v>
      </c>
      <c r="CS15" s="9">
        <v>1056000000</v>
      </c>
      <c r="CT15" s="9">
        <v>1292000000</v>
      </c>
      <c r="CU15" s="9">
        <v>1534000000</v>
      </c>
      <c r="CV15" s="9">
        <v>1597000000</v>
      </c>
      <c r="CW15" s="9">
        <v>1247000000</v>
      </c>
      <c r="CX15" s="9">
        <v>477000000</v>
      </c>
      <c r="CY15" s="9">
        <v>1483000000</v>
      </c>
      <c r="CZ15" s="9">
        <v>1342000000</v>
      </c>
      <c r="DA15" s="9">
        <v>97000000</v>
      </c>
      <c r="DB15" s="9">
        <v>230000000</v>
      </c>
      <c r="DC15" s="9">
        <v>1141000000</v>
      </c>
      <c r="DD15" s="9">
        <v>1366000000</v>
      </c>
      <c r="DE15" s="9">
        <v>1082000000</v>
      </c>
      <c r="DF15" s="9">
        <v>865000000</v>
      </c>
      <c r="DG15" s="9">
        <v>1287000000</v>
      </c>
      <c r="DH15" s="9">
        <v>1803000000</v>
      </c>
      <c r="DI15" s="9">
        <v>1243000000</v>
      </c>
      <c r="DJ15" s="9">
        <v>1184000000</v>
      </c>
      <c r="DK15" s="9">
        <v>1505000000</v>
      </c>
      <c r="DL15" s="9">
        <v>1935000000</v>
      </c>
      <c r="DM15" s="9">
        <v>1431000000</v>
      </c>
      <c r="DN15" s="9">
        <v>1104000000</v>
      </c>
      <c r="DO15" s="9">
        <v>937000000</v>
      </c>
      <c r="DP15" s="9">
        <v>1522000000</v>
      </c>
      <c r="DQ15" s="9">
        <v>1033000000</v>
      </c>
      <c r="DR15" s="9">
        <v>925000000</v>
      </c>
      <c r="DS15" s="9">
        <v>1168000000</v>
      </c>
      <c r="DT15" s="9">
        <v>1304000000</v>
      </c>
      <c r="DU15" s="9">
        <v>931000000</v>
      </c>
      <c r="DV15" s="9">
        <v>828000000</v>
      </c>
      <c r="DW15" s="9">
        <v>1033000000</v>
      </c>
      <c r="DX15" s="9">
        <v>1107000000</v>
      </c>
      <c r="DY15" s="9">
        <v>760000000</v>
      </c>
      <c r="DZ15" s="9">
        <v>679000000</v>
      </c>
      <c r="EA15" s="9">
        <v>870000000</v>
      </c>
      <c r="EB15" s="9">
        <v>980000000</v>
      </c>
      <c r="EC15" s="9">
        <v>656000000</v>
      </c>
      <c r="ED15" s="9">
        <v>552657000</v>
      </c>
      <c r="EE15" s="9">
        <v>788051000</v>
      </c>
      <c r="EF15" s="9">
        <v>846925000</v>
      </c>
      <c r="EG15" s="9">
        <v>558455000</v>
      </c>
      <c r="EH15" s="9">
        <v>547100000</v>
      </c>
      <c r="EI15" s="9">
        <v>665179000</v>
      </c>
      <c r="EJ15" s="9">
        <v>703195000</v>
      </c>
      <c r="EK15" s="9">
        <v>467805000</v>
      </c>
      <c r="EL15" s="9">
        <v>429060000</v>
      </c>
      <c r="EM15" s="9">
        <v>574594000</v>
      </c>
      <c r="EN15" s="9">
        <v>597569000</v>
      </c>
      <c r="EO15" s="9">
        <v>413213000</v>
      </c>
      <c r="EP15" s="9">
        <v>342845000</v>
      </c>
      <c r="EQ15" s="9">
        <v>531277000.00000006</v>
      </c>
      <c r="ER15" s="9">
        <v>508116000</v>
      </c>
      <c r="ES15" s="9">
        <v>382072000</v>
      </c>
      <c r="ET15" s="9">
        <v>350300000</v>
      </c>
      <c r="EU15" s="9">
        <v>449948000</v>
      </c>
      <c r="EV15" s="9">
        <v>464813000</v>
      </c>
      <c r="EW15" s="9">
        <v>317076000</v>
      </c>
      <c r="EX15" s="9">
        <v>252515000</v>
      </c>
      <c r="EY15" s="9">
        <v>419286000</v>
      </c>
      <c r="EZ15" s="9">
        <v>436670000</v>
      </c>
      <c r="FA15" s="9">
        <v>304013000</v>
      </c>
      <c r="FB15" s="9"/>
    </row>
    <row r="16" spans="1:257" x14ac:dyDescent="0.25">
      <c r="A16" t="s">
        <v>10</v>
      </c>
      <c r="B16" s="9">
        <v>646000000</v>
      </c>
      <c r="C16" s="9">
        <v>500000000</v>
      </c>
      <c r="D16" s="9">
        <v>993000000</v>
      </c>
      <c r="E16" s="9">
        <v>722000000</v>
      </c>
      <c r="F16" s="9">
        <v>593000000</v>
      </c>
      <c r="G16" s="9">
        <v>530000000</v>
      </c>
      <c r="H16" s="9">
        <v>627000000</v>
      </c>
      <c r="I16" s="9">
        <v>687000000</v>
      </c>
      <c r="J16" s="9">
        <v>496000000</v>
      </c>
      <c r="K16" s="9">
        <v>454000000</v>
      </c>
      <c r="L16" s="9">
        <v>359000000</v>
      </c>
      <c r="M16" s="9">
        <v>940000000</v>
      </c>
      <c r="N16" s="9">
        <v>444000000</v>
      </c>
      <c r="O16" s="9">
        <v>622000000</v>
      </c>
      <c r="P16" s="9">
        <v>384000000</v>
      </c>
      <c r="Q16" s="9">
        <v>665000000</v>
      </c>
      <c r="R16" s="9">
        <v>510000000</v>
      </c>
      <c r="S16" s="9">
        <v>609000000</v>
      </c>
      <c r="T16" s="9">
        <v>994000000</v>
      </c>
      <c r="U16" s="9">
        <v>508000000</v>
      </c>
      <c r="V16" s="9">
        <v>887000000</v>
      </c>
      <c r="W16" s="9">
        <v>441000000</v>
      </c>
      <c r="X16" s="9">
        <v>438000000</v>
      </c>
      <c r="Y16" s="9">
        <v>215000000</v>
      </c>
      <c r="Z16" s="9">
        <v>355000000</v>
      </c>
      <c r="AA16" s="9">
        <v>503000000</v>
      </c>
      <c r="AB16" s="9">
        <v>421000000</v>
      </c>
      <c r="AC16" s="9">
        <v>522000000</v>
      </c>
      <c r="AD16" s="9">
        <v>77000000</v>
      </c>
      <c r="AE16" s="9">
        <v>555000000</v>
      </c>
      <c r="AF16" s="9">
        <v>611000000</v>
      </c>
      <c r="AG16" s="9">
        <v>506000000</v>
      </c>
      <c r="AH16" s="9">
        <v>3802000000</v>
      </c>
      <c r="AI16" s="9">
        <v>230000000</v>
      </c>
      <c r="AJ16" s="9">
        <v>1252000000</v>
      </c>
      <c r="AK16" s="9">
        <v>323000000</v>
      </c>
      <c r="AL16" s="9">
        <v>-32000000</v>
      </c>
      <c r="AM16" s="9">
        <v>378000000</v>
      </c>
      <c r="AN16" s="9">
        <v>839000000</v>
      </c>
      <c r="AO16" s="9">
        <v>401000000</v>
      </c>
      <c r="AP16" s="9">
        <v>302000000</v>
      </c>
      <c r="AQ16" s="9">
        <v>272000000</v>
      </c>
      <c r="AR16" s="9">
        <v>1250000000</v>
      </c>
      <c r="AS16" s="9">
        <v>415000000</v>
      </c>
      <c r="AT16" s="9">
        <v>305000000</v>
      </c>
      <c r="AU16" s="9">
        <v>538000000</v>
      </c>
      <c r="AV16" s="9">
        <v>779000000</v>
      </c>
      <c r="AW16" s="9">
        <v>579000000</v>
      </c>
      <c r="AX16" s="9">
        <v>520000000</v>
      </c>
      <c r="AY16" s="9">
        <v>925000000</v>
      </c>
      <c r="AZ16" s="9">
        <v>831000000</v>
      </c>
      <c r="BA16" s="9">
        <v>575000000</v>
      </c>
      <c r="BB16" s="9">
        <v>487000000</v>
      </c>
      <c r="BC16" s="9">
        <v>755000000</v>
      </c>
      <c r="BD16" s="9">
        <v>823000000</v>
      </c>
      <c r="BE16" s="9">
        <v>658000000</v>
      </c>
      <c r="BF16" s="9">
        <v>539000000</v>
      </c>
      <c r="BG16" s="9">
        <v>681000000</v>
      </c>
      <c r="BH16" s="9">
        <v>992000000</v>
      </c>
      <c r="BI16" s="9">
        <v>600000000</v>
      </c>
      <c r="BJ16" s="9">
        <v>443000000</v>
      </c>
      <c r="BK16" s="9">
        <v>633000000</v>
      </c>
      <c r="BL16" s="9">
        <v>741000000</v>
      </c>
      <c r="BM16" s="9">
        <v>553000000</v>
      </c>
      <c r="BN16" s="9">
        <v>382000000</v>
      </c>
      <c r="BO16" s="9">
        <v>523000000</v>
      </c>
      <c r="BP16" s="9">
        <v>679000000</v>
      </c>
      <c r="BQ16" s="9">
        <v>456000000</v>
      </c>
      <c r="BR16" s="9">
        <v>155000000</v>
      </c>
      <c r="BS16" s="9">
        <v>555000000</v>
      </c>
      <c r="BT16" s="9">
        <v>474000000</v>
      </c>
      <c r="BU16" s="9">
        <v>448000000</v>
      </c>
      <c r="BV16" s="9">
        <v>409000000</v>
      </c>
      <c r="BW16" s="9">
        <v>459000000</v>
      </c>
      <c r="BX16" s="9">
        <v>557000000</v>
      </c>
      <c r="BY16" s="9">
        <v>467000000</v>
      </c>
      <c r="BZ16" s="9">
        <v>208000000</v>
      </c>
      <c r="CA16" s="9">
        <v>366000000</v>
      </c>
      <c r="CB16" s="9">
        <v>555000000</v>
      </c>
      <c r="CC16" s="9">
        <v>369000000</v>
      </c>
      <c r="CD16" s="9">
        <v>509000000</v>
      </c>
      <c r="CE16" s="9">
        <v>370000000</v>
      </c>
      <c r="CF16" s="9">
        <v>493000000</v>
      </c>
      <c r="CG16" s="9">
        <v>446000000</v>
      </c>
      <c r="CH16" s="9">
        <v>221000000</v>
      </c>
      <c r="CI16" s="9">
        <v>300000000</v>
      </c>
      <c r="CJ16" s="9">
        <v>469000000</v>
      </c>
      <c r="CK16" s="9">
        <v>385000000</v>
      </c>
      <c r="CL16" s="9">
        <v>197000000</v>
      </c>
      <c r="CM16" s="9">
        <v>275000000</v>
      </c>
      <c r="CN16" s="9">
        <v>388000000</v>
      </c>
      <c r="CO16" s="9">
        <v>288000000</v>
      </c>
      <c r="CP16" s="9">
        <v>343000000</v>
      </c>
      <c r="CQ16" s="9">
        <v>404000000</v>
      </c>
      <c r="CR16" s="9">
        <v>452000000</v>
      </c>
      <c r="CS16" s="9">
        <v>324000000</v>
      </c>
      <c r="CT16" s="9">
        <v>378000000</v>
      </c>
      <c r="CU16" s="9">
        <v>460000000</v>
      </c>
      <c r="CV16" s="9">
        <v>479000000</v>
      </c>
      <c r="CW16" s="9">
        <v>374000000</v>
      </c>
      <c r="CX16" s="9">
        <v>235000000</v>
      </c>
      <c r="CY16" s="9">
        <v>416000000</v>
      </c>
      <c r="CZ16" s="9">
        <v>416000000</v>
      </c>
      <c r="DA16" s="9">
        <v>155000000</v>
      </c>
      <c r="DB16" s="9">
        <v>275000000</v>
      </c>
      <c r="DC16" s="9">
        <v>354000000</v>
      </c>
      <c r="DD16" s="9">
        <v>424000000</v>
      </c>
      <c r="DE16" s="9">
        <v>335000000</v>
      </c>
      <c r="DF16" s="9">
        <v>268000000</v>
      </c>
      <c r="DG16" s="9">
        <v>399000000</v>
      </c>
      <c r="DH16" s="9">
        <v>612000000</v>
      </c>
      <c r="DI16" s="9">
        <v>386000000</v>
      </c>
      <c r="DJ16" s="9">
        <v>367000000</v>
      </c>
      <c r="DK16" s="9">
        <v>494000000</v>
      </c>
      <c r="DL16" s="9">
        <v>621000000</v>
      </c>
      <c r="DM16" s="9">
        <v>444000000</v>
      </c>
      <c r="DN16" s="9">
        <v>342000000</v>
      </c>
      <c r="DO16" s="9">
        <v>-30000000</v>
      </c>
      <c r="DP16" s="9">
        <v>472000000</v>
      </c>
      <c r="DQ16" s="9">
        <v>320000000</v>
      </c>
      <c r="DR16" s="9">
        <v>277000000</v>
      </c>
      <c r="DS16" s="9">
        <v>366000000</v>
      </c>
      <c r="DT16" s="9">
        <v>406000000</v>
      </c>
      <c r="DU16" s="9">
        <v>293000000</v>
      </c>
      <c r="DV16" s="9">
        <v>261000000</v>
      </c>
      <c r="DW16" s="9">
        <v>325000000</v>
      </c>
      <c r="DX16" s="9">
        <v>349000000</v>
      </c>
      <c r="DY16" s="9">
        <v>239000000</v>
      </c>
      <c r="DZ16" s="9">
        <v>213000000</v>
      </c>
      <c r="EA16" s="9">
        <v>280000000</v>
      </c>
      <c r="EB16" s="9">
        <v>302000000</v>
      </c>
      <c r="EC16" s="9">
        <v>202000000</v>
      </c>
      <c r="ED16" s="9">
        <v>173536000</v>
      </c>
      <c r="EE16" s="9">
        <v>247448000</v>
      </c>
      <c r="EF16" s="9">
        <v>265934000.00000003</v>
      </c>
      <c r="EG16" s="9">
        <v>175355000</v>
      </c>
      <c r="EH16" s="9">
        <v>188717000</v>
      </c>
      <c r="EI16" s="9">
        <v>208866000</v>
      </c>
      <c r="EJ16" s="9">
        <v>220803000</v>
      </c>
      <c r="EK16" s="9">
        <v>146891000</v>
      </c>
      <c r="EL16" s="9">
        <v>134725000</v>
      </c>
      <c r="EM16" s="9">
        <v>180422000</v>
      </c>
      <c r="EN16" s="9">
        <v>187637000</v>
      </c>
      <c r="EO16" s="9">
        <v>129747999.99999999</v>
      </c>
      <c r="EP16" s="9">
        <v>116602000</v>
      </c>
      <c r="EQ16" s="9">
        <v>170009000</v>
      </c>
      <c r="ER16" s="9">
        <v>162597000</v>
      </c>
      <c r="ES16" s="9">
        <v>122263000</v>
      </c>
      <c r="ET16" s="9">
        <v>114809000</v>
      </c>
      <c r="EU16" s="9">
        <v>154332000</v>
      </c>
      <c r="EV16" s="9">
        <v>161755000</v>
      </c>
      <c r="EW16" s="9">
        <v>106538000</v>
      </c>
      <c r="EX16" s="9">
        <v>59560000</v>
      </c>
      <c r="EY16" s="9">
        <v>147923000</v>
      </c>
      <c r="EZ16" s="9">
        <v>170300000</v>
      </c>
      <c r="FA16" s="9">
        <v>118565000</v>
      </c>
      <c r="FB16" s="9"/>
    </row>
    <row r="17" spans="1:158" x14ac:dyDescent="0.25">
      <c r="A17" t="s">
        <v>11</v>
      </c>
      <c r="B17" s="9">
        <v>2316000000</v>
      </c>
      <c r="C17" s="9">
        <v>3683000000</v>
      </c>
      <c r="D17" s="9">
        <v>3803000000</v>
      </c>
      <c r="E17" s="9">
        <v>3335000000</v>
      </c>
      <c r="F17" s="9">
        <v>2213000000</v>
      </c>
      <c r="G17" s="9">
        <v>2850000000</v>
      </c>
      <c r="H17" s="9">
        <v>2401000000</v>
      </c>
      <c r="I17" s="9">
        <v>3185000000</v>
      </c>
      <c r="J17" s="9">
        <v>1986000000</v>
      </c>
      <c r="K17" s="9">
        <v>3083000000</v>
      </c>
      <c r="L17" s="9">
        <v>2521000000</v>
      </c>
      <c r="M17" s="9">
        <v>3113000000</v>
      </c>
      <c r="N17" s="9">
        <v>2056000000</v>
      </c>
      <c r="O17" s="9">
        <v>2822000000</v>
      </c>
      <c r="P17" s="9">
        <v>1900000000</v>
      </c>
      <c r="Q17" s="9">
        <v>2793000000</v>
      </c>
      <c r="R17" s="9">
        <v>2450000000</v>
      </c>
      <c r="S17" s="9">
        <v>2475000000</v>
      </c>
      <c r="T17" s="9">
        <v>2624000000</v>
      </c>
      <c r="U17" s="9">
        <v>2255000000</v>
      </c>
      <c r="V17" s="9">
        <v>1474000000</v>
      </c>
      <c r="W17" s="9">
        <v>1740000000</v>
      </c>
      <c r="X17" s="9">
        <v>1759000000</v>
      </c>
      <c r="Y17" s="9">
        <v>2795000000</v>
      </c>
      <c r="Z17" s="9">
        <v>2065000000</v>
      </c>
      <c r="AA17" s="9">
        <v>2589000000</v>
      </c>
      <c r="AB17" s="9">
        <v>2628000000</v>
      </c>
      <c r="AC17" s="9">
        <v>1703000000</v>
      </c>
      <c r="AD17" s="9">
        <v>1000000000</v>
      </c>
      <c r="AE17" s="9">
        <v>1818000000</v>
      </c>
      <c r="AF17" s="9">
        <v>2331000000</v>
      </c>
      <c r="AG17" s="9">
        <v>1327000000</v>
      </c>
      <c r="AH17" s="9">
        <v>-2717000000</v>
      </c>
      <c r="AI17" s="9">
        <v>1444000000</v>
      </c>
      <c r="AJ17" s="9">
        <v>1372000000</v>
      </c>
      <c r="AK17" s="9">
        <v>1184000000</v>
      </c>
      <c r="AL17" s="9">
        <v>547000000</v>
      </c>
      <c r="AM17" s="9">
        <v>1050000000</v>
      </c>
      <c r="AN17" s="9">
        <v>3460000000</v>
      </c>
      <c r="AO17" s="9">
        <v>1493000000</v>
      </c>
      <c r="AP17" s="9">
        <v>1236000000</v>
      </c>
      <c r="AQ17" s="9">
        <v>1453000000</v>
      </c>
      <c r="AR17" s="9">
        <v>3111000000</v>
      </c>
      <c r="AS17" s="9">
        <v>1566000000</v>
      </c>
      <c r="AT17" s="9">
        <v>771000000</v>
      </c>
      <c r="AU17" s="9">
        <v>2122000000</v>
      </c>
      <c r="AV17" s="9">
        <v>2605000000</v>
      </c>
      <c r="AW17" s="9">
        <v>1626000000</v>
      </c>
      <c r="AX17" s="9">
        <v>1708000000</v>
      </c>
      <c r="AY17" s="9">
        <v>2455000000</v>
      </c>
      <c r="AZ17" s="9">
        <v>2694000000</v>
      </c>
      <c r="BA17" s="9">
        <v>1769000000</v>
      </c>
      <c r="BB17" s="9">
        <v>1890000000</v>
      </c>
      <c r="BC17" s="9">
        <v>2329000000</v>
      </c>
      <c r="BD17" s="9">
        <v>2800000000</v>
      </c>
      <c r="BE17" s="9">
        <v>2067000000</v>
      </c>
      <c r="BF17" s="9">
        <v>1677000000</v>
      </c>
      <c r="BG17" s="9">
        <v>2246000000</v>
      </c>
      <c r="BH17" s="9">
        <v>2807000000</v>
      </c>
      <c r="BI17" s="9">
        <v>1916000000</v>
      </c>
      <c r="BJ17" s="9">
        <v>5762000000</v>
      </c>
      <c r="BK17" s="9">
        <v>2067000000</v>
      </c>
      <c r="BL17" s="9">
        <v>2382000000</v>
      </c>
      <c r="BM17" s="9">
        <v>1626000000</v>
      </c>
      <c r="BN17" s="9">
        <v>1578000000</v>
      </c>
      <c r="BO17" s="9">
        <v>1920000000</v>
      </c>
      <c r="BP17" s="9">
        <v>2049000000</v>
      </c>
      <c r="BQ17" s="9">
        <v>1359000000</v>
      </c>
      <c r="BR17" s="9">
        <v>1005000000</v>
      </c>
      <c r="BS17" s="9">
        <v>1915000000</v>
      </c>
      <c r="BT17" s="9">
        <v>1443000000</v>
      </c>
      <c r="BU17" s="9">
        <v>1511000000</v>
      </c>
      <c r="BV17" s="9">
        <v>1260000000</v>
      </c>
      <c r="BW17" s="9">
        <v>1654000000</v>
      </c>
      <c r="BX17" s="9">
        <v>1851000000</v>
      </c>
      <c r="BY17" s="9">
        <v>1262000000</v>
      </c>
      <c r="BZ17" s="9">
        <v>678000000</v>
      </c>
      <c r="CA17" s="9">
        <v>1460000000</v>
      </c>
      <c r="CB17" s="9">
        <v>1836000000</v>
      </c>
      <c r="CC17" s="9">
        <v>1106000000</v>
      </c>
      <c r="CD17" s="9">
        <v>864000000</v>
      </c>
      <c r="CE17" s="9">
        <v>1283000000</v>
      </c>
      <c r="CF17" s="9">
        <v>1723000000</v>
      </c>
      <c r="CG17" s="9">
        <v>1002000000</v>
      </c>
      <c r="CH17" s="9">
        <v>1201000000</v>
      </c>
      <c r="CI17" s="9">
        <v>935000000</v>
      </c>
      <c r="CJ17" s="9">
        <v>1584000000</v>
      </c>
      <c r="CK17" s="9">
        <v>1127000000</v>
      </c>
      <c r="CL17" s="9">
        <v>927000000</v>
      </c>
      <c r="CM17" s="9">
        <v>1223000000</v>
      </c>
      <c r="CN17" s="9">
        <v>1362000000</v>
      </c>
      <c r="CO17" s="9">
        <v>835000000</v>
      </c>
      <c r="CP17" s="9">
        <v>930000000</v>
      </c>
      <c r="CQ17" s="9">
        <v>1091000000</v>
      </c>
      <c r="CR17" s="9">
        <v>1223000000</v>
      </c>
      <c r="CS17" s="9">
        <v>732000000</v>
      </c>
      <c r="CT17" s="9">
        <v>914000000</v>
      </c>
      <c r="CU17" s="9">
        <v>1074000000</v>
      </c>
      <c r="CV17" s="9">
        <v>1118000000</v>
      </c>
      <c r="CW17" s="9">
        <v>873000000</v>
      </c>
      <c r="CX17" s="9">
        <v>242000000</v>
      </c>
      <c r="CY17" s="9">
        <v>1067000000</v>
      </c>
      <c r="CZ17" s="9">
        <v>926000000</v>
      </c>
      <c r="DA17" s="9">
        <v>-58000000</v>
      </c>
      <c r="DB17" s="9">
        <v>-45000000</v>
      </c>
      <c r="DC17" s="9">
        <v>787000000</v>
      </c>
      <c r="DD17" s="9">
        <v>942000000</v>
      </c>
      <c r="DE17" s="9">
        <v>747000000</v>
      </c>
      <c r="DF17" s="9">
        <v>597000000</v>
      </c>
      <c r="DG17" s="9">
        <v>888000000</v>
      </c>
      <c r="DH17" s="9">
        <v>1191000000</v>
      </c>
      <c r="DI17" s="9">
        <v>857000000</v>
      </c>
      <c r="DJ17" s="9">
        <v>817000000</v>
      </c>
      <c r="DK17" s="9">
        <v>1011000000</v>
      </c>
      <c r="DL17" s="9">
        <v>1314000000</v>
      </c>
      <c r="DM17" s="9">
        <v>987000000</v>
      </c>
      <c r="DN17" s="9">
        <v>762000000</v>
      </c>
      <c r="DO17" s="9">
        <v>967000000</v>
      </c>
      <c r="DP17" s="9">
        <v>1050000000</v>
      </c>
      <c r="DQ17" s="9">
        <v>713000000</v>
      </c>
      <c r="DR17" s="9">
        <v>648000000</v>
      </c>
      <c r="DS17" s="9">
        <v>802000000</v>
      </c>
      <c r="DT17" s="9">
        <v>898000000</v>
      </c>
      <c r="DU17" s="9">
        <v>638000000</v>
      </c>
      <c r="DV17" s="9">
        <v>567000000</v>
      </c>
      <c r="DW17" s="9">
        <v>708000000</v>
      </c>
      <c r="DX17" s="9">
        <v>758000000</v>
      </c>
      <c r="DY17" s="9">
        <v>521000000</v>
      </c>
      <c r="DZ17" s="9">
        <v>466000000</v>
      </c>
      <c r="EA17" s="9">
        <v>590000000</v>
      </c>
      <c r="EB17" s="9">
        <v>678000000</v>
      </c>
      <c r="EC17" s="9">
        <v>454000000</v>
      </c>
      <c r="ED17" s="9">
        <v>379121000</v>
      </c>
      <c r="EE17" s="9">
        <v>540603000</v>
      </c>
      <c r="EF17" s="9">
        <v>580991000</v>
      </c>
      <c r="EG17" s="9">
        <v>383100000</v>
      </c>
      <c r="EH17" s="9">
        <v>358383000</v>
      </c>
      <c r="EI17" s="9">
        <v>456313000</v>
      </c>
      <c r="EJ17" s="9">
        <v>482392000</v>
      </c>
      <c r="EK17" s="9">
        <v>320914000</v>
      </c>
      <c r="EL17" s="9">
        <v>294335000</v>
      </c>
      <c r="EM17" s="9">
        <v>394172000</v>
      </c>
      <c r="EN17" s="9">
        <v>409932000</v>
      </c>
      <c r="EO17" s="9">
        <v>283465000</v>
      </c>
      <c r="EP17" s="9">
        <v>226243000</v>
      </c>
      <c r="EQ17" s="9">
        <v>361268000</v>
      </c>
      <c r="ER17" s="9">
        <v>345519000</v>
      </c>
      <c r="ES17" s="9">
        <v>259809000.00000003</v>
      </c>
      <c r="ET17" s="9">
        <v>235491000</v>
      </c>
      <c r="EU17" s="9">
        <v>295616000</v>
      </c>
      <c r="EV17" s="9">
        <v>303058000</v>
      </c>
      <c r="EW17" s="9">
        <v>210538000</v>
      </c>
      <c r="EX17" s="9">
        <v>192955000</v>
      </c>
      <c r="EY17" s="9">
        <v>271363000</v>
      </c>
      <c r="EZ17" s="9">
        <v>266370000</v>
      </c>
      <c r="FA17" s="9">
        <v>185448000</v>
      </c>
      <c r="FB17" s="9"/>
    </row>
    <row r="19" spans="1:158" x14ac:dyDescent="0.25">
      <c r="A19" t="s">
        <v>12</v>
      </c>
      <c r="CX19" s="8">
        <v>0</v>
      </c>
      <c r="DB19" s="8">
        <v>0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</v>
      </c>
      <c r="DM19" s="8">
        <v>0</v>
      </c>
      <c r="DN19" s="8">
        <v>0</v>
      </c>
      <c r="DO19" s="8">
        <v>0</v>
      </c>
      <c r="DP19" s="8">
        <v>0</v>
      </c>
      <c r="DQ19" s="8">
        <v>0</v>
      </c>
      <c r="DR19" s="8">
        <v>0</v>
      </c>
      <c r="DS19" s="8">
        <v>0</v>
      </c>
      <c r="DT19" s="8">
        <v>0</v>
      </c>
      <c r="DU19" s="8">
        <v>0</v>
      </c>
      <c r="DV19" s="8">
        <v>0</v>
      </c>
      <c r="DW19" s="8">
        <v>0</v>
      </c>
      <c r="DX19" s="8">
        <v>0</v>
      </c>
      <c r="DY19" s="8">
        <v>0</v>
      </c>
      <c r="DZ19" s="8">
        <v>0</v>
      </c>
      <c r="EA19" s="8">
        <v>0</v>
      </c>
      <c r="EB19" s="8">
        <v>0</v>
      </c>
      <c r="EC19" s="8">
        <v>0</v>
      </c>
      <c r="ED19" s="8">
        <v>0</v>
      </c>
      <c r="EE19" s="8">
        <v>0</v>
      </c>
      <c r="EF19" s="8">
        <v>0</v>
      </c>
      <c r="EG19" s="8">
        <v>0</v>
      </c>
      <c r="EH19" s="8">
        <v>0</v>
      </c>
      <c r="EI19" s="8">
        <v>0</v>
      </c>
      <c r="EJ19" s="8">
        <v>0</v>
      </c>
      <c r="EK19" s="8">
        <v>0</v>
      </c>
      <c r="EL19" s="8">
        <v>0</v>
      </c>
      <c r="EM19" s="8">
        <v>0</v>
      </c>
      <c r="EN19" s="8">
        <v>0</v>
      </c>
      <c r="EO19" s="8">
        <v>0</v>
      </c>
      <c r="EP19" s="8">
        <v>0</v>
      </c>
      <c r="EQ19" s="8">
        <v>0</v>
      </c>
      <c r="ER19" s="8">
        <v>0</v>
      </c>
      <c r="ES19" s="8">
        <v>0</v>
      </c>
      <c r="ET19" s="8">
        <v>0</v>
      </c>
      <c r="EU19" s="8">
        <v>0</v>
      </c>
      <c r="EV19" s="8">
        <v>0</v>
      </c>
      <c r="EW19" s="8">
        <v>0</v>
      </c>
      <c r="EX19" s="8">
        <v>0</v>
      </c>
      <c r="EY19" s="8">
        <v>0</v>
      </c>
      <c r="EZ19" s="8">
        <v>0</v>
      </c>
      <c r="FA19" s="8">
        <v>0</v>
      </c>
      <c r="FB19" s="8">
        <v>0</v>
      </c>
    </row>
    <row r="20" spans="1:158" x14ac:dyDescent="0.25">
      <c r="A20" t="s">
        <v>13</v>
      </c>
      <c r="B20" s="9">
        <v>2316000000</v>
      </c>
      <c r="C20" s="9">
        <v>3683000000</v>
      </c>
      <c r="D20" s="9">
        <v>3803000000</v>
      </c>
      <c r="E20" s="9">
        <v>3335000000</v>
      </c>
      <c r="F20" s="9">
        <v>2213000000</v>
      </c>
      <c r="G20" s="9">
        <v>2850000000</v>
      </c>
      <c r="H20" s="9">
        <v>2401000000</v>
      </c>
      <c r="I20" s="9">
        <v>3185000000</v>
      </c>
      <c r="J20" s="9">
        <v>1986000000</v>
      </c>
      <c r="K20" s="9">
        <v>3083000000</v>
      </c>
      <c r="L20" s="9">
        <v>2521000000</v>
      </c>
      <c r="M20" s="9">
        <v>3113000000</v>
      </c>
      <c r="N20" s="9">
        <v>2056000000</v>
      </c>
      <c r="O20" s="9">
        <v>2822000000</v>
      </c>
      <c r="P20" s="9">
        <v>1900000000</v>
      </c>
      <c r="Q20" s="9">
        <v>2793000000</v>
      </c>
      <c r="R20" s="9">
        <v>2450000000</v>
      </c>
      <c r="S20" s="9">
        <v>2475000000</v>
      </c>
      <c r="T20" s="9">
        <v>2624000000</v>
      </c>
      <c r="U20" s="9">
        <v>2255000000</v>
      </c>
      <c r="V20" s="9">
        <v>1474000000</v>
      </c>
      <c r="W20" s="9">
        <v>1740000000</v>
      </c>
      <c r="X20" s="9">
        <v>1759000000</v>
      </c>
      <c r="Y20" s="9">
        <v>2795000000</v>
      </c>
      <c r="Z20" s="9">
        <v>2065000000</v>
      </c>
      <c r="AA20" s="9">
        <v>2589000000</v>
      </c>
      <c r="AB20" s="9">
        <v>2628000000</v>
      </c>
      <c r="AC20" s="9">
        <v>1703000000</v>
      </c>
      <c r="AD20" s="9">
        <v>1000000000</v>
      </c>
      <c r="AE20" s="9">
        <v>1818000000</v>
      </c>
      <c r="AF20" s="9">
        <v>2331000000</v>
      </c>
      <c r="AG20" s="9">
        <v>1327000000</v>
      </c>
      <c r="AH20" s="9">
        <v>-2717000000</v>
      </c>
      <c r="AI20" s="9">
        <v>1444000000</v>
      </c>
      <c r="AJ20" s="9">
        <v>1372000000</v>
      </c>
      <c r="AK20" s="9">
        <v>1184000000</v>
      </c>
      <c r="AL20" s="9">
        <v>547000000</v>
      </c>
      <c r="AM20" s="9">
        <v>1050000000</v>
      </c>
      <c r="AN20" s="9">
        <v>3460000000</v>
      </c>
      <c r="AO20" s="9">
        <v>1493000000</v>
      </c>
      <c r="AP20" s="9">
        <v>1236000000</v>
      </c>
      <c r="AQ20" s="9">
        <v>1453000000</v>
      </c>
      <c r="AR20" s="9">
        <v>3111000000</v>
      </c>
      <c r="AS20" s="9">
        <v>1566000000</v>
      </c>
      <c r="AT20" s="9">
        <v>771000000</v>
      </c>
      <c r="AU20" s="9">
        <v>2122000000</v>
      </c>
      <c r="AV20" s="9">
        <v>2605000000</v>
      </c>
      <c r="AW20" s="9">
        <v>1626000000</v>
      </c>
      <c r="AX20" s="9">
        <v>1708000000</v>
      </c>
      <c r="AY20" s="9">
        <v>2455000000</v>
      </c>
      <c r="AZ20" s="9">
        <v>2694000000</v>
      </c>
      <c r="BA20" s="9">
        <v>1769000000</v>
      </c>
      <c r="BB20" s="9">
        <v>1890000000</v>
      </c>
      <c r="BC20" s="9">
        <v>2329000000</v>
      </c>
      <c r="BD20" s="9">
        <v>2800000000</v>
      </c>
      <c r="BE20" s="9">
        <v>2067000000</v>
      </c>
      <c r="BF20" s="9">
        <v>1677000000</v>
      </c>
      <c r="BG20" s="9">
        <v>2246000000</v>
      </c>
      <c r="BH20" s="9">
        <v>2807000000</v>
      </c>
      <c r="BI20" s="9">
        <v>1916000000</v>
      </c>
      <c r="BJ20" s="9">
        <v>5762000000</v>
      </c>
      <c r="BK20" s="9">
        <v>2067000000</v>
      </c>
      <c r="BL20" s="9">
        <v>2382000000</v>
      </c>
      <c r="BM20" s="9">
        <v>1626000000</v>
      </c>
      <c r="BN20" s="9">
        <v>1578000000</v>
      </c>
      <c r="BO20" s="9">
        <v>1920000000</v>
      </c>
      <c r="BP20" s="9">
        <v>2049000000</v>
      </c>
      <c r="BQ20" s="9">
        <v>1359000000</v>
      </c>
      <c r="BR20" s="9">
        <v>1005000000</v>
      </c>
      <c r="BS20" s="9">
        <v>1915000000</v>
      </c>
      <c r="BT20" s="9">
        <v>1443000000</v>
      </c>
      <c r="BU20" s="9">
        <v>1511000000</v>
      </c>
      <c r="BV20" s="9">
        <v>1260000000</v>
      </c>
      <c r="BW20" s="9">
        <v>1654000000</v>
      </c>
      <c r="BX20" s="9">
        <v>1851000000</v>
      </c>
      <c r="BY20" s="9">
        <v>1262000000</v>
      </c>
      <c r="BZ20" s="9">
        <v>678000000</v>
      </c>
      <c r="CA20" s="9">
        <v>1460000000</v>
      </c>
      <c r="CB20" s="9">
        <v>1836000000</v>
      </c>
      <c r="CC20" s="9">
        <v>1106000000</v>
      </c>
      <c r="CD20" s="9">
        <v>864000000</v>
      </c>
      <c r="CE20" s="9">
        <v>1283000000</v>
      </c>
      <c r="CF20" s="9">
        <v>1723000000</v>
      </c>
      <c r="CG20" s="9">
        <v>1002000000</v>
      </c>
      <c r="CH20" s="9">
        <v>1201000000</v>
      </c>
      <c r="CI20" s="9">
        <v>935000000</v>
      </c>
      <c r="CJ20" s="9">
        <v>1584000000</v>
      </c>
      <c r="CK20" s="9">
        <v>1127000000</v>
      </c>
      <c r="CL20" s="9">
        <v>927000000</v>
      </c>
      <c r="CM20" s="9">
        <v>1223000000</v>
      </c>
      <c r="CN20" s="9">
        <v>1362000000</v>
      </c>
      <c r="CO20" s="9">
        <v>835000000</v>
      </c>
      <c r="CP20" s="9">
        <v>930000000</v>
      </c>
      <c r="CQ20" s="9">
        <v>1091000000</v>
      </c>
      <c r="CR20" s="9">
        <v>1223000000</v>
      </c>
      <c r="CS20" s="9">
        <v>732000000</v>
      </c>
      <c r="CT20" s="9">
        <v>914000000</v>
      </c>
      <c r="CU20" s="9">
        <v>1074000000</v>
      </c>
      <c r="CV20" s="9">
        <v>1118000000</v>
      </c>
      <c r="CW20" s="9">
        <v>873000000</v>
      </c>
      <c r="CX20" s="9">
        <v>242000000</v>
      </c>
      <c r="CY20" s="9">
        <v>1067000000</v>
      </c>
      <c r="CZ20" s="9">
        <v>926000000</v>
      </c>
      <c r="DA20" s="9">
        <v>-58000000</v>
      </c>
      <c r="DB20" s="9">
        <v>-45000000</v>
      </c>
      <c r="DC20" s="9">
        <v>787000000</v>
      </c>
      <c r="DD20" s="9">
        <v>942000000</v>
      </c>
      <c r="DE20" s="9">
        <v>747000000</v>
      </c>
      <c r="DF20" s="9">
        <v>597000000</v>
      </c>
      <c r="DG20" s="9">
        <v>888000000</v>
      </c>
      <c r="DH20" s="9">
        <v>1191000000</v>
      </c>
      <c r="DI20" s="9">
        <v>857000000</v>
      </c>
      <c r="DJ20" s="9">
        <v>817000000</v>
      </c>
      <c r="DK20" s="9">
        <v>1011000000</v>
      </c>
      <c r="DL20" s="9">
        <v>1314000000</v>
      </c>
      <c r="DM20" s="9">
        <v>987000000</v>
      </c>
      <c r="DN20" s="9">
        <v>762000000</v>
      </c>
      <c r="DO20" s="9">
        <v>967000000</v>
      </c>
      <c r="DP20" s="9">
        <v>1050000000</v>
      </c>
      <c r="DQ20" s="9">
        <v>713000000</v>
      </c>
      <c r="DR20" s="9">
        <v>648000000</v>
      </c>
      <c r="DS20" s="9">
        <v>802000000</v>
      </c>
      <c r="DT20" s="9">
        <v>898000000</v>
      </c>
      <c r="DU20" s="9">
        <v>638000000</v>
      </c>
      <c r="DV20" s="9">
        <v>567000000</v>
      </c>
      <c r="DW20" s="9">
        <v>708000000</v>
      </c>
      <c r="DX20" s="9">
        <v>758000000</v>
      </c>
      <c r="DY20" s="9">
        <v>521000000</v>
      </c>
      <c r="DZ20" s="9">
        <v>473000000</v>
      </c>
      <c r="EA20" s="9">
        <v>576000000</v>
      </c>
      <c r="EB20" s="9">
        <v>678000000</v>
      </c>
      <c r="EC20" s="9">
        <v>442000000</v>
      </c>
      <c r="ED20" s="9">
        <v>392579000</v>
      </c>
      <c r="EE20" s="9">
        <v>540603000</v>
      </c>
      <c r="EF20" s="9">
        <v>565000000</v>
      </c>
      <c r="EG20" s="9">
        <v>386000000</v>
      </c>
      <c r="EH20" s="9">
        <v>358383000</v>
      </c>
      <c r="EI20" s="9">
        <v>456313000</v>
      </c>
      <c r="EJ20" s="9">
        <v>482392000</v>
      </c>
      <c r="EK20" s="9">
        <v>320914000</v>
      </c>
      <c r="EL20" s="9">
        <v>294335000</v>
      </c>
      <c r="EM20" s="9">
        <v>394172000</v>
      </c>
      <c r="EN20" s="9">
        <v>409932000</v>
      </c>
      <c r="EO20" s="9">
        <v>283465000</v>
      </c>
      <c r="EP20" s="9">
        <v>226243000</v>
      </c>
      <c r="EQ20" s="9">
        <v>361268000</v>
      </c>
      <c r="ER20" s="9">
        <v>345519000</v>
      </c>
      <c r="ES20" s="9">
        <v>259809000.00000003</v>
      </c>
      <c r="ET20" s="9">
        <v>235491000</v>
      </c>
      <c r="EU20" s="9">
        <v>295616000</v>
      </c>
      <c r="EV20" s="9">
        <v>303058000</v>
      </c>
      <c r="EW20" s="9">
        <v>210538000</v>
      </c>
      <c r="EX20" s="9">
        <v>192955000</v>
      </c>
      <c r="EY20" s="9">
        <v>271363000</v>
      </c>
      <c r="EZ20" s="9">
        <v>266370000</v>
      </c>
      <c r="FA20" s="9">
        <v>185448000</v>
      </c>
      <c r="FB20" s="9"/>
    </row>
    <row r="21" spans="1:158" x14ac:dyDescent="0.25">
      <c r="A21" t="s">
        <v>14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73000000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  <c r="CR21" s="9">
        <v>0</v>
      </c>
      <c r="CS21" s="9">
        <v>0</v>
      </c>
      <c r="CT21" s="9">
        <v>0</v>
      </c>
      <c r="CU21" s="9">
        <v>0</v>
      </c>
      <c r="CV21" s="9">
        <v>0</v>
      </c>
      <c r="CW21" s="9">
        <v>0</v>
      </c>
      <c r="CX21" s="9">
        <v>0</v>
      </c>
      <c r="CY21" s="9">
        <v>0</v>
      </c>
      <c r="CZ21" s="9">
        <v>0</v>
      </c>
      <c r="DA21" s="9">
        <v>0</v>
      </c>
      <c r="DB21" s="9">
        <v>0</v>
      </c>
      <c r="DC21" s="9">
        <v>0</v>
      </c>
      <c r="DD21" s="9">
        <v>0</v>
      </c>
      <c r="DE21" s="9">
        <v>0</v>
      </c>
      <c r="DF21" s="9">
        <v>0</v>
      </c>
      <c r="DG21" s="9">
        <v>0</v>
      </c>
      <c r="DH21" s="9">
        <v>0</v>
      </c>
      <c r="DI21" s="9">
        <v>0</v>
      </c>
      <c r="DJ21" s="9">
        <v>0</v>
      </c>
      <c r="DK21" s="9">
        <v>0</v>
      </c>
      <c r="DL21" s="9">
        <v>0</v>
      </c>
      <c r="DM21" s="9">
        <v>0</v>
      </c>
      <c r="DN21" s="9">
        <v>0</v>
      </c>
      <c r="DO21" s="9">
        <v>0</v>
      </c>
      <c r="DP21" s="9">
        <v>0</v>
      </c>
      <c r="DQ21" s="9">
        <v>0</v>
      </c>
      <c r="DR21" s="9">
        <v>0</v>
      </c>
      <c r="DS21" s="9">
        <v>0</v>
      </c>
      <c r="DT21" s="9">
        <v>0</v>
      </c>
      <c r="DU21" s="9">
        <v>0</v>
      </c>
      <c r="DV21" s="9">
        <v>0</v>
      </c>
      <c r="DW21" s="9">
        <v>0</v>
      </c>
      <c r="DX21" s="9">
        <v>0</v>
      </c>
      <c r="DY21" s="9">
        <v>0</v>
      </c>
      <c r="DZ21" s="9">
        <v>0</v>
      </c>
      <c r="EA21" s="9">
        <v>0</v>
      </c>
      <c r="EB21" s="9">
        <v>0</v>
      </c>
      <c r="EC21" s="9">
        <v>0</v>
      </c>
      <c r="ED21" s="9">
        <v>-1998000000</v>
      </c>
      <c r="EE21" s="9">
        <v>-1998000000</v>
      </c>
      <c r="EF21" s="9">
        <v>0</v>
      </c>
      <c r="EG21" s="9">
        <v>-219000000</v>
      </c>
      <c r="EH21" s="9">
        <v>0</v>
      </c>
      <c r="EI21" s="9">
        <v>0</v>
      </c>
      <c r="EJ21" s="9">
        <v>0</v>
      </c>
      <c r="EK21" s="9">
        <v>0</v>
      </c>
      <c r="EL21" s="9">
        <v>0</v>
      </c>
      <c r="EM21" s="9">
        <v>0</v>
      </c>
      <c r="EN21" s="9">
        <v>0</v>
      </c>
      <c r="EO21" s="9">
        <v>0</v>
      </c>
      <c r="EP21" s="9">
        <v>530986000</v>
      </c>
      <c r="EQ21" s="9">
        <v>0</v>
      </c>
      <c r="ER21" s="9">
        <v>0</v>
      </c>
      <c r="ES21" s="9">
        <v>0</v>
      </c>
      <c r="ET21" s="9">
        <v>0</v>
      </c>
      <c r="EU21" s="9">
        <v>0</v>
      </c>
      <c r="EV21" s="9">
        <v>0</v>
      </c>
      <c r="EW21" s="9">
        <v>0</v>
      </c>
      <c r="EX21" s="9">
        <v>0</v>
      </c>
      <c r="EY21" s="9">
        <v>0</v>
      </c>
      <c r="EZ21" s="9">
        <v>0</v>
      </c>
      <c r="FA21" s="9">
        <v>0</v>
      </c>
      <c r="FB21" s="8"/>
    </row>
    <row r="23" spans="1:158" x14ac:dyDescent="0.25">
      <c r="A23" s="4" t="s">
        <v>15</v>
      </c>
      <c r="B23" s="10">
        <v>2271000000</v>
      </c>
      <c r="C23" s="10">
        <v>3696000000</v>
      </c>
      <c r="D23" s="10">
        <v>3810000000</v>
      </c>
      <c r="E23" s="10">
        <v>3330000000</v>
      </c>
      <c r="F23" s="10">
        <v>2195000000</v>
      </c>
      <c r="G23" s="10">
        <v>2848000000</v>
      </c>
      <c r="H23" s="10">
        <v>2411000000</v>
      </c>
      <c r="I23" s="10">
        <v>3177000000</v>
      </c>
      <c r="J23" s="10">
        <v>1973000000</v>
      </c>
      <c r="K23" s="10">
        <v>3087000000</v>
      </c>
      <c r="L23" s="10">
        <v>2547000000</v>
      </c>
      <c r="M23" s="10">
        <v>3107000000</v>
      </c>
      <c r="N23" s="10">
        <v>2031000000</v>
      </c>
      <c r="O23" s="10">
        <v>2825000000</v>
      </c>
      <c r="P23" s="10">
        <v>1905000000</v>
      </c>
      <c r="Q23" s="10">
        <v>2781000000</v>
      </c>
      <c r="R23" s="10">
        <v>2414000000</v>
      </c>
      <c r="S23" s="10">
        <v>2471000000</v>
      </c>
      <c r="T23" s="10">
        <v>2641000000</v>
      </c>
      <c r="U23" s="10">
        <v>2245000000</v>
      </c>
      <c r="V23" s="10">
        <v>1456000000</v>
      </c>
      <c r="W23" s="10">
        <v>1737000000</v>
      </c>
      <c r="X23" s="10">
        <v>1779000000</v>
      </c>
      <c r="Y23" s="10">
        <v>2775000000</v>
      </c>
      <c r="Z23" s="10">
        <v>2042000000</v>
      </c>
      <c r="AA23" s="10">
        <v>2593000000</v>
      </c>
      <c r="AB23" s="10">
        <v>2607000000</v>
      </c>
      <c r="AC23" s="10">
        <v>1678000000</v>
      </c>
      <c r="AD23" s="10">
        <v>870000000</v>
      </c>
      <c r="AE23" s="10">
        <v>1880000000</v>
      </c>
      <c r="AF23" s="10">
        <v>2316000000</v>
      </c>
      <c r="AG23" s="10">
        <v>1368000000</v>
      </c>
      <c r="AH23" s="10">
        <v>-2752000000</v>
      </c>
      <c r="AI23" s="10">
        <v>1447000000</v>
      </c>
      <c r="AJ23" s="10">
        <v>1371000000</v>
      </c>
      <c r="AK23" s="10">
        <v>1182000000</v>
      </c>
      <c r="AL23" s="10">
        <v>550000000</v>
      </c>
      <c r="AM23" s="10">
        <v>1046000000</v>
      </c>
      <c r="AN23" s="10">
        <v>3448000000</v>
      </c>
      <c r="AO23" s="10">
        <v>1483000000</v>
      </c>
      <c r="AP23" s="10">
        <v>1237000000</v>
      </c>
      <c r="AQ23" s="10">
        <v>1449000000</v>
      </c>
      <c r="AR23" s="10">
        <v>3108000000</v>
      </c>
      <c r="AS23" s="10">
        <v>1557000000</v>
      </c>
      <c r="AT23" s="10">
        <v>770000000</v>
      </c>
      <c r="AU23" s="10">
        <v>2114000000</v>
      </c>
      <c r="AV23" s="10">
        <v>2595000000</v>
      </c>
      <c r="AW23" s="10">
        <v>1619000000</v>
      </c>
      <c r="AX23" s="10">
        <v>1710000000</v>
      </c>
      <c r="AY23" s="10">
        <v>2447000000</v>
      </c>
      <c r="AZ23" s="10">
        <v>2676000000</v>
      </c>
      <c r="BA23" s="10">
        <v>1751000000</v>
      </c>
      <c r="BB23" s="10">
        <v>1866000000</v>
      </c>
      <c r="BC23" s="10">
        <v>2311000000</v>
      </c>
      <c r="BD23" s="10">
        <v>2788000000</v>
      </c>
      <c r="BE23" s="10">
        <v>2054000000</v>
      </c>
      <c r="BF23" s="10">
        <v>1657000000</v>
      </c>
      <c r="BG23" s="10">
        <v>2224000000</v>
      </c>
      <c r="BH23" s="10">
        <v>2800000000</v>
      </c>
      <c r="BI23" s="10">
        <v>1903000000</v>
      </c>
      <c r="BJ23" s="10">
        <v>5749000000</v>
      </c>
      <c r="BK23" s="10">
        <v>2055000000</v>
      </c>
      <c r="BL23" s="10">
        <v>2369000000</v>
      </c>
      <c r="BM23" s="10">
        <v>1614000000</v>
      </c>
      <c r="BN23" s="10">
        <v>1543000000</v>
      </c>
      <c r="BO23" s="10">
        <v>1896000000</v>
      </c>
      <c r="BP23" s="10">
        <v>2037000000</v>
      </c>
      <c r="BQ23" s="10">
        <v>1348000000</v>
      </c>
      <c r="BR23" s="10">
        <v>995000000</v>
      </c>
      <c r="BS23" s="10">
        <v>1890000000</v>
      </c>
      <c r="BT23" s="10">
        <v>1422000000</v>
      </c>
      <c r="BU23" s="10">
        <v>1500000000</v>
      </c>
      <c r="BV23" s="10">
        <v>1214000000</v>
      </c>
      <c r="BW23" s="10">
        <v>1654000000</v>
      </c>
      <c r="BX23" s="10">
        <v>1851000000</v>
      </c>
      <c r="BY23" s="10">
        <v>1262000000</v>
      </c>
      <c r="BZ23" s="10">
        <v>678000000</v>
      </c>
      <c r="CA23" s="10">
        <v>1460000000</v>
      </c>
      <c r="CB23" s="10">
        <v>1836000000</v>
      </c>
      <c r="CC23" s="10">
        <v>1106000000</v>
      </c>
      <c r="CD23" s="10">
        <v>864000000</v>
      </c>
      <c r="CE23" s="10">
        <v>1283000000</v>
      </c>
      <c r="CF23" s="10">
        <v>1723000000</v>
      </c>
      <c r="CG23" s="10">
        <v>1002000000</v>
      </c>
      <c r="CH23" s="10">
        <v>1201000000</v>
      </c>
      <c r="CI23" s="10">
        <v>935000000</v>
      </c>
      <c r="CJ23" s="10">
        <v>1584000000</v>
      </c>
      <c r="CK23" s="10">
        <v>1127000000</v>
      </c>
      <c r="CL23" s="10">
        <v>927000000</v>
      </c>
      <c r="CM23" s="10">
        <v>1223000000</v>
      </c>
      <c r="CN23" s="10">
        <v>1362000000</v>
      </c>
      <c r="CO23" s="10">
        <v>835000000</v>
      </c>
      <c r="CP23" s="10">
        <v>930000000</v>
      </c>
      <c r="CQ23" s="10">
        <v>1091000000</v>
      </c>
      <c r="CR23" s="10">
        <v>1223000000</v>
      </c>
      <c r="CS23" s="10">
        <v>-194000000</v>
      </c>
      <c r="CT23" s="10">
        <v>914000000</v>
      </c>
      <c r="CU23" s="10">
        <v>1074000000</v>
      </c>
      <c r="CV23" s="10">
        <v>1118000000</v>
      </c>
      <c r="CW23" s="10">
        <v>863000000</v>
      </c>
      <c r="CX23" s="10">
        <v>242000000</v>
      </c>
      <c r="CY23" s="10">
        <v>1067000000</v>
      </c>
      <c r="CZ23" s="10">
        <v>926000000</v>
      </c>
      <c r="DA23" s="10">
        <v>-58000000</v>
      </c>
      <c r="DB23" s="10">
        <v>-45000000</v>
      </c>
      <c r="DC23" s="10">
        <v>787000000</v>
      </c>
      <c r="DD23" s="10">
        <v>942000000</v>
      </c>
      <c r="DE23" s="10">
        <v>747000000</v>
      </c>
      <c r="DF23" s="10">
        <v>597000000</v>
      </c>
      <c r="DG23" s="10">
        <v>888000000</v>
      </c>
      <c r="DH23" s="10">
        <v>1191000000</v>
      </c>
      <c r="DI23" s="10">
        <v>857000000</v>
      </c>
      <c r="DJ23" s="10">
        <v>817000000</v>
      </c>
      <c r="DK23" s="10">
        <v>1011000000</v>
      </c>
      <c r="DL23" s="10">
        <v>1314000000</v>
      </c>
      <c r="DM23" s="10">
        <v>987000000</v>
      </c>
      <c r="DN23" s="10">
        <v>762000000</v>
      </c>
      <c r="DO23" s="10">
        <v>967000000</v>
      </c>
      <c r="DP23" s="10">
        <v>1050000000</v>
      </c>
      <c r="DQ23" s="10">
        <v>713000000</v>
      </c>
      <c r="DR23" s="10">
        <v>648000000</v>
      </c>
      <c r="DS23" s="10">
        <v>802000000</v>
      </c>
      <c r="DT23" s="10">
        <v>898000000</v>
      </c>
      <c r="DU23" s="10">
        <v>638000000</v>
      </c>
      <c r="DV23" s="10">
        <v>567000000</v>
      </c>
      <c r="DW23" s="10">
        <v>708000000</v>
      </c>
      <c r="DX23" s="10">
        <v>758000000</v>
      </c>
      <c r="DY23" s="10">
        <v>521000000</v>
      </c>
      <c r="DZ23" s="10">
        <v>473000000</v>
      </c>
      <c r="EA23" s="10">
        <v>576000000</v>
      </c>
      <c r="EB23" s="10">
        <v>678000000</v>
      </c>
      <c r="EC23" s="10">
        <v>442000000</v>
      </c>
      <c r="ED23" s="10">
        <v>392579000</v>
      </c>
      <c r="EE23" s="10">
        <v>540603000</v>
      </c>
      <c r="EF23" s="10">
        <v>565000000</v>
      </c>
      <c r="EG23" s="10">
        <v>167000000</v>
      </c>
      <c r="EH23" s="10">
        <v>358383000</v>
      </c>
      <c r="EI23" s="10">
        <v>456313000</v>
      </c>
      <c r="EJ23" s="10">
        <v>482392000</v>
      </c>
      <c r="EK23" s="10">
        <v>320914000</v>
      </c>
      <c r="EL23" s="10">
        <v>294335000</v>
      </c>
      <c r="EM23" s="10">
        <v>394172000</v>
      </c>
      <c r="EN23" s="10">
        <v>409932000</v>
      </c>
      <c r="EO23" s="10">
        <v>283465000</v>
      </c>
      <c r="EP23" s="10">
        <v>757229000</v>
      </c>
      <c r="EQ23" s="10">
        <v>361268000</v>
      </c>
      <c r="ER23" s="10">
        <v>345519000</v>
      </c>
      <c r="ES23" s="10">
        <v>259809000.00000003</v>
      </c>
      <c r="ET23" s="10">
        <v>235491000</v>
      </c>
      <c r="EU23" s="10">
        <v>295616000</v>
      </c>
      <c r="EV23" s="10">
        <v>303058000</v>
      </c>
      <c r="EW23" s="10">
        <v>210538000</v>
      </c>
      <c r="EX23" s="10">
        <v>192955000</v>
      </c>
      <c r="EY23" s="10">
        <v>271363000</v>
      </c>
      <c r="EZ23" s="10">
        <v>266370000</v>
      </c>
      <c r="FA23" s="10">
        <v>185448000</v>
      </c>
      <c r="FB23" s="7">
        <v>0</v>
      </c>
    </row>
    <row r="25" spans="1:158" x14ac:dyDescent="0.25">
      <c r="A25" t="s">
        <v>16</v>
      </c>
      <c r="B25" s="9">
        <v>1538000000</v>
      </c>
      <c r="C25" s="9">
        <v>1145000000</v>
      </c>
      <c r="D25" s="9">
        <v>949000000</v>
      </c>
      <c r="E25" s="9">
        <v>1006000000</v>
      </c>
      <c r="F25" s="9">
        <v>1258000000</v>
      </c>
      <c r="G25" s="9">
        <v>879000000</v>
      </c>
      <c r="H25" s="9">
        <v>866000000</v>
      </c>
      <c r="I25" s="9">
        <v>1000000000</v>
      </c>
      <c r="J25" s="9">
        <v>1172000000</v>
      </c>
      <c r="K25" s="9">
        <v>863000000</v>
      </c>
      <c r="L25" s="9">
        <v>637000000</v>
      </c>
      <c r="M25" s="9">
        <v>829000000</v>
      </c>
      <c r="N25" s="9">
        <v>959000000</v>
      </c>
      <c r="O25" s="9">
        <v>677000000</v>
      </c>
      <c r="P25" s="9">
        <v>583222900</v>
      </c>
      <c r="Q25" s="9">
        <v>770956100</v>
      </c>
      <c r="R25" s="9">
        <v>836534200</v>
      </c>
      <c r="S25" s="9">
        <v>579484900</v>
      </c>
      <c r="T25" s="9">
        <v>487078100</v>
      </c>
      <c r="U25" s="9">
        <v>644703900</v>
      </c>
      <c r="V25" s="9">
        <v>693266800</v>
      </c>
      <c r="W25" s="9">
        <v>493996100</v>
      </c>
      <c r="X25" s="9">
        <v>421468000</v>
      </c>
      <c r="Y25" s="9">
        <v>512429900</v>
      </c>
      <c r="Z25" s="9">
        <v>579682100</v>
      </c>
      <c r="AA25" s="9">
        <v>437983200</v>
      </c>
      <c r="AB25" s="9">
        <v>381755100</v>
      </c>
      <c r="AC25" s="9">
        <v>458300000</v>
      </c>
      <c r="AD25" s="9">
        <v>498775100</v>
      </c>
      <c r="AE25" s="9">
        <v>386955000</v>
      </c>
      <c r="AF25" s="9">
        <v>340715000</v>
      </c>
      <c r="AG25" s="9">
        <v>431427000</v>
      </c>
      <c r="AH25" s="9">
        <v>465457000</v>
      </c>
      <c r="AI25" s="9">
        <v>360702000</v>
      </c>
      <c r="AJ25" s="9">
        <v>182247000</v>
      </c>
      <c r="AK25" s="9">
        <v>394154100</v>
      </c>
      <c r="AL25" s="9">
        <v>423273900</v>
      </c>
      <c r="AM25" s="9">
        <v>324115000</v>
      </c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</row>
    <row r="26" spans="1:158" x14ac:dyDescent="0.25">
      <c r="A26" t="s">
        <v>17</v>
      </c>
      <c r="B26" s="9">
        <v>1415000000</v>
      </c>
      <c r="C26" s="9">
        <v>1033000000</v>
      </c>
      <c r="D26" s="9">
        <v>949000000</v>
      </c>
      <c r="E26" s="9">
        <v>1006000000</v>
      </c>
      <c r="F26" s="9">
        <v>1258000000</v>
      </c>
      <c r="G26" s="9">
        <v>879000000</v>
      </c>
      <c r="H26" s="9">
        <v>866000000</v>
      </c>
      <c r="I26" s="9">
        <v>1000000000</v>
      </c>
      <c r="J26" s="9">
        <v>1070000000</v>
      </c>
      <c r="K26" s="9">
        <v>772000000</v>
      </c>
      <c r="L26" s="9">
        <v>637000000</v>
      </c>
      <c r="M26" s="9">
        <v>829000000</v>
      </c>
      <c r="N26" s="9">
        <v>959000000</v>
      </c>
      <c r="O26" s="9">
        <v>677000000</v>
      </c>
      <c r="P26" s="9">
        <v>583222900</v>
      </c>
      <c r="Q26" s="9">
        <v>770956100</v>
      </c>
      <c r="R26" s="9">
        <v>836534200</v>
      </c>
      <c r="S26" s="9">
        <v>579484900</v>
      </c>
      <c r="T26" s="9">
        <v>487078100</v>
      </c>
      <c r="U26" s="9">
        <v>644703900</v>
      </c>
      <c r="V26" s="9">
        <v>693266800</v>
      </c>
      <c r="W26" s="9">
        <v>493996100</v>
      </c>
      <c r="X26" s="9">
        <v>421468000</v>
      </c>
      <c r="Y26" s="9">
        <v>512429900</v>
      </c>
      <c r="Z26" s="9">
        <v>579682100</v>
      </c>
      <c r="AA26" s="9">
        <v>437983200</v>
      </c>
      <c r="AB26" s="9">
        <v>381755100</v>
      </c>
      <c r="AC26" s="9">
        <v>458300000</v>
      </c>
      <c r="AD26" s="9">
        <v>498775100</v>
      </c>
      <c r="AE26" s="9">
        <v>386955000</v>
      </c>
      <c r="AF26" s="9">
        <v>340715000</v>
      </c>
      <c r="AG26" s="9">
        <v>431427000</v>
      </c>
      <c r="AH26" s="9">
        <v>465457000</v>
      </c>
      <c r="AI26" s="9">
        <v>360702000</v>
      </c>
      <c r="AJ26" s="9">
        <v>182247000</v>
      </c>
      <c r="AK26" s="9">
        <v>394154100</v>
      </c>
      <c r="AL26" s="9">
        <v>423273900</v>
      </c>
      <c r="AM26" s="9">
        <v>324115000</v>
      </c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</row>
    <row r="27" spans="1:158" x14ac:dyDescent="0.25">
      <c r="A27" t="s">
        <v>18</v>
      </c>
      <c r="B27" s="9">
        <v>4992000000</v>
      </c>
      <c r="C27" s="9">
        <v>5008000000</v>
      </c>
      <c r="D27" s="9">
        <v>5012000000</v>
      </c>
      <c r="E27" s="9">
        <v>5036000000</v>
      </c>
      <c r="F27" s="9">
        <v>5060000000</v>
      </c>
      <c r="G27" s="9">
        <v>5088000000</v>
      </c>
      <c r="H27" s="9">
        <v>5132000000</v>
      </c>
      <c r="I27" s="9">
        <v>5156000000</v>
      </c>
      <c r="J27" s="9">
        <v>5168000000</v>
      </c>
      <c r="K27" s="9">
        <v>5184000000</v>
      </c>
      <c r="L27" s="9">
        <v>5192000000</v>
      </c>
      <c r="M27" s="9">
        <v>5200000000</v>
      </c>
      <c r="N27" s="9">
        <v>5212000000</v>
      </c>
      <c r="O27" s="9">
        <v>5224000000</v>
      </c>
      <c r="P27" s="9">
        <v>5238836000</v>
      </c>
      <c r="Q27" s="9">
        <v>5254584000</v>
      </c>
      <c r="R27" s="9">
        <v>5271056000</v>
      </c>
      <c r="S27" s="9">
        <v>5307288000</v>
      </c>
      <c r="T27" s="9">
        <v>5315840000</v>
      </c>
      <c r="U27" s="9">
        <v>5321094000</v>
      </c>
      <c r="V27" s="9">
        <v>5331362000</v>
      </c>
      <c r="W27" s="9">
        <v>5335388000</v>
      </c>
      <c r="X27" s="9">
        <v>5345914000</v>
      </c>
      <c r="Y27" s="9">
        <v>5341026000</v>
      </c>
      <c r="Z27" s="9">
        <v>5339712000</v>
      </c>
      <c r="AA27" s="9">
        <v>5340552000</v>
      </c>
      <c r="AB27" s="9">
        <v>5392238000</v>
      </c>
      <c r="AC27" s="9">
        <v>5461042000</v>
      </c>
      <c r="AD27" s="9">
        <v>5534418000</v>
      </c>
      <c r="AE27" s="9">
        <v>5602486000</v>
      </c>
      <c r="AF27" s="9">
        <v>5676616000</v>
      </c>
      <c r="AG27" s="9">
        <v>0</v>
      </c>
      <c r="AH27" s="9">
        <v>5845220000</v>
      </c>
      <c r="AI27" s="9">
        <v>591044000</v>
      </c>
      <c r="AJ27" s="9">
        <v>5957698000</v>
      </c>
      <c r="AK27" s="9">
        <v>6006550000</v>
      </c>
      <c r="AL27" s="9">
        <v>6031696000</v>
      </c>
      <c r="AM27" s="9">
        <v>6049004000</v>
      </c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</row>
    <row r="28" spans="1:158" x14ac:dyDescent="0.25">
      <c r="A28" t="s">
        <v>19</v>
      </c>
      <c r="B28" s="9">
        <v>4988124000</v>
      </c>
      <c r="C28" s="9">
        <v>5008000000</v>
      </c>
      <c r="D28" s="9">
        <v>5012000000</v>
      </c>
      <c r="E28" s="9">
        <v>5036000000</v>
      </c>
      <c r="F28" s="9">
        <v>5060000000</v>
      </c>
      <c r="G28" s="9">
        <v>5088000000</v>
      </c>
      <c r="H28" s="9">
        <v>5132000000</v>
      </c>
      <c r="I28" s="9">
        <v>5156000000</v>
      </c>
      <c r="J28" s="9">
        <v>5168000000</v>
      </c>
      <c r="K28" s="9">
        <v>5184000000</v>
      </c>
      <c r="L28" s="9">
        <v>5192000000</v>
      </c>
      <c r="M28" s="9">
        <v>5196142000</v>
      </c>
      <c r="N28" s="9">
        <v>5204396000</v>
      </c>
      <c r="O28" s="9">
        <v>5220280000</v>
      </c>
      <c r="P28" s="9">
        <v>5227084000</v>
      </c>
      <c r="Q28" s="9">
        <v>5254584000</v>
      </c>
      <c r="R28" s="9">
        <v>5271056000</v>
      </c>
      <c r="S28" s="9">
        <v>10631680000</v>
      </c>
      <c r="T28" s="9">
        <v>10631680000</v>
      </c>
      <c r="U28" s="9">
        <v>5321094000</v>
      </c>
      <c r="V28" s="9">
        <v>5331362000</v>
      </c>
      <c r="W28" s="9">
        <v>5335388000</v>
      </c>
      <c r="X28" s="9">
        <v>5345914000</v>
      </c>
      <c r="Y28" s="9">
        <v>5341026000</v>
      </c>
      <c r="Z28" s="9">
        <v>5339712000</v>
      </c>
      <c r="AA28" s="9">
        <v>5340552000</v>
      </c>
      <c r="AB28" s="9">
        <v>5392238000</v>
      </c>
      <c r="AC28" s="9">
        <v>5461042000</v>
      </c>
      <c r="AD28" s="9">
        <v>5534418000</v>
      </c>
      <c r="AE28" s="9">
        <v>5602486000</v>
      </c>
      <c r="AF28" s="9">
        <v>5676616000</v>
      </c>
      <c r="AG28" s="9">
        <v>0</v>
      </c>
      <c r="AH28" s="9">
        <v>5845220000</v>
      </c>
      <c r="AI28" s="9">
        <v>591044000</v>
      </c>
      <c r="AJ28" s="9">
        <v>5957698000</v>
      </c>
      <c r="AK28" s="9">
        <v>6006550000</v>
      </c>
      <c r="AL28" s="9">
        <v>6031696000</v>
      </c>
      <c r="AM28" s="9">
        <v>6049004000</v>
      </c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</row>
    <row r="29" spans="1:158" x14ac:dyDescent="0.25">
      <c r="A29" t="s">
        <v>20</v>
      </c>
      <c r="B29">
        <v>0.53</v>
      </c>
      <c r="C29">
        <v>0.86</v>
      </c>
      <c r="D29">
        <v>0.89</v>
      </c>
      <c r="E29">
        <v>0.77</v>
      </c>
      <c r="F29">
        <v>0.51</v>
      </c>
      <c r="G29">
        <v>0.66</v>
      </c>
      <c r="H29">
        <v>0.56000000000000005</v>
      </c>
      <c r="I29">
        <v>0.74</v>
      </c>
      <c r="J29">
        <v>0.46</v>
      </c>
      <c r="K29">
        <v>0.71</v>
      </c>
      <c r="L29">
        <v>0.59</v>
      </c>
      <c r="M29">
        <v>0.72</v>
      </c>
      <c r="N29">
        <v>0.47</v>
      </c>
      <c r="O29">
        <v>0.65</v>
      </c>
      <c r="P29">
        <v>0.44</v>
      </c>
      <c r="Q29">
        <v>0.64</v>
      </c>
      <c r="R29">
        <v>0.56000000000000005</v>
      </c>
      <c r="S29">
        <v>0.56999999999999995</v>
      </c>
      <c r="T29">
        <v>0.61</v>
      </c>
      <c r="U29">
        <v>0.52</v>
      </c>
      <c r="V29">
        <v>0.34</v>
      </c>
      <c r="W29">
        <v>0.4</v>
      </c>
      <c r="X29">
        <v>0.41</v>
      </c>
      <c r="Y29">
        <v>0.65</v>
      </c>
      <c r="Z29">
        <v>0.48</v>
      </c>
      <c r="AA29">
        <v>0.61</v>
      </c>
      <c r="AB29">
        <v>0.61</v>
      </c>
      <c r="AC29">
        <v>0.39</v>
      </c>
      <c r="AD29">
        <v>0.21</v>
      </c>
      <c r="AE29">
        <v>0.44</v>
      </c>
      <c r="AF29">
        <v>0.54</v>
      </c>
      <c r="AG29">
        <v>0.32</v>
      </c>
      <c r="AH29">
        <v>-0.65</v>
      </c>
      <c r="AI29">
        <v>0.34</v>
      </c>
      <c r="AJ29">
        <v>0.32</v>
      </c>
      <c r="AK29">
        <v>0.28000000000000003</v>
      </c>
      <c r="AL29">
        <v>0.13</v>
      </c>
      <c r="AM29">
        <v>0.24</v>
      </c>
      <c r="AN29">
        <v>0.8</v>
      </c>
      <c r="AO29">
        <v>0.34</v>
      </c>
      <c r="AP29">
        <v>0.28999999999999998</v>
      </c>
      <c r="AQ29">
        <v>0.33</v>
      </c>
      <c r="AR29">
        <v>0.71</v>
      </c>
      <c r="AS29">
        <v>0.36</v>
      </c>
      <c r="AT29">
        <v>0.18</v>
      </c>
      <c r="AU29">
        <v>0.48</v>
      </c>
      <c r="AV29">
        <v>0.59</v>
      </c>
      <c r="AW29">
        <v>0.37</v>
      </c>
      <c r="AX29">
        <v>0.4</v>
      </c>
      <c r="AY29">
        <v>0.55000000000000004</v>
      </c>
      <c r="AZ29">
        <v>0.6</v>
      </c>
      <c r="BA29">
        <v>0.39</v>
      </c>
      <c r="BB29">
        <v>0.42</v>
      </c>
      <c r="BC29">
        <v>0.51</v>
      </c>
      <c r="BD29">
        <v>0.62</v>
      </c>
      <c r="BE29">
        <v>0.45</v>
      </c>
      <c r="BF29">
        <v>0.36499999999999999</v>
      </c>
      <c r="BG29">
        <v>0.49</v>
      </c>
      <c r="BH29">
        <v>0.61</v>
      </c>
      <c r="BI29">
        <v>0.41499999999999998</v>
      </c>
      <c r="BJ29">
        <v>1.24</v>
      </c>
      <c r="BK29">
        <v>0.44500000000000001</v>
      </c>
      <c r="BL29">
        <v>0.51500000000000001</v>
      </c>
      <c r="BM29">
        <v>0.35</v>
      </c>
      <c r="BN29">
        <v>0.33500000000000002</v>
      </c>
      <c r="BO29">
        <v>0.41</v>
      </c>
      <c r="BP29">
        <v>0.44</v>
      </c>
      <c r="BQ29">
        <v>0.28999999999999998</v>
      </c>
      <c r="BR29">
        <v>0.215</v>
      </c>
      <c r="BS29">
        <v>0.41</v>
      </c>
      <c r="BT29">
        <v>0.30499999999999999</v>
      </c>
      <c r="BU29">
        <v>0.32500000000000001</v>
      </c>
      <c r="BV29">
        <v>0.26</v>
      </c>
      <c r="BW29">
        <v>0.36</v>
      </c>
      <c r="BX29">
        <v>0.4</v>
      </c>
      <c r="BY29">
        <v>0.27500000000000002</v>
      </c>
      <c r="BZ29">
        <v>0.14499999999999999</v>
      </c>
      <c r="CA29">
        <v>0.31</v>
      </c>
      <c r="CB29">
        <v>0.39</v>
      </c>
      <c r="CC29">
        <v>0.23499999999999999</v>
      </c>
      <c r="CD29">
        <v>0.18</v>
      </c>
      <c r="CE29">
        <v>0.27</v>
      </c>
      <c r="CF29">
        <v>0.36</v>
      </c>
      <c r="CG29">
        <v>0.21</v>
      </c>
      <c r="CH29">
        <v>0.25</v>
      </c>
      <c r="CI29">
        <v>0.19500000000000001</v>
      </c>
      <c r="CJ29">
        <v>0.32500000000000001</v>
      </c>
      <c r="CK29">
        <v>0.23</v>
      </c>
      <c r="CL29">
        <v>0.19</v>
      </c>
      <c r="CM29">
        <v>0.25</v>
      </c>
      <c r="CN29">
        <v>0.27500000000000002</v>
      </c>
      <c r="CO29">
        <v>0.17</v>
      </c>
      <c r="CP29">
        <v>0.19</v>
      </c>
      <c r="CQ29">
        <v>0.22</v>
      </c>
      <c r="CR29">
        <v>0.245</v>
      </c>
      <c r="CS29">
        <v>-0.04</v>
      </c>
      <c r="CT29">
        <v>0.185</v>
      </c>
      <c r="CU29">
        <v>0.215</v>
      </c>
      <c r="CV29">
        <v>0.22500000000000001</v>
      </c>
      <c r="CW29">
        <v>0.17499999999999999</v>
      </c>
      <c r="CX29">
        <v>0.05</v>
      </c>
      <c r="CY29">
        <v>0.215</v>
      </c>
      <c r="CZ29">
        <v>0.185</v>
      </c>
      <c r="DA29">
        <v>-0.01</v>
      </c>
      <c r="DB29">
        <v>-0.01</v>
      </c>
      <c r="DC29">
        <v>0.16</v>
      </c>
      <c r="DD29">
        <v>0.19</v>
      </c>
      <c r="DE29">
        <v>0.15</v>
      </c>
      <c r="DF29">
        <v>0.12</v>
      </c>
      <c r="DG29">
        <v>0.18</v>
      </c>
      <c r="DH29">
        <v>0.24</v>
      </c>
      <c r="DI29">
        <v>0.17499999999999999</v>
      </c>
      <c r="DJ29">
        <v>0.16500000000000001</v>
      </c>
      <c r="DK29">
        <v>0.20499999999999999</v>
      </c>
      <c r="DL29">
        <v>0.26500000000000001</v>
      </c>
      <c r="DM29">
        <v>0.2</v>
      </c>
      <c r="DN29">
        <v>0.155</v>
      </c>
      <c r="DO29">
        <v>0.19500000000000001</v>
      </c>
      <c r="DP29">
        <v>0.21</v>
      </c>
      <c r="DQ29">
        <v>0.14249999999999999</v>
      </c>
      <c r="DR29">
        <v>0.13</v>
      </c>
      <c r="DS29">
        <v>0.16</v>
      </c>
      <c r="DT29">
        <v>0.17499999999999999</v>
      </c>
      <c r="DU29">
        <v>0.125</v>
      </c>
      <c r="DV29">
        <v>0.11</v>
      </c>
      <c r="DW29">
        <v>0.13750000000000001</v>
      </c>
      <c r="DX29">
        <v>0.14749999999999999</v>
      </c>
      <c r="DY29">
        <v>0.1</v>
      </c>
      <c r="DZ29">
        <v>0.09</v>
      </c>
      <c r="EA29">
        <v>0.11</v>
      </c>
      <c r="EB29">
        <v>0.13</v>
      </c>
      <c r="EC29">
        <v>8.5000000000000006E-2</v>
      </c>
      <c r="ED29">
        <v>7.4999999999999997E-2</v>
      </c>
      <c r="EE29">
        <v>0.10249999999999999</v>
      </c>
      <c r="EF29">
        <v>0.11</v>
      </c>
      <c r="EG29">
        <v>7.2499999999999995E-2</v>
      </c>
      <c r="EH29">
        <v>6.7400000000000002E-2</v>
      </c>
      <c r="EI29">
        <v>8.5800000000000001E-2</v>
      </c>
      <c r="EJ29">
        <v>9.0499999999999997E-2</v>
      </c>
      <c r="EK29">
        <v>6.0100000000000001E-2</v>
      </c>
      <c r="EL29">
        <v>5.5100000000000003E-2</v>
      </c>
      <c r="EM29">
        <v>7.3800000000000004E-2</v>
      </c>
      <c r="EN29">
        <v>7.6799999999999993E-2</v>
      </c>
      <c r="EO29">
        <v>5.3100000000000001E-2</v>
      </c>
      <c r="EP29">
        <v>0.1404</v>
      </c>
      <c r="EQ29">
        <v>6.6199999999999995E-2</v>
      </c>
      <c r="ER29">
        <v>6.2399999999999997E-2</v>
      </c>
      <c r="ES29">
        <v>4.6399999999999997E-2</v>
      </c>
      <c r="ET29">
        <v>4.1500000000000002E-2</v>
      </c>
      <c r="EU29">
        <v>0</v>
      </c>
      <c r="EV29">
        <v>51800</v>
      </c>
      <c r="EW29">
        <v>356200</v>
      </c>
      <c r="EX29">
        <v>32400</v>
      </c>
      <c r="EY29">
        <v>45200</v>
      </c>
      <c r="EZ29">
        <v>44200</v>
      </c>
      <c r="FA29">
        <v>30700</v>
      </c>
      <c r="FB29">
        <v>0</v>
      </c>
    </row>
    <row r="30" spans="1:158" x14ac:dyDescent="0.25">
      <c r="A30" t="s">
        <v>32</v>
      </c>
      <c r="B30">
        <v>0.53</v>
      </c>
      <c r="C30">
        <v>0.86</v>
      </c>
      <c r="D30">
        <v>0.88</v>
      </c>
      <c r="E30">
        <v>0.77</v>
      </c>
      <c r="F30">
        <v>0.5</v>
      </c>
      <c r="G30">
        <v>0.66</v>
      </c>
      <c r="H30">
        <v>0.56000000000000005</v>
      </c>
      <c r="I30">
        <v>0.74</v>
      </c>
      <c r="J30">
        <v>0.45</v>
      </c>
      <c r="K30">
        <v>0.71</v>
      </c>
      <c r="L30">
        <v>0.59</v>
      </c>
      <c r="M30">
        <v>0.72</v>
      </c>
      <c r="N30">
        <v>0.46</v>
      </c>
      <c r="O30">
        <v>0.65</v>
      </c>
      <c r="P30">
        <v>0.44</v>
      </c>
      <c r="Q30">
        <v>0.64</v>
      </c>
      <c r="R30">
        <v>0.55000000000000004</v>
      </c>
      <c r="S30">
        <v>0.56999999999999995</v>
      </c>
      <c r="T30">
        <v>0.61</v>
      </c>
      <c r="U30">
        <v>0.52</v>
      </c>
      <c r="V30">
        <v>0.34</v>
      </c>
      <c r="W30">
        <v>0.4</v>
      </c>
      <c r="X30">
        <v>0.41</v>
      </c>
      <c r="Y30">
        <v>0.64</v>
      </c>
      <c r="Z30">
        <v>0.47</v>
      </c>
      <c r="AA30">
        <v>0.6</v>
      </c>
      <c r="AB30">
        <v>0.61</v>
      </c>
      <c r="AC30">
        <v>0.39</v>
      </c>
      <c r="AD30">
        <v>0.2</v>
      </c>
      <c r="AE30">
        <v>0.44</v>
      </c>
      <c r="AF30">
        <v>0.54</v>
      </c>
      <c r="AG30">
        <v>0.32</v>
      </c>
      <c r="AH30">
        <v>-0.63</v>
      </c>
      <c r="AI30">
        <v>0.33</v>
      </c>
      <c r="AJ30">
        <v>0.32</v>
      </c>
      <c r="AK30">
        <v>0.27</v>
      </c>
      <c r="AL30">
        <v>0.12</v>
      </c>
      <c r="AM30">
        <v>0.24</v>
      </c>
      <c r="AN30">
        <v>0.79</v>
      </c>
      <c r="AO30">
        <v>0.34</v>
      </c>
      <c r="AP30">
        <v>0.28000000000000003</v>
      </c>
      <c r="AQ30">
        <v>0.33</v>
      </c>
      <c r="AR30">
        <v>0.71</v>
      </c>
      <c r="AS30">
        <v>0.35</v>
      </c>
      <c r="AT30">
        <v>0.18</v>
      </c>
      <c r="AU30">
        <v>0.48</v>
      </c>
      <c r="AV30">
        <v>0.57999999999999996</v>
      </c>
      <c r="AW30">
        <v>0.36</v>
      </c>
      <c r="AX30">
        <v>0.38</v>
      </c>
      <c r="AY30">
        <v>0.54</v>
      </c>
      <c r="AZ30">
        <v>0.59</v>
      </c>
      <c r="BA30">
        <v>0.39</v>
      </c>
      <c r="BB30">
        <v>0.41</v>
      </c>
      <c r="BC30">
        <v>0.5</v>
      </c>
      <c r="BD30">
        <v>0.61</v>
      </c>
      <c r="BE30">
        <v>0.45</v>
      </c>
      <c r="BF30">
        <v>0.36</v>
      </c>
      <c r="BG30">
        <v>0.48</v>
      </c>
      <c r="BH30">
        <v>0.6</v>
      </c>
      <c r="BI30">
        <v>0.41</v>
      </c>
      <c r="BJ30">
        <v>1.2350000000000001</v>
      </c>
      <c r="BK30">
        <v>0.44</v>
      </c>
      <c r="BL30">
        <v>0.51</v>
      </c>
      <c r="BM30">
        <v>0.34499999999999997</v>
      </c>
      <c r="BN30">
        <v>0.33</v>
      </c>
      <c r="BO30">
        <v>0.40500000000000003</v>
      </c>
      <c r="BP30">
        <v>0.44</v>
      </c>
      <c r="BQ30">
        <v>0.28999999999999998</v>
      </c>
      <c r="BR30">
        <v>0.215</v>
      </c>
      <c r="BS30">
        <v>0.40500000000000003</v>
      </c>
      <c r="BT30">
        <v>0.30499999999999999</v>
      </c>
      <c r="BU30">
        <v>0.32</v>
      </c>
      <c r="BV30">
        <v>0.26</v>
      </c>
      <c r="BW30">
        <v>0.35499999999999998</v>
      </c>
      <c r="BX30">
        <v>0.4</v>
      </c>
      <c r="BY30">
        <v>0.27</v>
      </c>
      <c r="BZ30">
        <v>0.14499999999999999</v>
      </c>
      <c r="CA30">
        <v>0.31</v>
      </c>
      <c r="CB30">
        <v>0.39</v>
      </c>
      <c r="CC30">
        <v>0.23499999999999999</v>
      </c>
      <c r="CD30">
        <v>0.18</v>
      </c>
      <c r="CE30">
        <v>0.27</v>
      </c>
      <c r="CF30">
        <v>0.36</v>
      </c>
      <c r="CG30">
        <v>0.21</v>
      </c>
      <c r="CH30">
        <v>0.25</v>
      </c>
      <c r="CI30">
        <v>0.19500000000000001</v>
      </c>
      <c r="CJ30">
        <v>0.32500000000000001</v>
      </c>
      <c r="CK30">
        <v>0.23</v>
      </c>
      <c r="CL30">
        <v>0.19</v>
      </c>
      <c r="CM30">
        <v>0.25</v>
      </c>
      <c r="CN30">
        <v>0.27500000000000002</v>
      </c>
      <c r="CO30">
        <v>0.17</v>
      </c>
      <c r="CP30">
        <v>0.19</v>
      </c>
      <c r="CQ30">
        <v>0.22</v>
      </c>
      <c r="CR30">
        <v>0.245</v>
      </c>
      <c r="CS30">
        <v>-0.04</v>
      </c>
      <c r="CT30">
        <v>0.185</v>
      </c>
      <c r="CU30">
        <v>0.215</v>
      </c>
      <c r="CV30">
        <v>0.22500000000000001</v>
      </c>
      <c r="CW30">
        <v>0.17499999999999999</v>
      </c>
      <c r="CX30">
        <v>0.05</v>
      </c>
      <c r="CY30">
        <v>0.215</v>
      </c>
      <c r="CZ30">
        <v>0.185</v>
      </c>
      <c r="DA30">
        <v>-0.01</v>
      </c>
      <c r="DB30">
        <v>-0.01</v>
      </c>
      <c r="DC30">
        <v>0.16</v>
      </c>
      <c r="DD30">
        <v>0.19</v>
      </c>
      <c r="DE30">
        <v>0.15</v>
      </c>
      <c r="DF30">
        <v>0.12</v>
      </c>
      <c r="DG30">
        <v>0.18</v>
      </c>
      <c r="DH30">
        <v>0.24</v>
      </c>
      <c r="DI30">
        <v>0.17</v>
      </c>
      <c r="DJ30">
        <v>0.16500000000000001</v>
      </c>
      <c r="DK30">
        <v>0.20499999999999999</v>
      </c>
      <c r="DL30">
        <v>0.26500000000000001</v>
      </c>
      <c r="DM30">
        <v>0.2</v>
      </c>
      <c r="DN30">
        <v>0.155</v>
      </c>
      <c r="DO30">
        <v>0.19500000000000001</v>
      </c>
      <c r="DP30">
        <v>0.21</v>
      </c>
      <c r="DQ30">
        <v>0.14249999999999999</v>
      </c>
      <c r="DR30">
        <v>0.13</v>
      </c>
      <c r="DS30">
        <v>0.16</v>
      </c>
      <c r="DT30">
        <v>0.17499999999999999</v>
      </c>
      <c r="DU30">
        <v>0.125</v>
      </c>
      <c r="DV30">
        <v>0.11</v>
      </c>
      <c r="DW30">
        <v>0.13750000000000001</v>
      </c>
      <c r="DX30">
        <v>0.14749999999999999</v>
      </c>
      <c r="DY30">
        <v>0.1</v>
      </c>
      <c r="DZ30">
        <v>0.09</v>
      </c>
      <c r="EA30">
        <v>0.11</v>
      </c>
      <c r="EB30">
        <v>0.13</v>
      </c>
      <c r="EC30">
        <v>8.5000000000000006E-2</v>
      </c>
      <c r="ED30">
        <v>7.4999999999999997E-2</v>
      </c>
      <c r="EE30">
        <v>0.10249999999999999</v>
      </c>
      <c r="EF30">
        <v>0.1075</v>
      </c>
      <c r="EG30">
        <v>3.2500000000000001E-2</v>
      </c>
      <c r="EH30">
        <v>3.3700000000000001E-2</v>
      </c>
      <c r="EI30">
        <v>8.5800000000000001E-2</v>
      </c>
      <c r="EJ30">
        <v>9.0499999999999997E-2</v>
      </c>
      <c r="EK30">
        <v>6.0100000000000001E-2</v>
      </c>
      <c r="EL30">
        <v>5.5100000000000003E-2</v>
      </c>
      <c r="EM30">
        <v>7.3800000000000004E-2</v>
      </c>
      <c r="EN30">
        <v>7.6799999999999993E-2</v>
      </c>
      <c r="EO30">
        <v>5.3100000000000001E-2</v>
      </c>
      <c r="EP30">
        <v>0.1404</v>
      </c>
      <c r="EQ30">
        <v>6.6199999999999995E-2</v>
      </c>
      <c r="ER30">
        <v>6.2399999999999997E-2</v>
      </c>
      <c r="ES30">
        <v>4.6399999999999997E-2</v>
      </c>
      <c r="ET30">
        <v>4.1500000000000002E-2</v>
      </c>
      <c r="EU30">
        <v>0</v>
      </c>
      <c r="EV30">
        <v>51800</v>
      </c>
      <c r="EW30">
        <v>356200</v>
      </c>
      <c r="EX30">
        <v>32400</v>
      </c>
      <c r="EY30">
        <v>45200</v>
      </c>
      <c r="EZ30">
        <v>44200</v>
      </c>
      <c r="FA30">
        <v>30700</v>
      </c>
      <c r="FB30">
        <v>0</v>
      </c>
    </row>
    <row r="35" spans="2:2" x14ac:dyDescent="0.25">
      <c r="B35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7EAD3-6710-4CBB-A8A1-A5DFD0FE2B9E}">
  <dimension ref="C4:AD204"/>
  <sheetViews>
    <sheetView showGridLines="0" tabSelected="1" workbookViewId="0">
      <selection activeCell="J5" sqref="J5"/>
    </sheetView>
  </sheetViews>
  <sheetFormatPr defaultColWidth="25.7109375" defaultRowHeight="15" x14ac:dyDescent="0.25"/>
  <cols>
    <col min="14" max="14" width="35.140625" bestFit="1" customWidth="1"/>
    <col min="22" max="22" width="35" bestFit="1" customWidth="1"/>
    <col min="23" max="23" width="36.5703125" bestFit="1" customWidth="1"/>
  </cols>
  <sheetData>
    <row r="4" spans="3:30" x14ac:dyDescent="0.25">
      <c r="C4" s="12" t="s">
        <v>25</v>
      </c>
      <c r="D4" s="12" t="s">
        <v>26</v>
      </c>
      <c r="F4" s="12" t="s">
        <v>27</v>
      </c>
      <c r="G4" s="12" t="s">
        <v>29</v>
      </c>
      <c r="H4" s="12" t="s">
        <v>30</v>
      </c>
      <c r="I4" s="12" t="s">
        <v>31</v>
      </c>
      <c r="J4" s="12" t="s">
        <v>0</v>
      </c>
      <c r="K4" s="12" t="s">
        <v>1</v>
      </c>
      <c r="L4" s="12" t="s">
        <v>2</v>
      </c>
      <c r="M4" s="12" t="s">
        <v>4</v>
      </c>
      <c r="N4" s="12" t="s">
        <v>5</v>
      </c>
      <c r="O4" s="12" t="s">
        <v>6</v>
      </c>
      <c r="P4" s="12" t="s">
        <v>7</v>
      </c>
      <c r="Q4" s="12" t="s">
        <v>8</v>
      </c>
      <c r="R4" s="12" t="s">
        <v>9</v>
      </c>
      <c r="S4" s="12" t="s">
        <v>10</v>
      </c>
      <c r="T4" s="12" t="s">
        <v>11</v>
      </c>
      <c r="U4" s="12" t="s">
        <v>12</v>
      </c>
      <c r="V4" s="12" t="s">
        <v>13</v>
      </c>
      <c r="W4" s="12" t="s">
        <v>14</v>
      </c>
      <c r="X4" s="12" t="s">
        <v>15</v>
      </c>
      <c r="Y4" s="12" t="s">
        <v>16</v>
      </c>
      <c r="Z4" s="12" t="s">
        <v>17</v>
      </c>
      <c r="AA4" s="12" t="s">
        <v>18</v>
      </c>
      <c r="AB4" s="12" t="s">
        <v>19</v>
      </c>
      <c r="AC4" s="12" t="s">
        <v>20</v>
      </c>
      <c r="AD4" s="12" t="s">
        <v>32</v>
      </c>
    </row>
    <row r="5" spans="3:30" x14ac:dyDescent="0.25">
      <c r="C5" s="13">
        <v>2024</v>
      </c>
      <c r="D5" s="13" t="s">
        <v>0</v>
      </c>
      <c r="F5" s="11" t="s">
        <v>28</v>
      </c>
      <c r="G5" s="15">
        <f t="shared" ref="G5:G36" ca="1" si="0">TODAY()</f>
        <v>46088</v>
      </c>
      <c r="H5" s="11">
        <v>2025</v>
      </c>
      <c r="I5" s="11" t="s">
        <v>21</v>
      </c>
      <c r="J5" s="11" cm="1">
        <f t="array" ref="J5">INDEX(Raw!B:FB, MATCH(J$4, Raw!$A:$A, 0), MATCH(1, (Raw!$B$1:$FB$1=$I5)*(Raw!$B$2:$FB$2=$H5), 0))</f>
        <v>11822000000</v>
      </c>
      <c r="K5" s="11" cm="1">
        <f t="array" ref="K5">INDEX(Raw!C:FC, MATCH(K$4, Raw!$A:$A, 0), MATCH(1, (Raw!$B$1:$FB$1=$I5)*(Raw!$B$2:$FB$2=$H5), 0))</f>
        <v>4797000000</v>
      </c>
      <c r="L5" s="11" cm="1">
        <f t="array" ref="L5">INDEX(Raw!D:FD, MATCH(L$4, Raw!$A:$A, 0), MATCH(1, (Raw!$B$1:$FB$1=$I5)*(Raw!$B$2:$FB$2=$H5), 0))</f>
        <v>7821000000</v>
      </c>
      <c r="M5" s="11" cm="1">
        <f t="array" ref="M5">INDEX(Raw!E:FE, MATCH(M$4, Raw!$A:$A, 0), MATCH(1, (Raw!$B$1:$FB$1=$I5)*(Raw!$B$2:$FB$2=$H5), 0))</f>
        <v>3234000000</v>
      </c>
      <c r="N5" s="11" cm="1">
        <f t="array" ref="N5">INDEX(Raw!F:FF, MATCH(N$4, Raw!$A:$A, 0), MATCH(1, (Raw!$B$1:$FB$1=$I5)*(Raw!$B$2:$FB$2=$H5), 0))</f>
        <v>-176000000</v>
      </c>
      <c r="O5" s="11" cm="1">
        <f t="array" ref="O5">INDEX(Raw!G:FG, MATCH(O$4, Raw!$A:$A, 0), MATCH(1, (Raw!$B$1:$FB$1=$I5)*(Raw!$B$2:$FB$2=$H5), 0))</f>
        <v>4680000000</v>
      </c>
      <c r="P5" s="11" cm="1">
        <f t="array" ref="P5">INDEX(Raw!H:FH, MATCH(P$4, Raw!$A:$A, 0), MATCH(1, (Raw!$B$1:$FB$1=$I5)*(Raw!$B$2:$FB$2=$H5), 0))</f>
        <v>2632000000</v>
      </c>
      <c r="Q5" s="11" cm="1">
        <f t="array" ref="Q5">INDEX(Raw!I:FI, MATCH(Q$4, Raw!$A:$A, 0), MATCH(1, (Raw!$B$1:$FB$1=$I5)*(Raw!$B$2:$FB$2=$H5), 0))</f>
        <v>1731000000</v>
      </c>
      <c r="R5" s="11" cm="1">
        <f t="array" ref="R5">INDEX(Raw!J:FJ, MATCH(R$4, Raw!$A:$A, 0), MATCH(1, (Raw!$B$1:$FB$1=$I5)*(Raw!$B$2:$FB$2=$H5), 0))</f>
        <v>2482000000</v>
      </c>
      <c r="S5" s="11" cm="1">
        <f t="array" ref="S5">INDEX(Raw!K:FK, MATCH(S$4, Raw!$A:$A, 0), MATCH(1, (Raw!$B$1:$FB$1=$I5)*(Raw!$B$2:$FB$2=$H5), 0))</f>
        <v>454000000</v>
      </c>
      <c r="T5" s="11" cm="1">
        <f t="array" ref="T5">INDEX(Raw!L:FL, MATCH(T$4, Raw!$A:$A, 0), MATCH(1, (Raw!$B$1:$FB$1=$I5)*(Raw!$B$2:$FB$2=$H5), 0))</f>
        <v>2521000000</v>
      </c>
      <c r="U5" s="11" cm="1">
        <f t="array" ref="U5">INDEX(Raw!M:FM, MATCH(U$4, Raw!$A:$A, 0), MATCH(1, (Raw!$B$1:$FB$1=$I5)*(Raw!$B$2:$FB$2=$H5), 0))</f>
        <v>0</v>
      </c>
      <c r="V5" s="11" cm="1">
        <f t="array" ref="V5">INDEX(Raw!N:FN, MATCH(V$4, Raw!$A:$A, 0), MATCH(1, (Raw!$B$1:$FB$1=$I5)*(Raw!$B$2:$FB$2=$H5), 0))</f>
        <v>2056000000</v>
      </c>
      <c r="W5" s="11" cm="1">
        <f t="array" ref="W5">INDEX(Raw!O:FO, MATCH(W$4, Raw!$A:$A, 0), MATCH(1, (Raw!$B$1:$FB$1=$I5)*(Raw!$B$2:$FB$2=$H5), 0))</f>
        <v>0</v>
      </c>
      <c r="X5" s="11" cm="1">
        <f t="array" ref="X5">INDEX(Raw!P:FP, MATCH(X$4, Raw!$A:$A, 0), MATCH(1, (Raw!$B$1:$FB$1=$I5)*(Raw!$B$2:$FB$2=$H5), 0))</f>
        <v>1905000000</v>
      </c>
      <c r="Y5" s="11" cm="1">
        <f t="array" ref="Y5">INDEX(Raw!Q:FQ, MATCH(Y$4, Raw!$A:$A, 0), MATCH(1, (Raw!$B$1:$FB$1=$I5)*(Raw!$B$2:$FB$2=$H5), 0))</f>
        <v>770956100</v>
      </c>
      <c r="Z5" s="11" cm="1">
        <f t="array" ref="Z5">INDEX(Raw!R:FR, MATCH(Z$4, Raw!$A:$A, 0), MATCH(1, (Raw!$B$1:$FB$1=$I5)*(Raw!$B$2:$FB$2=$H5), 0))</f>
        <v>836534200</v>
      </c>
      <c r="AA5" s="11" cm="1">
        <f t="array" ref="AA5">INDEX(Raw!S:FS, MATCH(AA$4, Raw!$A:$A, 0), MATCH(1, (Raw!$B$1:$FB$1=$I5)*(Raw!$B$2:$FB$2=$H5), 0))</f>
        <v>5307288000</v>
      </c>
      <c r="AB5" s="11" cm="1">
        <f t="array" ref="AB5">INDEX(Raw!T:FT, MATCH(AB$4, Raw!$A:$A, 0), MATCH(1, (Raw!$B$1:$FB$1=$I5)*(Raw!$B$2:$FB$2=$H5), 0))</f>
        <v>10631680000</v>
      </c>
      <c r="AC5" s="11" cm="1">
        <f t="array" ref="AC5">INDEX(Raw!U:FU, MATCH(AC$4, Raw!$A:$A, 0), MATCH(1, (Raw!$B$1:$FB$1=$I5)*(Raw!$B$2:$FB$2=$H5), 0))</f>
        <v>0.52</v>
      </c>
      <c r="AD5" s="11" cm="1">
        <f t="array" ref="AD5">INDEX(Raw!V:FV, MATCH(AD$4, Raw!$A:$A, 0), MATCH(1, (Raw!$B$1:$FB$1=$I5)*(Raw!$B$2:$FB$2=$H5), 0))</f>
        <v>0.34</v>
      </c>
    </row>
    <row r="6" spans="3:30" x14ac:dyDescent="0.25">
      <c r="F6" s="11" t="s">
        <v>28</v>
      </c>
      <c r="G6" s="15">
        <f t="shared" ca="1" si="0"/>
        <v>46088</v>
      </c>
      <c r="H6" s="11">
        <v>2025</v>
      </c>
      <c r="I6" s="11" t="s">
        <v>22</v>
      </c>
      <c r="J6" s="11" cm="1">
        <f t="array" ref="J6">INDEX(Raw!B:FB, MATCH(J$4, Raw!$A:$A, 0), MATCH(1, (Raw!$B$1:$FB$1=$I6)*(Raw!$B$2:$FB$2=$H6), 0))</f>
        <v>12455000000</v>
      </c>
      <c r="K6" s="11" cm="1">
        <f t="array" ref="K6">INDEX(Raw!C:FC, MATCH(K$4, Raw!$A:$A, 0), MATCH(1, (Raw!$B$1:$FB$1=$I6)*(Raw!$B$2:$FB$2=$H6), 0))</f>
        <v>4714000000</v>
      </c>
      <c r="L6" s="11" cm="1">
        <f t="array" ref="L6">INDEX(Raw!D:FD, MATCH(L$4, Raw!$A:$A, 0), MATCH(1, (Raw!$B$1:$FB$1=$I6)*(Raw!$B$2:$FB$2=$H6), 0))</f>
        <v>6966000000</v>
      </c>
      <c r="M6" s="11" cm="1">
        <f t="array" ref="M6">INDEX(Raw!E:FE, MATCH(M$4, Raw!$A:$A, 0), MATCH(1, (Raw!$B$1:$FB$1=$I6)*(Raw!$B$2:$FB$2=$H6), 0))</f>
        <v>4046000000</v>
      </c>
      <c r="N6" s="11" cm="1">
        <f t="array" ref="N6">INDEX(Raw!F:FF, MATCH(N$4, Raw!$A:$A, 0), MATCH(1, (Raw!$B$1:$FB$1=$I6)*(Raw!$B$2:$FB$2=$H6), 0))</f>
        <v>-1044000000</v>
      </c>
      <c r="O6" s="11" cm="1">
        <f t="array" ref="O6">INDEX(Raw!G:FG, MATCH(O$4, Raw!$A:$A, 0), MATCH(1, (Raw!$B$1:$FB$1=$I6)*(Raw!$B$2:$FB$2=$H6), 0))</f>
        <v>4919000000</v>
      </c>
      <c r="P6" s="11" cm="1">
        <f t="array" ref="P6">INDEX(Raw!H:FH, MATCH(P$4, Raw!$A:$A, 0), MATCH(1, (Raw!$B$1:$FB$1=$I6)*(Raw!$B$2:$FB$2=$H6), 0))</f>
        <v>2141000000</v>
      </c>
      <c r="Q6" s="11" cm="1">
        <f t="array" ref="Q6">INDEX(Raw!I:FI, MATCH(Q$4, Raw!$A:$A, 0), MATCH(1, (Raw!$B$1:$FB$1=$I6)*(Raw!$B$2:$FB$2=$H6), 0))</f>
        <v>209000000</v>
      </c>
      <c r="R6" s="11" cm="1">
        <f t="array" ref="R6">INDEX(Raw!J:FJ, MATCH(R$4, Raw!$A:$A, 0), MATCH(1, (Raw!$B$1:$FB$1=$I6)*(Raw!$B$2:$FB$2=$H6), 0))</f>
        <v>3537000000</v>
      </c>
      <c r="S6" s="11" cm="1">
        <f t="array" ref="S6">INDEX(Raw!K:FK, MATCH(S$4, Raw!$A:$A, 0), MATCH(1, (Raw!$B$1:$FB$1=$I6)*(Raw!$B$2:$FB$2=$H6), 0))</f>
        <v>359000000</v>
      </c>
      <c r="T6" s="11" cm="1">
        <f t="array" ref="T6">INDEX(Raw!L:FL, MATCH(T$4, Raw!$A:$A, 0), MATCH(1, (Raw!$B$1:$FB$1=$I6)*(Raw!$B$2:$FB$2=$H6), 0))</f>
        <v>3113000000</v>
      </c>
      <c r="U6" s="11" cm="1">
        <f t="array" ref="U6">INDEX(Raw!M:FM, MATCH(U$4, Raw!$A:$A, 0), MATCH(1, (Raw!$B$1:$FB$1=$I6)*(Raw!$B$2:$FB$2=$H6), 0))</f>
        <v>0</v>
      </c>
      <c r="V6" s="11" cm="1">
        <f t="array" ref="V6">INDEX(Raw!N:FN, MATCH(V$4, Raw!$A:$A, 0), MATCH(1, (Raw!$B$1:$FB$1=$I6)*(Raw!$B$2:$FB$2=$H6), 0))</f>
        <v>2822000000</v>
      </c>
      <c r="W6" s="11" cm="1">
        <f t="array" ref="W6">INDEX(Raw!O:FO, MATCH(W$4, Raw!$A:$A, 0), MATCH(1, (Raw!$B$1:$FB$1=$I6)*(Raw!$B$2:$FB$2=$H6), 0))</f>
        <v>0</v>
      </c>
      <c r="X6" s="11" cm="1">
        <f t="array" ref="X6">INDEX(Raw!P:FP, MATCH(X$4, Raw!$A:$A, 0), MATCH(1, (Raw!$B$1:$FB$1=$I6)*(Raw!$B$2:$FB$2=$H6), 0))</f>
        <v>2781000000</v>
      </c>
      <c r="Y6" s="11" cm="1">
        <f t="array" ref="Y6">INDEX(Raw!Q:FQ, MATCH(Y$4, Raw!$A:$A, 0), MATCH(1, (Raw!$B$1:$FB$1=$I6)*(Raw!$B$2:$FB$2=$H6), 0))</f>
        <v>836534200</v>
      </c>
      <c r="Z6" s="11" cm="1">
        <f t="array" ref="Z6">INDEX(Raw!R:FR, MATCH(Z$4, Raw!$A:$A, 0), MATCH(1, (Raw!$B$1:$FB$1=$I6)*(Raw!$B$2:$FB$2=$H6), 0))</f>
        <v>579484900</v>
      </c>
      <c r="AA6" s="11" cm="1">
        <f t="array" ref="AA6">INDEX(Raw!S:FS, MATCH(AA$4, Raw!$A:$A, 0), MATCH(1, (Raw!$B$1:$FB$1=$I6)*(Raw!$B$2:$FB$2=$H6), 0))</f>
        <v>5315840000</v>
      </c>
      <c r="AB6" s="11" cm="1">
        <f t="array" ref="AB6">INDEX(Raw!T:FT, MATCH(AB$4, Raw!$A:$A, 0), MATCH(1, (Raw!$B$1:$FB$1=$I6)*(Raw!$B$2:$FB$2=$H6), 0))</f>
        <v>5321094000</v>
      </c>
      <c r="AC6" s="11" cm="1">
        <f t="array" ref="AC6">INDEX(Raw!U:FU, MATCH(AC$4, Raw!$A:$A, 0), MATCH(1, (Raw!$B$1:$FB$1=$I6)*(Raw!$B$2:$FB$2=$H6), 0))</f>
        <v>0.34</v>
      </c>
      <c r="AD6" s="11" cm="1">
        <f t="array" ref="AD6">INDEX(Raw!V:FV, MATCH(AD$4, Raw!$A:$A, 0), MATCH(1, (Raw!$B$1:$FB$1=$I6)*(Raw!$B$2:$FB$2=$H6), 0))</f>
        <v>0.4</v>
      </c>
    </row>
    <row r="7" spans="3:30" x14ac:dyDescent="0.25">
      <c r="F7" s="11" t="s">
        <v>28</v>
      </c>
      <c r="G7" s="15">
        <f t="shared" ca="1" si="0"/>
        <v>46088</v>
      </c>
      <c r="H7" s="11">
        <v>2025</v>
      </c>
      <c r="I7" s="11" t="s">
        <v>23</v>
      </c>
      <c r="J7" s="11" cm="1">
        <f t="array" ref="J7">INDEX(Raw!B:FB, MATCH(J$4, Raw!$A:$A, 0), MATCH(1, (Raw!$B$1:$FB$1=$I7)*(Raw!$B$2:$FB$2=$H7), 0))</f>
        <v>12535000000</v>
      </c>
      <c r="K7" s="11" cm="1">
        <f t="array" ref="K7">INDEX(Raw!C:FC, MATCH(K$4, Raw!$A:$A, 0), MATCH(1, (Raw!$B$1:$FB$1=$I7)*(Raw!$B$2:$FB$2=$H7), 0))</f>
        <v>4163000000</v>
      </c>
      <c r="L7" s="11" cm="1">
        <f t="array" ref="L7">INDEX(Raw!D:FD, MATCH(L$4, Raw!$A:$A, 0), MATCH(1, (Raw!$B$1:$FB$1=$I7)*(Raw!$B$2:$FB$2=$H7), 0))</f>
        <v>6931000000</v>
      </c>
      <c r="M7" s="11" cm="1">
        <f t="array" ref="M7">INDEX(Raw!E:FE, MATCH(M$4, Raw!$A:$A, 0), MATCH(1, (Raw!$B$1:$FB$1=$I7)*(Raw!$B$2:$FB$2=$H7), 0))</f>
        <v>3636000000</v>
      </c>
      <c r="N7" s="11" cm="1">
        <f t="array" ref="N7">INDEX(Raw!F:FF, MATCH(N$4, Raw!$A:$A, 0), MATCH(1, (Raw!$B$1:$FB$1=$I7)*(Raw!$B$2:$FB$2=$H7), 0))</f>
        <v>-1370000000</v>
      </c>
      <c r="O7" s="11" cm="1">
        <f t="array" ref="O7">INDEX(Raw!G:FG, MATCH(O$4, Raw!$A:$A, 0), MATCH(1, (Raw!$B$1:$FB$1=$I7)*(Raw!$B$2:$FB$2=$H7), 0))</f>
        <v>4924000000</v>
      </c>
      <c r="P7" s="11" cm="1">
        <f t="array" ref="P7">INDEX(Raw!H:FH, MATCH(P$4, Raw!$A:$A, 0), MATCH(1, (Raw!$B$1:$FB$1=$I7)*(Raw!$B$2:$FB$2=$H7), 0))</f>
        <v>2273000000</v>
      </c>
      <c r="Q7" s="11" cm="1">
        <f t="array" ref="Q7">INDEX(Raw!I:FI, MATCH(Q$4, Raw!$A:$A, 0), MATCH(1, (Raw!$B$1:$FB$1=$I7)*(Raw!$B$2:$FB$2=$H7), 0))</f>
        <v>267000000</v>
      </c>
      <c r="R7" s="11" cm="1">
        <f t="array" ref="R7">INDEX(Raw!J:FJ, MATCH(R$4, Raw!$A:$A, 0), MATCH(1, (Raw!$B$1:$FB$1=$I7)*(Raw!$B$2:$FB$2=$H7), 0))</f>
        <v>2880000000</v>
      </c>
      <c r="S7" s="11" cm="1">
        <f t="array" ref="S7">INDEX(Raw!K:FK, MATCH(S$4, Raw!$A:$A, 0), MATCH(1, (Raw!$B$1:$FB$1=$I7)*(Raw!$B$2:$FB$2=$H7), 0))</f>
        <v>940000000</v>
      </c>
      <c r="T7" s="11" cm="1">
        <f t="array" ref="T7">INDEX(Raw!L:FL, MATCH(T$4, Raw!$A:$A, 0), MATCH(1, (Raw!$B$1:$FB$1=$I7)*(Raw!$B$2:$FB$2=$H7), 0))</f>
        <v>2056000000</v>
      </c>
      <c r="U7" s="11" cm="1">
        <f t="array" ref="U7">INDEX(Raw!M:FM, MATCH(U$4, Raw!$A:$A, 0), MATCH(1, (Raw!$B$1:$FB$1=$I7)*(Raw!$B$2:$FB$2=$H7), 0))</f>
        <v>0</v>
      </c>
      <c r="V7" s="11" cm="1">
        <f t="array" ref="V7">INDEX(Raw!N:FN, MATCH(V$4, Raw!$A:$A, 0), MATCH(1, (Raw!$B$1:$FB$1=$I7)*(Raw!$B$2:$FB$2=$H7), 0))</f>
        <v>1900000000</v>
      </c>
      <c r="W7" s="11" cm="1">
        <f t="array" ref="W7">INDEX(Raw!O:FO, MATCH(W$4, Raw!$A:$A, 0), MATCH(1, (Raw!$B$1:$FB$1=$I7)*(Raw!$B$2:$FB$2=$H7), 0))</f>
        <v>0</v>
      </c>
      <c r="X7" s="11" cm="1">
        <f t="array" ref="X7">INDEX(Raw!P:FP, MATCH(X$4, Raw!$A:$A, 0), MATCH(1, (Raw!$B$1:$FB$1=$I7)*(Raw!$B$2:$FB$2=$H7), 0))</f>
        <v>2414000000</v>
      </c>
      <c r="Y7" s="11" cm="1">
        <f t="array" ref="Y7">INDEX(Raw!Q:FQ, MATCH(Y$4, Raw!$A:$A, 0), MATCH(1, (Raw!$B$1:$FB$1=$I7)*(Raw!$B$2:$FB$2=$H7), 0))</f>
        <v>579484900</v>
      </c>
      <c r="Z7" s="11" cm="1">
        <f t="array" ref="Z7">INDEX(Raw!R:FR, MATCH(Z$4, Raw!$A:$A, 0), MATCH(1, (Raw!$B$1:$FB$1=$I7)*(Raw!$B$2:$FB$2=$H7), 0))</f>
        <v>487078100</v>
      </c>
      <c r="AA7" s="11" cm="1">
        <f t="array" ref="AA7">INDEX(Raw!S:FS, MATCH(AA$4, Raw!$A:$A, 0), MATCH(1, (Raw!$B$1:$FB$1=$I7)*(Raw!$B$2:$FB$2=$H7), 0))</f>
        <v>5321094000</v>
      </c>
      <c r="AB7" s="11" cm="1">
        <f t="array" ref="AB7">INDEX(Raw!T:FT, MATCH(AB$4, Raw!$A:$A, 0), MATCH(1, (Raw!$B$1:$FB$1=$I7)*(Raw!$B$2:$FB$2=$H7), 0))</f>
        <v>5331362000</v>
      </c>
      <c r="AC7" s="11" cm="1">
        <f t="array" ref="AC7">INDEX(Raw!U:FU, MATCH(AC$4, Raw!$A:$A, 0), MATCH(1, (Raw!$B$1:$FB$1=$I7)*(Raw!$B$2:$FB$2=$H7), 0))</f>
        <v>0.4</v>
      </c>
      <c r="AD7" s="11" cm="1">
        <f t="array" ref="AD7">INDEX(Raw!V:FV, MATCH(AD$4, Raw!$A:$A, 0), MATCH(1, (Raw!$B$1:$FB$1=$I7)*(Raw!$B$2:$FB$2=$H7), 0))</f>
        <v>0.41</v>
      </c>
    </row>
    <row r="8" spans="3:30" x14ac:dyDescent="0.25">
      <c r="F8" s="11" t="s">
        <v>28</v>
      </c>
      <c r="G8" s="15">
        <f t="shared" ca="1" si="0"/>
        <v>46088</v>
      </c>
      <c r="H8" s="11">
        <v>2025</v>
      </c>
      <c r="I8" s="11" t="s">
        <v>24</v>
      </c>
      <c r="J8" s="11" cm="1">
        <f t="array" ref="J8">INDEX(Raw!B:FB, MATCH(J$4, Raw!$A:$A, 0), MATCH(1, (Raw!$B$1:$FB$1=$I8)*(Raw!$B$2:$FB$2=$H8), 0))</f>
        <v>11129000000</v>
      </c>
      <c r="K8" s="11" cm="1">
        <f t="array" ref="K8">INDEX(Raw!C:FC, MATCH(K$4, Raw!$A:$A, 0), MATCH(1, (Raw!$B$1:$FB$1=$I8)*(Raw!$B$2:$FB$2=$H8), 0))</f>
        <v>4613000000</v>
      </c>
      <c r="L8" s="11" cm="1">
        <f t="array" ref="L8">INDEX(Raw!D:FD, MATCH(L$4, Raw!$A:$A, 0), MATCH(1, (Raw!$B$1:$FB$1=$I8)*(Raw!$B$2:$FB$2=$H8), 0))</f>
        <v>7190000000</v>
      </c>
      <c r="M8" s="11" cm="1">
        <f t="array" ref="M8">INDEX(Raw!E:FE, MATCH(M$4, Raw!$A:$A, 0), MATCH(1, (Raw!$B$1:$FB$1=$I8)*(Raw!$B$2:$FB$2=$H8), 0))</f>
        <v>3549000000</v>
      </c>
      <c r="N8" s="11" cm="1">
        <f t="array" ref="N8">INDEX(Raw!F:FF, MATCH(N$4, Raw!$A:$A, 0), MATCH(1, (Raw!$B$1:$FB$1=$I8)*(Raw!$B$2:$FB$2=$H8), 0))</f>
        <v>-1573000000</v>
      </c>
      <c r="O8" s="11" cm="1">
        <f t="array" ref="O8">INDEX(Raw!G:FG, MATCH(O$4, Raw!$A:$A, 0), MATCH(1, (Raw!$B$1:$FB$1=$I8)*(Raw!$B$2:$FB$2=$H8), 0))</f>
        <v>3942000000</v>
      </c>
      <c r="P8" s="11" cm="1">
        <f t="array" ref="P8">INDEX(Raw!H:FH, MATCH(P$4, Raw!$A:$A, 0), MATCH(1, (Raw!$B$1:$FB$1=$I8)*(Raw!$B$2:$FB$2=$H8), 0))</f>
        <v>3270000000</v>
      </c>
      <c r="Q8" s="11" cm="1">
        <f t="array" ref="Q8">INDEX(Raw!I:FI, MATCH(Q$4, Raw!$A:$A, 0), MATCH(1, (Raw!$B$1:$FB$1=$I8)*(Raw!$B$2:$FB$2=$H8), 0))</f>
        <v>479000000</v>
      </c>
      <c r="R8" s="11" cm="1">
        <f t="array" ref="R8">INDEX(Raw!J:FJ, MATCH(R$4, Raw!$A:$A, 0), MATCH(1, (Raw!$B$1:$FB$1=$I8)*(Raw!$B$2:$FB$2=$H8), 0))</f>
        <v>4053000000</v>
      </c>
      <c r="S8" s="11" cm="1">
        <f t="array" ref="S8">INDEX(Raw!K:FK, MATCH(S$4, Raw!$A:$A, 0), MATCH(1, (Raw!$B$1:$FB$1=$I8)*(Raw!$B$2:$FB$2=$H8), 0))</f>
        <v>444000000</v>
      </c>
      <c r="T8" s="11" cm="1">
        <f t="array" ref="T8">INDEX(Raw!L:FL, MATCH(T$4, Raw!$A:$A, 0), MATCH(1, (Raw!$B$1:$FB$1=$I8)*(Raw!$B$2:$FB$2=$H8), 0))</f>
        <v>2822000000</v>
      </c>
      <c r="U8" s="11" cm="1">
        <f t="array" ref="U8">INDEX(Raw!M:FM, MATCH(U$4, Raw!$A:$A, 0), MATCH(1, (Raw!$B$1:$FB$1=$I8)*(Raw!$B$2:$FB$2=$H8), 0))</f>
        <v>0</v>
      </c>
      <c r="V8" s="11" cm="1">
        <f t="array" ref="V8">INDEX(Raw!N:FN, MATCH(V$4, Raw!$A:$A, 0), MATCH(1, (Raw!$B$1:$FB$1=$I8)*(Raw!$B$2:$FB$2=$H8), 0))</f>
        <v>2793000000</v>
      </c>
      <c r="W8" s="11" cm="1">
        <f t="array" ref="W8">INDEX(Raw!O:FO, MATCH(W$4, Raw!$A:$A, 0), MATCH(1, (Raw!$B$1:$FB$1=$I8)*(Raw!$B$2:$FB$2=$H8), 0))</f>
        <v>0</v>
      </c>
      <c r="X8" s="11" cm="1">
        <f t="array" ref="X8">INDEX(Raw!P:FP, MATCH(X$4, Raw!$A:$A, 0), MATCH(1, (Raw!$B$1:$FB$1=$I8)*(Raw!$B$2:$FB$2=$H8), 0))</f>
        <v>2471000000</v>
      </c>
      <c r="Y8" s="11" cm="1">
        <f t="array" ref="Y8">INDEX(Raw!Q:FQ, MATCH(Y$4, Raw!$A:$A, 0), MATCH(1, (Raw!$B$1:$FB$1=$I8)*(Raw!$B$2:$FB$2=$H8), 0))</f>
        <v>487078100</v>
      </c>
      <c r="Z8" s="11" cm="1">
        <f t="array" ref="Z8">INDEX(Raw!R:FR, MATCH(Z$4, Raw!$A:$A, 0), MATCH(1, (Raw!$B$1:$FB$1=$I8)*(Raw!$B$2:$FB$2=$H8), 0))</f>
        <v>644703900</v>
      </c>
      <c r="AA8" s="11" cm="1">
        <f t="array" ref="AA8">INDEX(Raw!S:FS, MATCH(AA$4, Raw!$A:$A, 0), MATCH(1, (Raw!$B$1:$FB$1=$I8)*(Raw!$B$2:$FB$2=$H8), 0))</f>
        <v>5331362000</v>
      </c>
      <c r="AB8" s="11" cm="1">
        <f t="array" ref="AB8">INDEX(Raw!T:FT, MATCH(AB$4, Raw!$A:$A, 0), MATCH(1, (Raw!$B$1:$FB$1=$I8)*(Raw!$B$2:$FB$2=$H8), 0))</f>
        <v>5335388000</v>
      </c>
      <c r="AC8" s="11" cm="1">
        <f t="array" ref="AC8">INDEX(Raw!U:FU, MATCH(AC$4, Raw!$A:$A, 0), MATCH(1, (Raw!$B$1:$FB$1=$I8)*(Raw!$B$2:$FB$2=$H8), 0))</f>
        <v>0.41</v>
      </c>
      <c r="AD8" s="11" cm="1">
        <f t="array" ref="AD8">INDEX(Raw!V:FV, MATCH(AD$4, Raw!$A:$A, 0), MATCH(1, (Raw!$B$1:$FB$1=$I8)*(Raw!$B$2:$FB$2=$H8), 0))</f>
        <v>0.64</v>
      </c>
    </row>
    <row r="9" spans="3:30" x14ac:dyDescent="0.25">
      <c r="F9" s="11" t="s">
        <v>28</v>
      </c>
      <c r="G9" s="15">
        <f t="shared" ca="1" si="0"/>
        <v>46088</v>
      </c>
      <c r="H9" s="11">
        <f>$C$5</f>
        <v>2024</v>
      </c>
      <c r="I9" s="11" t="s">
        <v>21</v>
      </c>
      <c r="J9" s="11" cm="1">
        <f t="array" ref="J9">INDEX(Raw!B:FB, MATCH(J$4, Raw!$A:$A, 0), MATCH(1, (Raw!$B$1:$FB$1=$I9)*(Raw!$B$2:$FB$2=$H9), 0))</f>
        <v>11544000000</v>
      </c>
      <c r="K9" s="11" cm="1">
        <f t="array" ref="K9">INDEX(Raw!C:FC, MATCH(K$4, Raw!$A:$A, 0), MATCH(1, (Raw!$B$1:$FB$1=$I9)*(Raw!$B$2:$FB$2=$H9), 0))</f>
        <v>4664000000</v>
      </c>
      <c r="L9" s="11" cm="1">
        <f t="array" ref="L9">INDEX(Raw!D:FD, MATCH(L$4, Raw!$A:$A, 0), MATCH(1, (Raw!$B$1:$FB$1=$I9)*(Raw!$B$2:$FB$2=$H9), 0))</f>
        <v>7551000000</v>
      </c>
      <c r="M9" s="11" cm="1">
        <f t="array" ref="M9">INDEX(Raw!E:FE, MATCH(M$4, Raw!$A:$A, 0), MATCH(1, (Raw!$B$1:$FB$1=$I9)*(Raw!$B$2:$FB$2=$H9), 0))</f>
        <v>3351000000</v>
      </c>
      <c r="N9" s="11" cm="1">
        <f t="array" ref="N9">INDEX(Raw!F:FF, MATCH(N$4, Raw!$A:$A, 0), MATCH(1, (Raw!$B$1:$FB$1=$I9)*(Raw!$B$2:$FB$2=$H9), 0))</f>
        <v>-143000000</v>
      </c>
      <c r="O9" s="11" cm="1">
        <f t="array" ref="O9">INDEX(Raw!G:FG, MATCH(O$4, Raw!$A:$A, 0), MATCH(1, (Raw!$B$1:$FB$1=$I9)*(Raw!$B$2:$FB$2=$H9), 0))</f>
        <v>4026000000</v>
      </c>
      <c r="P9" s="11" cm="1">
        <f t="array" ref="P9">INDEX(Raw!H:FH, MATCH(P$4, Raw!$A:$A, 0), MATCH(1, (Raw!$B$1:$FB$1=$I9)*(Raw!$B$2:$FB$2=$H9), 0))</f>
        <v>2401000000</v>
      </c>
      <c r="Q9" s="11" cm="1">
        <f t="array" ref="Q9">INDEX(Raw!I:FI, MATCH(Q$4, Raw!$A:$A, 0), MATCH(1, (Raw!$B$1:$FB$1=$I9)*(Raw!$B$2:$FB$2=$H9), 0))</f>
        <v>686000000</v>
      </c>
      <c r="R9" s="11" cm="1">
        <f t="array" ref="R9">INDEX(Raw!J:FJ, MATCH(R$4, Raw!$A:$A, 0), MATCH(1, (Raw!$B$1:$FB$1=$I9)*(Raw!$B$2:$FB$2=$H9), 0))</f>
        <v>2500000000</v>
      </c>
      <c r="S9" s="11" cm="1">
        <f t="array" ref="S9">INDEX(Raw!K:FK, MATCH(S$4, Raw!$A:$A, 0), MATCH(1, (Raw!$B$1:$FB$1=$I9)*(Raw!$B$2:$FB$2=$H9), 0))</f>
        <v>622000000</v>
      </c>
      <c r="T9" s="11" cm="1">
        <f t="array" ref="T9">INDEX(Raw!L:FL, MATCH(T$4, Raw!$A:$A, 0), MATCH(1, (Raw!$B$1:$FB$1=$I9)*(Raw!$B$2:$FB$2=$H9), 0))</f>
        <v>1900000000</v>
      </c>
      <c r="U9" s="11" cm="1">
        <f t="array" ref="U9">INDEX(Raw!M:FM, MATCH(U$4, Raw!$A:$A, 0), MATCH(1, (Raw!$B$1:$FB$1=$I9)*(Raw!$B$2:$FB$2=$H9), 0))</f>
        <v>0</v>
      </c>
      <c r="V9" s="11" cm="1">
        <f t="array" ref="V9">INDEX(Raw!N:FN, MATCH(V$4, Raw!$A:$A, 0), MATCH(1, (Raw!$B$1:$FB$1=$I9)*(Raw!$B$2:$FB$2=$H9), 0))</f>
        <v>2450000000</v>
      </c>
      <c r="W9" s="11" cm="1">
        <f t="array" ref="W9">INDEX(Raw!O:FO, MATCH(W$4, Raw!$A:$A, 0), MATCH(1, (Raw!$B$1:$FB$1=$I9)*(Raw!$B$2:$FB$2=$H9), 0))</f>
        <v>0</v>
      </c>
      <c r="X9" s="11" cm="1">
        <f t="array" ref="X9">INDEX(Raw!P:FP, MATCH(X$4, Raw!$A:$A, 0), MATCH(1, (Raw!$B$1:$FB$1=$I9)*(Raw!$B$2:$FB$2=$H9), 0))</f>
        <v>2641000000</v>
      </c>
      <c r="Y9" s="11" cm="1">
        <f t="array" ref="Y9">INDEX(Raw!Q:FQ, MATCH(Y$4, Raw!$A:$A, 0), MATCH(1, (Raw!$B$1:$FB$1=$I9)*(Raw!$B$2:$FB$2=$H9), 0))</f>
        <v>644703900</v>
      </c>
      <c r="Z9" s="11" cm="1">
        <f t="array" ref="Z9">INDEX(Raw!R:FR, MATCH(Z$4, Raw!$A:$A, 0), MATCH(1, (Raw!$B$1:$FB$1=$I9)*(Raw!$B$2:$FB$2=$H9), 0))</f>
        <v>693266800</v>
      </c>
      <c r="AA9" s="11" cm="1">
        <f t="array" ref="AA9">INDEX(Raw!S:FS, MATCH(AA$4, Raw!$A:$A, 0), MATCH(1, (Raw!$B$1:$FB$1=$I9)*(Raw!$B$2:$FB$2=$H9), 0))</f>
        <v>5335388000</v>
      </c>
      <c r="AB9" s="11" cm="1">
        <f t="array" ref="AB9">INDEX(Raw!T:FT, MATCH(AB$4, Raw!$A:$A, 0), MATCH(1, (Raw!$B$1:$FB$1=$I9)*(Raw!$B$2:$FB$2=$H9), 0))</f>
        <v>5345914000</v>
      </c>
      <c r="AC9" s="11" cm="1">
        <f t="array" ref="AC9">INDEX(Raw!U:FU, MATCH(AC$4, Raw!$A:$A, 0), MATCH(1, (Raw!$B$1:$FB$1=$I9)*(Raw!$B$2:$FB$2=$H9), 0))</f>
        <v>0.65</v>
      </c>
      <c r="AD9" s="11" cm="1">
        <f t="array" ref="AD9">INDEX(Raw!V:FV, MATCH(AD$4, Raw!$A:$A, 0), MATCH(1, (Raw!$B$1:$FB$1=$I9)*(Raw!$B$2:$FB$2=$H9), 0))</f>
        <v>0.47</v>
      </c>
    </row>
    <row r="10" spans="3:30" x14ac:dyDescent="0.25">
      <c r="F10" s="11" t="s">
        <v>28</v>
      </c>
      <c r="G10" s="15">
        <f t="shared" ca="1" si="0"/>
        <v>46088</v>
      </c>
      <c r="H10" s="11">
        <f>H9</f>
        <v>2024</v>
      </c>
      <c r="I10" s="11" t="s">
        <v>22</v>
      </c>
      <c r="J10" s="11" cm="1">
        <f t="array" ref="J10">INDEX(Raw!B:FB, MATCH(J$4, Raw!$A:$A, 0), MATCH(1, (Raw!$B$1:$FB$1=$I10)*(Raw!$B$2:$FB$2=$H10), 0))</f>
        <v>11854000000</v>
      </c>
      <c r="K10" s="11" cm="1">
        <f t="array" ref="K10">INDEX(Raw!C:FC, MATCH(K$4, Raw!$A:$A, 0), MATCH(1, (Raw!$B$1:$FB$1=$I10)*(Raw!$B$2:$FB$2=$H10), 0))</f>
        <v>4812000000</v>
      </c>
      <c r="L10" s="11" cm="1">
        <f t="array" ref="L10">INDEX(Raw!D:FD, MATCH(L$4, Raw!$A:$A, 0), MATCH(1, (Raw!$B$1:$FB$1=$I10)*(Raw!$B$2:$FB$2=$H10), 0))</f>
        <v>7065000000</v>
      </c>
      <c r="M10" s="11" cm="1">
        <f t="array" ref="M10">INDEX(Raw!E:FE, MATCH(M$4, Raw!$A:$A, 0), MATCH(1, (Raw!$B$1:$FB$1=$I10)*(Raw!$B$2:$FB$2=$H10), 0))</f>
        <v>3799000000</v>
      </c>
      <c r="N10" s="11" cm="1">
        <f t="array" ref="N10">INDEX(Raw!F:FF, MATCH(N$4, Raw!$A:$A, 0), MATCH(1, (Raw!$B$1:$FB$1=$I10)*(Raw!$B$2:$FB$2=$H10), 0))</f>
        <v>-359000000</v>
      </c>
      <c r="O10" s="11" cm="1">
        <f t="array" ref="O10">INDEX(Raw!G:FG, MATCH(O$4, Raw!$A:$A, 0), MATCH(1, (Raw!$B$1:$FB$1=$I10)*(Raw!$B$2:$FB$2=$H10), 0))</f>
        <v>4659000000</v>
      </c>
      <c r="P10" s="11" cm="1">
        <f t="array" ref="P10">INDEX(Raw!H:FH, MATCH(P$4, Raw!$A:$A, 0), MATCH(1, (Raw!$B$1:$FB$1=$I10)*(Raw!$B$2:$FB$2=$H10), 0))</f>
        <v>3367000000</v>
      </c>
      <c r="Q10" s="11" cm="1">
        <f t="array" ref="Q10">INDEX(Raw!I:FI, MATCH(Q$4, Raw!$A:$A, 0), MATCH(1, (Raw!$B$1:$FB$1=$I10)*(Raw!$B$2:$FB$2=$H10), 0))</f>
        <v>425000000</v>
      </c>
      <c r="R10" s="11" cm="1">
        <f t="array" ref="R10">INDEX(Raw!J:FJ, MATCH(R$4, Raw!$A:$A, 0), MATCH(1, (Raw!$B$1:$FB$1=$I10)*(Raw!$B$2:$FB$2=$H10), 0))</f>
        <v>3444000000</v>
      </c>
      <c r="S10" s="11" cm="1">
        <f t="array" ref="S10">INDEX(Raw!K:FK, MATCH(S$4, Raw!$A:$A, 0), MATCH(1, (Raw!$B$1:$FB$1=$I10)*(Raw!$B$2:$FB$2=$H10), 0))</f>
        <v>384000000</v>
      </c>
      <c r="T10" s="11" cm="1">
        <f t="array" ref="T10">INDEX(Raw!L:FL, MATCH(T$4, Raw!$A:$A, 0), MATCH(1, (Raw!$B$1:$FB$1=$I10)*(Raw!$B$2:$FB$2=$H10), 0))</f>
        <v>2793000000</v>
      </c>
      <c r="U10" s="11" cm="1">
        <f t="array" ref="U10">INDEX(Raw!M:FM, MATCH(U$4, Raw!$A:$A, 0), MATCH(1, (Raw!$B$1:$FB$1=$I10)*(Raw!$B$2:$FB$2=$H10), 0))</f>
        <v>0</v>
      </c>
      <c r="V10" s="11" cm="1">
        <f t="array" ref="V10">INDEX(Raw!N:FN, MATCH(V$4, Raw!$A:$A, 0), MATCH(1, (Raw!$B$1:$FB$1=$I10)*(Raw!$B$2:$FB$2=$H10), 0))</f>
        <v>2475000000</v>
      </c>
      <c r="W10" s="11" cm="1">
        <f t="array" ref="W10">INDEX(Raw!O:FO, MATCH(W$4, Raw!$A:$A, 0), MATCH(1, (Raw!$B$1:$FB$1=$I10)*(Raw!$B$2:$FB$2=$H10), 0))</f>
        <v>0</v>
      </c>
      <c r="X10" s="11" cm="1">
        <f t="array" ref="X10">INDEX(Raw!P:FP, MATCH(X$4, Raw!$A:$A, 0), MATCH(1, (Raw!$B$1:$FB$1=$I10)*(Raw!$B$2:$FB$2=$H10), 0))</f>
        <v>2245000000</v>
      </c>
      <c r="Y10" s="11" cm="1">
        <f t="array" ref="Y10">INDEX(Raw!Q:FQ, MATCH(Y$4, Raw!$A:$A, 0), MATCH(1, (Raw!$B$1:$FB$1=$I10)*(Raw!$B$2:$FB$2=$H10), 0))</f>
        <v>693266800</v>
      </c>
      <c r="Z10" s="11" cm="1">
        <f t="array" ref="Z10">INDEX(Raw!R:FR, MATCH(Z$4, Raw!$A:$A, 0), MATCH(1, (Raw!$B$1:$FB$1=$I10)*(Raw!$B$2:$FB$2=$H10), 0))</f>
        <v>493996100</v>
      </c>
      <c r="AA10" s="11" cm="1">
        <f t="array" ref="AA10">INDEX(Raw!S:FS, MATCH(AA$4, Raw!$A:$A, 0), MATCH(1, (Raw!$B$1:$FB$1=$I10)*(Raw!$B$2:$FB$2=$H10), 0))</f>
        <v>5345914000</v>
      </c>
      <c r="AB10" s="11" cm="1">
        <f t="array" ref="AB10">INDEX(Raw!T:FT, MATCH(AB$4, Raw!$A:$A, 0), MATCH(1, (Raw!$B$1:$FB$1=$I10)*(Raw!$B$2:$FB$2=$H10), 0))</f>
        <v>5341026000</v>
      </c>
      <c r="AC10" s="11" cm="1">
        <f t="array" ref="AC10">INDEX(Raw!U:FU, MATCH(AC$4, Raw!$A:$A, 0), MATCH(1, (Raw!$B$1:$FB$1=$I10)*(Raw!$B$2:$FB$2=$H10), 0))</f>
        <v>0.48</v>
      </c>
      <c r="AD10" s="11" cm="1">
        <f t="array" ref="AD10">INDEX(Raw!V:FV, MATCH(AD$4, Raw!$A:$A, 0), MATCH(1, (Raw!$B$1:$FB$1=$I10)*(Raw!$B$2:$FB$2=$H10), 0))</f>
        <v>0.6</v>
      </c>
    </row>
    <row r="11" spans="3:30" x14ac:dyDescent="0.25">
      <c r="F11" s="11" t="s">
        <v>28</v>
      </c>
      <c r="G11" s="15">
        <f t="shared" ca="1" si="0"/>
        <v>46088</v>
      </c>
      <c r="H11" s="11">
        <f>H10</f>
        <v>2024</v>
      </c>
      <c r="I11" s="11" t="s">
        <v>23</v>
      </c>
      <c r="J11" s="11" cm="1">
        <f t="array" ref="J11">INDEX(Raw!B:FB, MATCH(J$4, Raw!$A:$A, 0), MATCH(1, (Raw!$B$1:$FB$1=$I11)*(Raw!$B$2:$FB$2=$H11), 0))</f>
        <v>12363000000</v>
      </c>
      <c r="K11" s="11" cm="1">
        <f t="array" ref="K11">INDEX(Raw!C:FC, MATCH(K$4, Raw!$A:$A, 0), MATCH(1, (Raw!$B$1:$FB$1=$I11)*(Raw!$B$2:$FB$2=$H11), 0))</f>
        <v>4235000000</v>
      </c>
      <c r="L11" s="11" cm="1">
        <f t="array" ref="L11">INDEX(Raw!D:FD, MATCH(L$4, Raw!$A:$A, 0), MATCH(1, (Raw!$B$1:$FB$1=$I11)*(Raw!$B$2:$FB$2=$H11), 0))</f>
        <v>6215000000</v>
      </c>
      <c r="M11" s="11" cm="1">
        <f t="array" ref="M11">INDEX(Raw!E:FE, MATCH(M$4, Raw!$A:$A, 0), MATCH(1, (Raw!$B$1:$FB$1=$I11)*(Raw!$B$2:$FB$2=$H11), 0))</f>
        <v>3667000000</v>
      </c>
      <c r="N11" s="11" cm="1">
        <f t="array" ref="N11">INDEX(Raw!F:FF, MATCH(N$4, Raw!$A:$A, 0), MATCH(1, (Raw!$B$1:$FB$1=$I11)*(Raw!$B$2:$FB$2=$H11), 0))</f>
        <v>-1338000000</v>
      </c>
      <c r="O11" s="11" cm="1">
        <f t="array" ref="O11">INDEX(Raw!G:FG, MATCH(O$4, Raw!$A:$A, 0), MATCH(1, (Raw!$B$1:$FB$1=$I11)*(Raw!$B$2:$FB$2=$H11), 0))</f>
        <v>3296000000</v>
      </c>
      <c r="P11" s="11" cm="1">
        <f t="array" ref="P11">INDEX(Raw!H:FH, MATCH(P$4, Raw!$A:$A, 0), MATCH(1, (Raw!$B$1:$FB$1=$I11)*(Raw!$B$2:$FB$2=$H11), 0))</f>
        <v>2075000000</v>
      </c>
      <c r="Q11" s="11" cm="1">
        <f t="array" ref="Q11">INDEX(Raw!I:FI, MATCH(Q$4, Raw!$A:$A, 0), MATCH(1, (Raw!$B$1:$FB$1=$I11)*(Raw!$B$2:$FB$2=$H11), 0))</f>
        <v>356000000</v>
      </c>
      <c r="R11" s="11" cm="1">
        <f t="array" ref="R11">INDEX(Raw!J:FJ, MATCH(R$4, Raw!$A:$A, 0), MATCH(1, (Raw!$B$1:$FB$1=$I11)*(Raw!$B$2:$FB$2=$H11), 0))</f>
        <v>2284000000</v>
      </c>
      <c r="S11" s="11" cm="1">
        <f t="array" ref="S11">INDEX(Raw!K:FK, MATCH(S$4, Raw!$A:$A, 0), MATCH(1, (Raw!$B$1:$FB$1=$I11)*(Raw!$B$2:$FB$2=$H11), 0))</f>
        <v>665000000</v>
      </c>
      <c r="T11" s="11" cm="1">
        <f t="array" ref="T11">INDEX(Raw!L:FL, MATCH(T$4, Raw!$A:$A, 0), MATCH(1, (Raw!$B$1:$FB$1=$I11)*(Raw!$B$2:$FB$2=$H11), 0))</f>
        <v>2450000000</v>
      </c>
      <c r="U11" s="11" cm="1">
        <f t="array" ref="U11">INDEX(Raw!M:FM, MATCH(U$4, Raw!$A:$A, 0), MATCH(1, (Raw!$B$1:$FB$1=$I11)*(Raw!$B$2:$FB$2=$H11), 0))</f>
        <v>0</v>
      </c>
      <c r="V11" s="11" cm="1">
        <f t="array" ref="V11">INDEX(Raw!N:FN, MATCH(V$4, Raw!$A:$A, 0), MATCH(1, (Raw!$B$1:$FB$1=$I11)*(Raw!$B$2:$FB$2=$H11), 0))</f>
        <v>2624000000</v>
      </c>
      <c r="W11" s="11" cm="1">
        <f t="array" ref="W11">INDEX(Raw!O:FO, MATCH(W$4, Raw!$A:$A, 0), MATCH(1, (Raw!$B$1:$FB$1=$I11)*(Raw!$B$2:$FB$2=$H11), 0))</f>
        <v>0</v>
      </c>
      <c r="X11" s="11" cm="1">
        <f t="array" ref="X11">INDEX(Raw!P:FP, MATCH(X$4, Raw!$A:$A, 0), MATCH(1, (Raw!$B$1:$FB$1=$I11)*(Raw!$B$2:$FB$2=$H11), 0))</f>
        <v>1456000000</v>
      </c>
      <c r="Y11" s="11" cm="1">
        <f t="array" ref="Y11">INDEX(Raw!Q:FQ, MATCH(Y$4, Raw!$A:$A, 0), MATCH(1, (Raw!$B$1:$FB$1=$I11)*(Raw!$B$2:$FB$2=$H11), 0))</f>
        <v>493996100</v>
      </c>
      <c r="Z11" s="11" cm="1">
        <f t="array" ref="Z11">INDEX(Raw!R:FR, MATCH(Z$4, Raw!$A:$A, 0), MATCH(1, (Raw!$B$1:$FB$1=$I11)*(Raw!$B$2:$FB$2=$H11), 0))</f>
        <v>421468000</v>
      </c>
      <c r="AA11" s="11" cm="1">
        <f t="array" ref="AA11">INDEX(Raw!S:FS, MATCH(AA$4, Raw!$A:$A, 0), MATCH(1, (Raw!$B$1:$FB$1=$I11)*(Raw!$B$2:$FB$2=$H11), 0))</f>
        <v>5341026000</v>
      </c>
      <c r="AB11" s="11" cm="1">
        <f t="array" ref="AB11">INDEX(Raw!T:FT, MATCH(AB$4, Raw!$A:$A, 0), MATCH(1, (Raw!$B$1:$FB$1=$I11)*(Raw!$B$2:$FB$2=$H11), 0))</f>
        <v>5339712000</v>
      </c>
      <c r="AC11" s="11" cm="1">
        <f t="array" ref="AC11">INDEX(Raw!U:FU, MATCH(AC$4, Raw!$A:$A, 0), MATCH(1, (Raw!$B$1:$FB$1=$I11)*(Raw!$B$2:$FB$2=$H11), 0))</f>
        <v>0.61</v>
      </c>
      <c r="AD11" s="11" cm="1">
        <f t="array" ref="AD11">INDEX(Raw!V:FV, MATCH(AD$4, Raw!$A:$A, 0), MATCH(1, (Raw!$B$1:$FB$1=$I11)*(Raw!$B$2:$FB$2=$H11), 0))</f>
        <v>0.61</v>
      </c>
    </row>
    <row r="12" spans="3:30" x14ac:dyDescent="0.25">
      <c r="F12" s="11" t="s">
        <v>28</v>
      </c>
      <c r="G12" s="15">
        <f t="shared" ca="1" si="0"/>
        <v>46088</v>
      </c>
      <c r="H12" s="11">
        <f>H11</f>
        <v>2024</v>
      </c>
      <c r="I12" s="11" t="s">
        <v>24</v>
      </c>
      <c r="J12" s="11" cm="1">
        <f t="array" ref="J12">INDEX(Raw!B:FB, MATCH(J$4, Raw!$A:$A, 0), MATCH(1, (Raw!$B$1:$FB$1=$I12)*(Raw!$B$2:$FB$2=$H12), 0))</f>
        <v>11300000000</v>
      </c>
      <c r="K12" s="11" cm="1">
        <f t="array" ref="K12">INDEX(Raw!C:FC, MATCH(K$4, Raw!$A:$A, 0), MATCH(1, (Raw!$B$1:$FB$1=$I12)*(Raw!$B$2:$FB$2=$H12), 0))</f>
        <v>4634000000</v>
      </c>
      <c r="L12" s="11" cm="1">
        <f t="array" ref="L12">INDEX(Raw!D:FD, MATCH(L$4, Raw!$A:$A, 0), MATCH(1, (Raw!$B$1:$FB$1=$I12)*(Raw!$B$2:$FB$2=$H12), 0))</f>
        <v>7296000000</v>
      </c>
      <c r="M12" s="11" cm="1">
        <f t="array" ref="M12">INDEX(Raw!E:FE, MATCH(M$4, Raw!$A:$A, 0), MATCH(1, (Raw!$B$1:$FB$1=$I12)*(Raw!$B$2:$FB$2=$H12), 0))</f>
        <v>3321000000</v>
      </c>
      <c r="N12" s="11" cm="1">
        <f t="array" ref="N12">INDEX(Raw!F:FF, MATCH(N$4, Raw!$A:$A, 0), MATCH(1, (Raw!$B$1:$FB$1=$I12)*(Raw!$B$2:$FB$2=$H12), 0))</f>
        <v>-111000000</v>
      </c>
      <c r="O12" s="11" cm="1">
        <f t="array" ref="O12">INDEX(Raw!G:FG, MATCH(O$4, Raw!$A:$A, 0), MATCH(1, (Raw!$B$1:$FB$1=$I12)*(Raw!$B$2:$FB$2=$H12), 0))</f>
        <v>3537000000</v>
      </c>
      <c r="P12" s="11" cm="1">
        <f t="array" ref="P12">INDEX(Raw!H:FH, MATCH(P$4, Raw!$A:$A, 0), MATCH(1, (Raw!$B$1:$FB$1=$I12)*(Raw!$B$2:$FB$2=$H12), 0))</f>
        <v>3088000000</v>
      </c>
      <c r="Q12" s="11" cm="1">
        <f t="array" ref="Q12">INDEX(Raw!I:FI, MATCH(Q$4, Raw!$A:$A, 0), MATCH(1, (Raw!$B$1:$FB$1=$I12)*(Raw!$B$2:$FB$2=$H12), 0))</f>
        <v>-57000000</v>
      </c>
      <c r="R12" s="11" cm="1">
        <f t="array" ref="R12">INDEX(Raw!J:FJ, MATCH(R$4, Raw!$A:$A, 0), MATCH(1, (Raw!$B$1:$FB$1=$I12)*(Raw!$B$2:$FB$2=$H12), 0))</f>
        <v>3458000000</v>
      </c>
      <c r="S12" s="11" cm="1">
        <f t="array" ref="S12">INDEX(Raw!K:FK, MATCH(S$4, Raw!$A:$A, 0), MATCH(1, (Raw!$B$1:$FB$1=$I12)*(Raw!$B$2:$FB$2=$H12), 0))</f>
        <v>510000000</v>
      </c>
      <c r="T12" s="11" cm="1">
        <f t="array" ref="T12">INDEX(Raw!L:FL, MATCH(T$4, Raw!$A:$A, 0), MATCH(1, (Raw!$B$1:$FB$1=$I12)*(Raw!$B$2:$FB$2=$H12), 0))</f>
        <v>2475000000</v>
      </c>
      <c r="U12" s="11" cm="1">
        <f t="array" ref="U12">INDEX(Raw!M:FM, MATCH(U$4, Raw!$A:$A, 0), MATCH(1, (Raw!$B$1:$FB$1=$I12)*(Raw!$B$2:$FB$2=$H12), 0))</f>
        <v>0</v>
      </c>
      <c r="V12" s="11" cm="1">
        <f t="array" ref="V12">INDEX(Raw!N:FN, MATCH(V$4, Raw!$A:$A, 0), MATCH(1, (Raw!$B$1:$FB$1=$I12)*(Raw!$B$2:$FB$2=$H12), 0))</f>
        <v>2255000000</v>
      </c>
      <c r="W12" s="11" cm="1">
        <f t="array" ref="W12">INDEX(Raw!O:FO, MATCH(W$4, Raw!$A:$A, 0), MATCH(1, (Raw!$B$1:$FB$1=$I12)*(Raw!$B$2:$FB$2=$H12), 0))</f>
        <v>0</v>
      </c>
      <c r="X12" s="11" cm="1">
        <f t="array" ref="X12">INDEX(Raw!P:FP, MATCH(X$4, Raw!$A:$A, 0), MATCH(1, (Raw!$B$1:$FB$1=$I12)*(Raw!$B$2:$FB$2=$H12), 0))</f>
        <v>1737000000</v>
      </c>
      <c r="Y12" s="11" cm="1">
        <f t="array" ref="Y12">INDEX(Raw!Q:FQ, MATCH(Y$4, Raw!$A:$A, 0), MATCH(1, (Raw!$B$1:$FB$1=$I12)*(Raw!$B$2:$FB$2=$H12), 0))</f>
        <v>421468000</v>
      </c>
      <c r="Z12" s="11" cm="1">
        <f t="array" ref="Z12">INDEX(Raw!R:FR, MATCH(Z$4, Raw!$A:$A, 0), MATCH(1, (Raw!$B$1:$FB$1=$I12)*(Raw!$B$2:$FB$2=$H12), 0))</f>
        <v>512429900</v>
      </c>
      <c r="AA12" s="11" cm="1">
        <f t="array" ref="AA12">INDEX(Raw!S:FS, MATCH(AA$4, Raw!$A:$A, 0), MATCH(1, (Raw!$B$1:$FB$1=$I12)*(Raw!$B$2:$FB$2=$H12), 0))</f>
        <v>5339712000</v>
      </c>
      <c r="AB12" s="11" cm="1">
        <f t="array" ref="AB12">INDEX(Raw!T:FT, MATCH(AB$4, Raw!$A:$A, 0), MATCH(1, (Raw!$B$1:$FB$1=$I12)*(Raw!$B$2:$FB$2=$H12), 0))</f>
        <v>5340552000</v>
      </c>
      <c r="AC12" s="11" cm="1">
        <f t="array" ref="AC12">INDEX(Raw!U:FU, MATCH(AC$4, Raw!$A:$A, 0), MATCH(1, (Raw!$B$1:$FB$1=$I12)*(Raw!$B$2:$FB$2=$H12), 0))</f>
        <v>0.61</v>
      </c>
      <c r="AD12" s="11" cm="1">
        <f t="array" ref="AD12">INDEX(Raw!V:FV, MATCH(AD$4, Raw!$A:$A, 0), MATCH(1, (Raw!$B$1:$FB$1=$I12)*(Raw!$B$2:$FB$2=$H12), 0))</f>
        <v>0.39</v>
      </c>
    </row>
    <row r="13" spans="3:30" x14ac:dyDescent="0.25">
      <c r="F13" s="11" t="s">
        <v>28</v>
      </c>
      <c r="G13" s="15">
        <f t="shared" ca="1" si="0"/>
        <v>46088</v>
      </c>
      <c r="H13" s="11">
        <f>H9-1</f>
        <v>2023</v>
      </c>
      <c r="I13" s="11" t="s">
        <v>21</v>
      </c>
      <c r="J13" s="11" cm="1">
        <f t="array" ref="J13">INDEX(Raw!B:FB, MATCH(J$4, Raw!$A:$A, 0), MATCH(1, (Raw!$B$1:$FB$1=$I13)*(Raw!$B$2:$FB$2=$H13), 0))</f>
        <v>10849000000</v>
      </c>
      <c r="K13" s="11" cm="1">
        <f t="array" ref="K13">INDEX(Raw!C:FC, MATCH(K$4, Raw!$A:$A, 0), MATCH(1, (Raw!$B$1:$FB$1=$I13)*(Raw!$B$2:$FB$2=$H13), 0))</f>
        <v>4657000000</v>
      </c>
      <c r="L13" s="11" cm="1">
        <f t="array" ref="L13">INDEX(Raw!D:FD, MATCH(L$4, Raw!$A:$A, 0), MATCH(1, (Raw!$B$1:$FB$1=$I13)*(Raw!$B$2:$FB$2=$H13), 0))</f>
        <v>7060000000</v>
      </c>
      <c r="M13" s="11" cm="1">
        <f t="array" ref="M13">INDEX(Raw!E:FE, MATCH(M$4, Raw!$A:$A, 0), MATCH(1, (Raw!$B$1:$FB$1=$I13)*(Raw!$B$2:$FB$2=$H13), 0))</f>
        <v>3185000000</v>
      </c>
      <c r="N13" s="11" cm="1">
        <f t="array" ref="N13">INDEX(Raw!F:FF, MATCH(N$4, Raw!$A:$A, 0), MATCH(1, (Raw!$B$1:$FB$1=$I13)*(Raw!$B$2:$FB$2=$H13), 0))</f>
        <v>-106000000</v>
      </c>
      <c r="O13" s="11" cm="1">
        <f t="array" ref="O13">INDEX(Raw!G:FG, MATCH(O$4, Raw!$A:$A, 0), MATCH(1, (Raw!$B$1:$FB$1=$I13)*(Raw!$B$2:$FB$2=$H13), 0))</f>
        <v>3409000000</v>
      </c>
      <c r="P13" s="11" cm="1">
        <f t="array" ref="P13">INDEX(Raw!H:FH, MATCH(P$4, Raw!$A:$A, 0), MATCH(1, (Raw!$B$1:$FB$1=$I13)*(Raw!$B$2:$FB$2=$H13), 0))</f>
        <v>2341000000</v>
      </c>
      <c r="Q13" s="11" cm="1">
        <f t="array" ref="Q13">INDEX(Raw!I:FI, MATCH(Q$4, Raw!$A:$A, 0), MATCH(1, (Raw!$B$1:$FB$1=$I13)*(Raw!$B$2:$FB$2=$H13), 0))</f>
        <v>53000000</v>
      </c>
      <c r="R13" s="11" cm="1">
        <f t="array" ref="R13">INDEX(Raw!J:FJ, MATCH(R$4, Raw!$A:$A, 0), MATCH(1, (Raw!$B$1:$FB$1=$I13)*(Raw!$B$2:$FB$2=$H13), 0))</f>
        <v>2960000000</v>
      </c>
      <c r="S13" s="11" cm="1">
        <f t="array" ref="S13">INDEX(Raw!K:FK, MATCH(S$4, Raw!$A:$A, 0), MATCH(1, (Raw!$B$1:$FB$1=$I13)*(Raw!$B$2:$FB$2=$H13), 0))</f>
        <v>609000000</v>
      </c>
      <c r="T13" s="11" cm="1">
        <f t="array" ref="T13">INDEX(Raw!L:FL, MATCH(T$4, Raw!$A:$A, 0), MATCH(1, (Raw!$B$1:$FB$1=$I13)*(Raw!$B$2:$FB$2=$H13), 0))</f>
        <v>2624000000</v>
      </c>
      <c r="U13" s="11" cm="1">
        <f t="array" ref="U13">INDEX(Raw!M:FM, MATCH(U$4, Raw!$A:$A, 0), MATCH(1, (Raw!$B$1:$FB$1=$I13)*(Raw!$B$2:$FB$2=$H13), 0))</f>
        <v>0</v>
      </c>
      <c r="V13" s="11" cm="1">
        <f t="array" ref="V13">INDEX(Raw!N:FN, MATCH(V$4, Raw!$A:$A, 0), MATCH(1, (Raw!$B$1:$FB$1=$I13)*(Raw!$B$2:$FB$2=$H13), 0))</f>
        <v>1474000000</v>
      </c>
      <c r="W13" s="11" cm="1">
        <f t="array" ref="W13">INDEX(Raw!O:FO, MATCH(W$4, Raw!$A:$A, 0), MATCH(1, (Raw!$B$1:$FB$1=$I13)*(Raw!$B$2:$FB$2=$H13), 0))</f>
        <v>0</v>
      </c>
      <c r="X13" s="11" cm="1">
        <f t="array" ref="X13">INDEX(Raw!P:FP, MATCH(X$4, Raw!$A:$A, 0), MATCH(1, (Raw!$B$1:$FB$1=$I13)*(Raw!$B$2:$FB$2=$H13), 0))</f>
        <v>1779000000</v>
      </c>
      <c r="Y13" s="11" cm="1">
        <f t="array" ref="Y13">INDEX(Raw!Q:FQ, MATCH(Y$4, Raw!$A:$A, 0), MATCH(1, (Raw!$B$1:$FB$1=$I13)*(Raw!$B$2:$FB$2=$H13), 0))</f>
        <v>512429900</v>
      </c>
      <c r="Z13" s="11" cm="1">
        <f t="array" ref="Z13">INDEX(Raw!R:FR, MATCH(Z$4, Raw!$A:$A, 0), MATCH(1, (Raw!$B$1:$FB$1=$I13)*(Raw!$B$2:$FB$2=$H13), 0))</f>
        <v>579682100</v>
      </c>
      <c r="AA13" s="11" cm="1">
        <f t="array" ref="AA13">INDEX(Raw!S:FS, MATCH(AA$4, Raw!$A:$A, 0), MATCH(1, (Raw!$B$1:$FB$1=$I13)*(Raw!$B$2:$FB$2=$H13), 0))</f>
        <v>5340552000</v>
      </c>
      <c r="AB13" s="11" cm="1">
        <f t="array" ref="AB13">INDEX(Raw!T:FT, MATCH(AB$4, Raw!$A:$A, 0), MATCH(1, (Raw!$B$1:$FB$1=$I13)*(Raw!$B$2:$FB$2=$H13), 0))</f>
        <v>5392238000</v>
      </c>
      <c r="AC13" s="11" cm="1">
        <f t="array" ref="AC13">INDEX(Raw!U:FU, MATCH(AC$4, Raw!$A:$A, 0), MATCH(1, (Raw!$B$1:$FB$1=$I13)*(Raw!$B$2:$FB$2=$H13), 0))</f>
        <v>0.39</v>
      </c>
      <c r="AD13" s="11" cm="1">
        <f t="array" ref="AD13">INDEX(Raw!V:FV, MATCH(AD$4, Raw!$A:$A, 0), MATCH(1, (Raw!$B$1:$FB$1=$I13)*(Raw!$B$2:$FB$2=$H13), 0))</f>
        <v>0.2</v>
      </c>
    </row>
    <row r="14" spans="3:30" x14ac:dyDescent="0.25">
      <c r="F14" s="11" t="s">
        <v>28</v>
      </c>
      <c r="G14" s="15">
        <f t="shared" ca="1" si="0"/>
        <v>46088</v>
      </c>
      <c r="H14" s="11">
        <f>H13</f>
        <v>2023</v>
      </c>
      <c r="I14" s="11" t="s">
        <v>22</v>
      </c>
      <c r="J14" s="11" cm="1">
        <f t="array" ref="J14">INDEX(Raw!B:FB, MATCH(J$4, Raw!$A:$A, 0), MATCH(1, (Raw!$B$1:$FB$1=$I14)*(Raw!$B$2:$FB$2=$H14), 0))</f>
        <v>11953000000</v>
      </c>
      <c r="K14" s="11" cm="1">
        <f t="array" ref="K14">INDEX(Raw!C:FC, MATCH(K$4, Raw!$A:$A, 0), MATCH(1, (Raw!$B$1:$FB$1=$I14)*(Raw!$B$2:$FB$2=$H14), 0))</f>
        <v>4912000000</v>
      </c>
      <c r="L14" s="11" cm="1">
        <f t="array" ref="L14">INDEX(Raw!D:FD, MATCH(L$4, Raw!$A:$A, 0), MATCH(1, (Raw!$B$1:$FB$1=$I14)*(Raw!$B$2:$FB$2=$H14), 0))</f>
        <v>6663000000</v>
      </c>
      <c r="M14" s="11" cm="1">
        <f t="array" ref="M14">INDEX(Raw!E:FE, MATCH(M$4, Raw!$A:$A, 0), MATCH(1, (Raw!$B$1:$FB$1=$I14)*(Raw!$B$2:$FB$2=$H14), 0))</f>
        <v>3431000000</v>
      </c>
      <c r="N14" s="11" cm="1">
        <f t="array" ref="N14">INDEX(Raw!F:FF, MATCH(N$4, Raw!$A:$A, 0), MATCH(1, (Raw!$B$1:$FB$1=$I14)*(Raw!$B$2:$FB$2=$H14), 0))</f>
        <v>-130000000</v>
      </c>
      <c r="O14" s="11" cm="1">
        <f t="array" ref="O14">INDEX(Raw!G:FG, MATCH(O$4, Raw!$A:$A, 0), MATCH(1, (Raw!$B$1:$FB$1=$I14)*(Raw!$B$2:$FB$2=$H14), 0))</f>
        <v>4154000000</v>
      </c>
      <c r="P14" s="11" cm="1">
        <f t="array" ref="P14">INDEX(Raw!H:FH, MATCH(P$4, Raw!$A:$A, 0), MATCH(1, (Raw!$B$1:$FB$1=$I14)*(Raw!$B$2:$FB$2=$H14), 0))</f>
        <v>3405000000</v>
      </c>
      <c r="Q14" s="11" cm="1">
        <f t="array" ref="Q14">INDEX(Raw!I:FI, MATCH(Q$4, Raw!$A:$A, 0), MATCH(1, (Raw!$B$1:$FB$1=$I14)*(Raw!$B$2:$FB$2=$H14), 0))</f>
        <v>1288000000</v>
      </c>
      <c r="R14" s="11" cm="1">
        <f t="array" ref="R14">INDEX(Raw!J:FJ, MATCH(R$4, Raw!$A:$A, 0), MATCH(1, (Raw!$B$1:$FB$1=$I14)*(Raw!$B$2:$FB$2=$H14), 0))</f>
        <v>3084000000</v>
      </c>
      <c r="S14" s="11" cm="1">
        <f t="array" ref="S14">INDEX(Raw!K:FK, MATCH(S$4, Raw!$A:$A, 0), MATCH(1, (Raw!$B$1:$FB$1=$I14)*(Raw!$B$2:$FB$2=$H14), 0))</f>
        <v>994000000</v>
      </c>
      <c r="T14" s="11" cm="1">
        <f t="array" ref="T14">INDEX(Raw!L:FL, MATCH(T$4, Raw!$A:$A, 0), MATCH(1, (Raw!$B$1:$FB$1=$I14)*(Raw!$B$2:$FB$2=$H14), 0))</f>
        <v>2255000000</v>
      </c>
      <c r="U14" s="11" cm="1">
        <f t="array" ref="U14">INDEX(Raw!M:FM, MATCH(U$4, Raw!$A:$A, 0), MATCH(1, (Raw!$B$1:$FB$1=$I14)*(Raw!$B$2:$FB$2=$H14), 0))</f>
        <v>0</v>
      </c>
      <c r="V14" s="11" cm="1">
        <f t="array" ref="V14">INDEX(Raw!N:FN, MATCH(V$4, Raw!$A:$A, 0), MATCH(1, (Raw!$B$1:$FB$1=$I14)*(Raw!$B$2:$FB$2=$H14), 0))</f>
        <v>1740000000</v>
      </c>
      <c r="W14" s="11" cm="1">
        <f t="array" ref="W14">INDEX(Raw!O:FO, MATCH(W$4, Raw!$A:$A, 0), MATCH(1, (Raw!$B$1:$FB$1=$I14)*(Raw!$B$2:$FB$2=$H14), 0))</f>
        <v>0</v>
      </c>
      <c r="X14" s="11" cm="1">
        <f t="array" ref="X14">INDEX(Raw!P:FP, MATCH(X$4, Raw!$A:$A, 0), MATCH(1, (Raw!$B$1:$FB$1=$I14)*(Raw!$B$2:$FB$2=$H14), 0))</f>
        <v>2775000000</v>
      </c>
      <c r="Y14" s="11" cm="1">
        <f t="array" ref="Y14">INDEX(Raw!Q:FQ, MATCH(Y$4, Raw!$A:$A, 0), MATCH(1, (Raw!$B$1:$FB$1=$I14)*(Raw!$B$2:$FB$2=$H14), 0))</f>
        <v>579682100</v>
      </c>
      <c r="Z14" s="11" cm="1">
        <f t="array" ref="Z14">INDEX(Raw!R:FR, MATCH(Z$4, Raw!$A:$A, 0), MATCH(1, (Raw!$B$1:$FB$1=$I14)*(Raw!$B$2:$FB$2=$H14), 0))</f>
        <v>437983200</v>
      </c>
      <c r="AA14" s="11" cm="1">
        <f t="array" ref="AA14">INDEX(Raw!S:FS, MATCH(AA$4, Raw!$A:$A, 0), MATCH(1, (Raw!$B$1:$FB$1=$I14)*(Raw!$B$2:$FB$2=$H14), 0))</f>
        <v>5392238000</v>
      </c>
      <c r="AB14" s="11" cm="1">
        <f t="array" ref="AB14">INDEX(Raw!T:FT, MATCH(AB$4, Raw!$A:$A, 0), MATCH(1, (Raw!$B$1:$FB$1=$I14)*(Raw!$B$2:$FB$2=$H14), 0))</f>
        <v>5461042000</v>
      </c>
      <c r="AC14" s="11" cm="1">
        <f t="array" ref="AC14">INDEX(Raw!U:FU, MATCH(AC$4, Raw!$A:$A, 0), MATCH(1, (Raw!$B$1:$FB$1=$I14)*(Raw!$B$2:$FB$2=$H14), 0))</f>
        <v>0.21</v>
      </c>
      <c r="AD14" s="11" cm="1">
        <f t="array" ref="AD14">INDEX(Raw!V:FV, MATCH(AD$4, Raw!$A:$A, 0), MATCH(1, (Raw!$B$1:$FB$1=$I14)*(Raw!$B$2:$FB$2=$H14), 0))</f>
        <v>0.44</v>
      </c>
    </row>
    <row r="15" spans="3:30" x14ac:dyDescent="0.25">
      <c r="F15" s="11" t="s">
        <v>28</v>
      </c>
      <c r="G15" s="15">
        <f t="shared" ca="1" si="0"/>
        <v>46088</v>
      </c>
      <c r="H15" s="11">
        <f>H14</f>
        <v>2023</v>
      </c>
      <c r="I15" s="11" t="s">
        <v>23</v>
      </c>
      <c r="J15" s="11" cm="1">
        <f t="array" ref="J15">INDEX(Raw!B:FB, MATCH(J$4, Raw!$A:$A, 0), MATCH(1, (Raw!$B$1:$FB$1=$I15)*(Raw!$B$2:$FB$2=$H15), 0))</f>
        <v>11972000000</v>
      </c>
      <c r="K15" s="11" cm="1">
        <f t="array" ref="K15">INDEX(Raw!C:FC, MATCH(K$4, Raw!$A:$A, 0), MATCH(1, (Raw!$B$1:$FB$1=$I15)*(Raw!$B$2:$FB$2=$H15), 0))</f>
        <v>4317000000</v>
      </c>
      <c r="L15" s="11" cm="1">
        <f t="array" ref="L15">INDEX(Raw!D:FD, MATCH(L$4, Raw!$A:$A, 0), MATCH(1, (Raw!$B$1:$FB$1=$I15)*(Raw!$B$2:$FB$2=$H15), 0))</f>
        <v>5612000000</v>
      </c>
      <c r="M15" s="11" cm="1">
        <f t="array" ref="M15">INDEX(Raw!E:FE, MATCH(M$4, Raw!$A:$A, 0), MATCH(1, (Raw!$B$1:$FB$1=$I15)*(Raw!$B$2:$FB$2=$H15), 0))</f>
        <v>3279000000</v>
      </c>
      <c r="N15" s="11" cm="1">
        <f t="array" ref="N15">INDEX(Raw!F:FF, MATCH(N$4, Raw!$A:$A, 0), MATCH(1, (Raw!$B$1:$FB$1=$I15)*(Raw!$B$2:$FB$2=$H15), 0))</f>
        <v>-951000000</v>
      </c>
      <c r="O15" s="11" cm="1">
        <f t="array" ref="O15">INDEX(Raw!G:FG, MATCH(O$4, Raw!$A:$A, 0), MATCH(1, (Raw!$B$1:$FB$1=$I15)*(Raw!$B$2:$FB$2=$H15), 0))</f>
        <v>2995000000</v>
      </c>
      <c r="P15" s="11" cm="1">
        <f t="array" ref="P15">INDEX(Raw!H:FH, MATCH(P$4, Raw!$A:$A, 0), MATCH(1, (Raw!$B$1:$FB$1=$I15)*(Raw!$B$2:$FB$2=$H15), 0))</f>
        <v>1672000000</v>
      </c>
      <c r="Q15" s="11" cm="1">
        <f t="array" ref="Q15">INDEX(Raw!I:FI, MATCH(Q$4, Raw!$A:$A, 0), MATCH(1, (Raw!$B$1:$FB$1=$I15)*(Raw!$B$2:$FB$2=$H15), 0))</f>
        <v>186000000</v>
      </c>
      <c r="R15" s="11" cm="1">
        <f t="array" ref="R15">INDEX(Raw!J:FJ, MATCH(R$4, Raw!$A:$A, 0), MATCH(1, (Raw!$B$1:$FB$1=$I15)*(Raw!$B$2:$FB$2=$H15), 0))</f>
        <v>3618000000</v>
      </c>
      <c r="S15" s="11" cm="1">
        <f t="array" ref="S15">INDEX(Raw!K:FK, MATCH(S$4, Raw!$A:$A, 0), MATCH(1, (Raw!$B$1:$FB$1=$I15)*(Raw!$B$2:$FB$2=$H15), 0))</f>
        <v>508000000</v>
      </c>
      <c r="T15" s="11" cm="1">
        <f t="array" ref="T15">INDEX(Raw!L:FL, MATCH(T$4, Raw!$A:$A, 0), MATCH(1, (Raw!$B$1:$FB$1=$I15)*(Raw!$B$2:$FB$2=$H15), 0))</f>
        <v>1474000000</v>
      </c>
      <c r="U15" s="11" cm="1">
        <f t="array" ref="U15">INDEX(Raw!M:FM, MATCH(U$4, Raw!$A:$A, 0), MATCH(1, (Raw!$B$1:$FB$1=$I15)*(Raw!$B$2:$FB$2=$H15), 0))</f>
        <v>0</v>
      </c>
      <c r="V15" s="11" cm="1">
        <f t="array" ref="V15">INDEX(Raw!N:FN, MATCH(V$4, Raw!$A:$A, 0), MATCH(1, (Raw!$B$1:$FB$1=$I15)*(Raw!$B$2:$FB$2=$H15), 0))</f>
        <v>1759000000</v>
      </c>
      <c r="W15" s="11" cm="1">
        <f t="array" ref="W15">INDEX(Raw!O:FO, MATCH(W$4, Raw!$A:$A, 0), MATCH(1, (Raw!$B$1:$FB$1=$I15)*(Raw!$B$2:$FB$2=$H15), 0))</f>
        <v>0</v>
      </c>
      <c r="X15" s="11" cm="1">
        <f t="array" ref="X15">INDEX(Raw!P:FP, MATCH(X$4, Raw!$A:$A, 0), MATCH(1, (Raw!$B$1:$FB$1=$I15)*(Raw!$B$2:$FB$2=$H15), 0))</f>
        <v>2042000000</v>
      </c>
      <c r="Y15" s="11" cm="1">
        <f t="array" ref="Y15">INDEX(Raw!Q:FQ, MATCH(Y$4, Raw!$A:$A, 0), MATCH(1, (Raw!$B$1:$FB$1=$I15)*(Raw!$B$2:$FB$2=$H15), 0))</f>
        <v>437983200</v>
      </c>
      <c r="Z15" s="11" cm="1">
        <f t="array" ref="Z15">INDEX(Raw!R:FR, MATCH(Z$4, Raw!$A:$A, 0), MATCH(1, (Raw!$B$1:$FB$1=$I15)*(Raw!$B$2:$FB$2=$H15), 0))</f>
        <v>381755100</v>
      </c>
      <c r="AA15" s="11" cm="1">
        <f t="array" ref="AA15">INDEX(Raw!S:FS, MATCH(AA$4, Raw!$A:$A, 0), MATCH(1, (Raw!$B$1:$FB$1=$I15)*(Raw!$B$2:$FB$2=$H15), 0))</f>
        <v>5461042000</v>
      </c>
      <c r="AB15" s="11" cm="1">
        <f t="array" ref="AB15">INDEX(Raw!T:FT, MATCH(AB$4, Raw!$A:$A, 0), MATCH(1, (Raw!$B$1:$FB$1=$I15)*(Raw!$B$2:$FB$2=$H15), 0))</f>
        <v>5534418000</v>
      </c>
      <c r="AC15" s="11" cm="1">
        <f t="array" ref="AC15">INDEX(Raw!U:FU, MATCH(AC$4, Raw!$A:$A, 0), MATCH(1, (Raw!$B$1:$FB$1=$I15)*(Raw!$B$2:$FB$2=$H15), 0))</f>
        <v>0.44</v>
      </c>
      <c r="AD15" s="11" cm="1">
        <f t="array" ref="AD15">INDEX(Raw!V:FV, MATCH(AD$4, Raw!$A:$A, 0), MATCH(1, (Raw!$B$1:$FB$1=$I15)*(Raw!$B$2:$FB$2=$H15), 0))</f>
        <v>0.54</v>
      </c>
    </row>
    <row r="16" spans="3:30" x14ac:dyDescent="0.25">
      <c r="F16" s="11" t="s">
        <v>28</v>
      </c>
      <c r="G16" s="15">
        <f t="shared" ca="1" si="0"/>
        <v>46088</v>
      </c>
      <c r="H16" s="11">
        <f>H15</f>
        <v>2023</v>
      </c>
      <c r="I16" s="11" t="s">
        <v>24</v>
      </c>
      <c r="J16" s="11" cm="1">
        <f t="array" ref="J16">INDEX(Raw!B:FB, MATCH(J$4, Raw!$A:$A, 0), MATCH(1, (Raw!$B$1:$FB$1=$I16)*(Raw!$B$2:$FB$2=$H16), 0))</f>
        <v>10980000000</v>
      </c>
      <c r="K16" s="11" cm="1">
        <f t="array" ref="K16">INDEX(Raw!C:FC, MATCH(K$4, Raw!$A:$A, 0), MATCH(1, (Raw!$B$1:$FB$1=$I16)*(Raw!$B$2:$FB$2=$H16), 0))</f>
        <v>4513000000</v>
      </c>
      <c r="L16" s="11" cm="1">
        <f t="array" ref="L16">INDEX(Raw!D:FD, MATCH(L$4, Raw!$A:$A, 0), MATCH(1, (Raw!$B$1:$FB$1=$I16)*(Raw!$B$2:$FB$2=$H16), 0))</f>
        <v>6497000000</v>
      </c>
      <c r="M16" s="11" cm="1">
        <f t="array" ref="M16">INDEX(Raw!E:FE, MATCH(M$4, Raw!$A:$A, 0), MATCH(1, (Raw!$B$1:$FB$1=$I16)*(Raw!$B$2:$FB$2=$H16), 0))</f>
        <v>3203000000</v>
      </c>
      <c r="N16" s="11" cm="1">
        <f t="array" ref="N16">INDEX(Raw!F:FF, MATCH(N$4, Raw!$A:$A, 0), MATCH(1, (Raw!$B$1:$FB$1=$I16)*(Raw!$B$2:$FB$2=$H16), 0))</f>
        <v>-28000000</v>
      </c>
      <c r="O16" s="11" cm="1">
        <f t="array" ref="O16">INDEX(Raw!G:FG, MATCH(O$4, Raw!$A:$A, 0), MATCH(1, (Raw!$B$1:$FB$1=$I16)*(Raw!$B$2:$FB$2=$H16), 0))</f>
        <v>3704000000</v>
      </c>
      <c r="P16" s="11" cm="1">
        <f t="array" ref="P16">INDEX(Raw!H:FH, MATCH(P$4, Raw!$A:$A, 0), MATCH(1, (Raw!$B$1:$FB$1=$I16)*(Raw!$B$2:$FB$2=$H16), 0))</f>
        <v>2898000000</v>
      </c>
      <c r="Q16" s="11" cm="1">
        <f t="array" ref="Q16">INDEX(Raw!I:FI, MATCH(Q$4, Raw!$A:$A, 0), MATCH(1, (Raw!$B$1:$FB$1=$I16)*(Raw!$B$2:$FB$2=$H16), 0))</f>
        <v>602000000</v>
      </c>
      <c r="R16" s="11" cm="1">
        <f t="array" ref="R16">INDEX(Raw!J:FJ, MATCH(R$4, Raw!$A:$A, 0), MATCH(1, (Raw!$B$1:$FB$1=$I16)*(Raw!$B$2:$FB$2=$H16), 0))</f>
        <v>2763000000</v>
      </c>
      <c r="S16" s="11" cm="1">
        <f t="array" ref="S16">INDEX(Raw!K:FK, MATCH(S$4, Raw!$A:$A, 0), MATCH(1, (Raw!$B$1:$FB$1=$I16)*(Raw!$B$2:$FB$2=$H16), 0))</f>
        <v>887000000</v>
      </c>
      <c r="T16" s="11" cm="1">
        <f t="array" ref="T16">INDEX(Raw!L:FL, MATCH(T$4, Raw!$A:$A, 0), MATCH(1, (Raw!$B$1:$FB$1=$I16)*(Raw!$B$2:$FB$2=$H16), 0))</f>
        <v>1740000000</v>
      </c>
      <c r="U16" s="11" cm="1">
        <f t="array" ref="U16">INDEX(Raw!M:FM, MATCH(U$4, Raw!$A:$A, 0), MATCH(1, (Raw!$B$1:$FB$1=$I16)*(Raw!$B$2:$FB$2=$H16), 0))</f>
        <v>0</v>
      </c>
      <c r="V16" s="11" cm="1">
        <f t="array" ref="V16">INDEX(Raw!N:FN, MATCH(V$4, Raw!$A:$A, 0), MATCH(1, (Raw!$B$1:$FB$1=$I16)*(Raw!$B$2:$FB$2=$H16), 0))</f>
        <v>2795000000</v>
      </c>
      <c r="W16" s="11" cm="1">
        <f t="array" ref="W16">INDEX(Raw!O:FO, MATCH(W$4, Raw!$A:$A, 0), MATCH(1, (Raw!$B$1:$FB$1=$I16)*(Raw!$B$2:$FB$2=$H16), 0))</f>
        <v>0</v>
      </c>
      <c r="X16" s="11" cm="1">
        <f t="array" ref="X16">INDEX(Raw!P:FP, MATCH(X$4, Raw!$A:$A, 0), MATCH(1, (Raw!$B$1:$FB$1=$I16)*(Raw!$B$2:$FB$2=$H16), 0))</f>
        <v>2593000000</v>
      </c>
      <c r="Y16" s="11" cm="1">
        <f t="array" ref="Y16">INDEX(Raw!Q:FQ, MATCH(Y$4, Raw!$A:$A, 0), MATCH(1, (Raw!$B$1:$FB$1=$I16)*(Raw!$B$2:$FB$2=$H16), 0))</f>
        <v>381755100</v>
      </c>
      <c r="Z16" s="11" cm="1">
        <f t="array" ref="Z16">INDEX(Raw!R:FR, MATCH(Z$4, Raw!$A:$A, 0), MATCH(1, (Raw!$B$1:$FB$1=$I16)*(Raw!$B$2:$FB$2=$H16), 0))</f>
        <v>458300000</v>
      </c>
      <c r="AA16" s="11" cm="1">
        <f t="array" ref="AA16">INDEX(Raw!S:FS, MATCH(AA$4, Raw!$A:$A, 0), MATCH(1, (Raw!$B$1:$FB$1=$I16)*(Raw!$B$2:$FB$2=$H16), 0))</f>
        <v>5534418000</v>
      </c>
      <c r="AB16" s="11" cm="1">
        <f t="array" ref="AB16">INDEX(Raw!T:FT, MATCH(AB$4, Raw!$A:$A, 0), MATCH(1, (Raw!$B$1:$FB$1=$I16)*(Raw!$B$2:$FB$2=$H16), 0))</f>
        <v>5602486000</v>
      </c>
      <c r="AC16" s="11" cm="1">
        <f t="array" ref="AC16">INDEX(Raw!U:FU, MATCH(AC$4, Raw!$A:$A, 0), MATCH(1, (Raw!$B$1:$FB$1=$I16)*(Raw!$B$2:$FB$2=$H16), 0))</f>
        <v>0.54</v>
      </c>
      <c r="AD16" s="11" cm="1">
        <f t="array" ref="AD16">INDEX(Raw!V:FV, MATCH(AD$4, Raw!$A:$A, 0), MATCH(1, (Raw!$B$1:$FB$1=$I16)*(Raw!$B$2:$FB$2=$H16), 0))</f>
        <v>0.32</v>
      </c>
    </row>
    <row r="17" spans="6:30" x14ac:dyDescent="0.25">
      <c r="F17" s="11" t="s">
        <v>28</v>
      </c>
      <c r="G17" s="15">
        <f t="shared" ca="1" si="0"/>
        <v>46088</v>
      </c>
      <c r="H17" s="11">
        <f>H13-1</f>
        <v>2022</v>
      </c>
      <c r="I17" s="11" t="s">
        <v>21</v>
      </c>
      <c r="J17" s="11" cm="1">
        <f t="array" ref="J17">INDEX(Raw!B:FB, MATCH(J$4, Raw!$A:$A, 0), MATCH(1, (Raw!$B$1:$FB$1=$I17)*(Raw!$B$2:$FB$2=$H17), 0))</f>
        <v>10125000000</v>
      </c>
      <c r="K17" s="11" cm="1">
        <f t="array" ref="K17">INDEX(Raw!C:FC, MATCH(K$4, Raw!$A:$A, 0), MATCH(1, (Raw!$B$1:$FB$1=$I17)*(Raw!$B$2:$FB$2=$H17), 0))</f>
        <v>4566000000</v>
      </c>
      <c r="L17" s="11" cm="1">
        <f t="array" ref="L17">INDEX(Raw!D:FD, MATCH(L$4, Raw!$A:$A, 0), MATCH(1, (Raw!$B$1:$FB$1=$I17)*(Raw!$B$2:$FB$2=$H17), 0))</f>
        <v>6495000000</v>
      </c>
      <c r="M17" s="11" cm="1">
        <f t="array" ref="M17">INDEX(Raw!E:FE, MATCH(M$4, Raw!$A:$A, 0), MATCH(1, (Raw!$B$1:$FB$1=$I17)*(Raw!$B$2:$FB$2=$H17), 0))</f>
        <v>2967000000</v>
      </c>
      <c r="N17" s="11" cm="1">
        <f t="array" ref="N17">INDEX(Raw!F:FF, MATCH(N$4, Raw!$A:$A, 0), MATCH(1, (Raw!$B$1:$FB$1=$I17)*(Raw!$B$2:$FB$2=$H17), 0))</f>
        <v>-368000000</v>
      </c>
      <c r="O17" s="11" cm="1">
        <f t="array" ref="O17">INDEX(Raw!G:FG, MATCH(O$4, Raw!$A:$A, 0), MATCH(1, (Raw!$B$1:$FB$1=$I17)*(Raw!$B$2:$FB$2=$H17), 0))</f>
        <v>3167000000</v>
      </c>
      <c r="P17" s="11" cm="1">
        <f t="array" ref="P17">INDEX(Raw!H:FH, MATCH(P$4, Raw!$A:$A, 0), MATCH(1, (Raw!$B$1:$FB$1=$I17)*(Raw!$B$2:$FB$2=$H17), 0))</f>
        <v>3016000000</v>
      </c>
      <c r="Q17" s="11" cm="1">
        <f t="array" ref="Q17">INDEX(Raw!I:FI, MATCH(Q$4, Raw!$A:$A, 0), MATCH(1, (Raw!$B$1:$FB$1=$I17)*(Raw!$B$2:$FB$2=$H17), 0))</f>
        <v>41000000</v>
      </c>
      <c r="R17" s="11" cm="1">
        <f t="array" ref="R17">INDEX(Raw!J:FJ, MATCH(R$4, Raw!$A:$A, 0), MATCH(1, (Raw!$B$1:$FB$1=$I17)*(Raw!$B$2:$FB$2=$H17), 0))</f>
        <v>2361000000</v>
      </c>
      <c r="S17" s="11" cm="1">
        <f t="array" ref="S17">INDEX(Raw!K:FK, MATCH(S$4, Raw!$A:$A, 0), MATCH(1, (Raw!$B$1:$FB$1=$I17)*(Raw!$B$2:$FB$2=$H17), 0))</f>
        <v>441000000</v>
      </c>
      <c r="T17" s="11" cm="1">
        <f t="array" ref="T17">INDEX(Raw!L:FL, MATCH(T$4, Raw!$A:$A, 0), MATCH(1, (Raw!$B$1:$FB$1=$I17)*(Raw!$B$2:$FB$2=$H17), 0))</f>
        <v>1759000000</v>
      </c>
      <c r="U17" s="11" cm="1">
        <f t="array" ref="U17">INDEX(Raw!M:FM, MATCH(U$4, Raw!$A:$A, 0), MATCH(1, (Raw!$B$1:$FB$1=$I17)*(Raw!$B$2:$FB$2=$H17), 0))</f>
        <v>0</v>
      </c>
      <c r="V17" s="11" cm="1">
        <f t="array" ref="V17">INDEX(Raw!N:FN, MATCH(V$4, Raw!$A:$A, 0), MATCH(1, (Raw!$B$1:$FB$1=$I17)*(Raw!$B$2:$FB$2=$H17), 0))</f>
        <v>2065000000</v>
      </c>
      <c r="W17" s="11" cm="1">
        <f t="array" ref="W17">INDEX(Raw!O:FO, MATCH(W$4, Raw!$A:$A, 0), MATCH(1, (Raw!$B$1:$FB$1=$I17)*(Raw!$B$2:$FB$2=$H17), 0))</f>
        <v>0</v>
      </c>
      <c r="X17" s="11" cm="1">
        <f t="array" ref="X17">INDEX(Raw!P:FP, MATCH(X$4, Raw!$A:$A, 0), MATCH(1, (Raw!$B$1:$FB$1=$I17)*(Raw!$B$2:$FB$2=$H17), 0))</f>
        <v>2607000000</v>
      </c>
      <c r="Y17" s="11" cm="1">
        <f t="array" ref="Y17">INDEX(Raw!Q:FQ, MATCH(Y$4, Raw!$A:$A, 0), MATCH(1, (Raw!$B$1:$FB$1=$I17)*(Raw!$B$2:$FB$2=$H17), 0))</f>
        <v>458300000</v>
      </c>
      <c r="Z17" s="11" cm="1">
        <f t="array" ref="Z17">INDEX(Raw!R:FR, MATCH(Z$4, Raw!$A:$A, 0), MATCH(1, (Raw!$B$1:$FB$1=$I17)*(Raw!$B$2:$FB$2=$H17), 0))</f>
        <v>498775100</v>
      </c>
      <c r="AA17" s="11" cm="1">
        <f t="array" ref="AA17">INDEX(Raw!S:FS, MATCH(AA$4, Raw!$A:$A, 0), MATCH(1, (Raw!$B$1:$FB$1=$I17)*(Raw!$B$2:$FB$2=$H17), 0))</f>
        <v>5602486000</v>
      </c>
      <c r="AB17" s="11" cm="1">
        <f t="array" ref="AB17">INDEX(Raw!T:FT, MATCH(AB$4, Raw!$A:$A, 0), MATCH(1, (Raw!$B$1:$FB$1=$I17)*(Raw!$B$2:$FB$2=$H17), 0))</f>
        <v>5676616000</v>
      </c>
      <c r="AC17" s="11" cm="1">
        <f t="array" ref="AC17">INDEX(Raw!U:FU, MATCH(AC$4, Raw!$A:$A, 0), MATCH(1, (Raw!$B$1:$FB$1=$I17)*(Raw!$B$2:$FB$2=$H17), 0))</f>
        <v>0.32</v>
      </c>
      <c r="AD17" s="11" cm="1">
        <f t="array" ref="AD17">INDEX(Raw!V:FV, MATCH(AD$4, Raw!$A:$A, 0), MATCH(1, (Raw!$B$1:$FB$1=$I17)*(Raw!$B$2:$FB$2=$H17), 0))</f>
        <v>-0.63</v>
      </c>
    </row>
    <row r="18" spans="6:30" x14ac:dyDescent="0.25">
      <c r="F18" s="11" t="s">
        <v>28</v>
      </c>
      <c r="G18" s="15">
        <f t="shared" ca="1" si="0"/>
        <v>46088</v>
      </c>
      <c r="H18" s="11">
        <f>H17</f>
        <v>2022</v>
      </c>
      <c r="I18" s="11" t="s">
        <v>22</v>
      </c>
      <c r="J18" s="11" cm="1">
        <f t="array" ref="J18">INDEX(Raw!B:FB, MATCH(J$4, Raw!$A:$A, 0), MATCH(1, (Raw!$B$1:$FB$1=$I18)*(Raw!$B$2:$FB$2=$H18), 0))</f>
        <v>11063000000</v>
      </c>
      <c r="K18" s="11" cm="1">
        <f t="array" ref="K18">INDEX(Raw!C:FC, MATCH(K$4, Raw!$A:$A, 0), MATCH(1, (Raw!$B$1:$FB$1=$I18)*(Raw!$B$2:$FB$2=$H18), 0))</f>
        <v>4830000000</v>
      </c>
      <c r="L18" s="11" cm="1">
        <f t="array" ref="L18">INDEX(Raw!D:FD, MATCH(L$4, Raw!$A:$A, 0), MATCH(1, (Raw!$B$1:$FB$1=$I18)*(Raw!$B$2:$FB$2=$H18), 0))</f>
        <v>6400000000</v>
      </c>
      <c r="M18" s="11" cm="1">
        <f t="array" ref="M18">INDEX(Raw!E:FE, MATCH(M$4, Raw!$A:$A, 0), MATCH(1, (Raw!$B$1:$FB$1=$I18)*(Raw!$B$2:$FB$2=$H18), 0))</f>
        <v>3336000000</v>
      </c>
      <c r="N18" s="11" cm="1">
        <f t="array" ref="N18">INDEX(Raw!F:FF, MATCH(N$4, Raw!$A:$A, 0), MATCH(1, (Raw!$B$1:$FB$1=$I18)*(Raw!$B$2:$FB$2=$H18), 0))</f>
        <v>-45000000</v>
      </c>
      <c r="O18" s="11" cm="1">
        <f t="array" ref="O18">INDEX(Raw!G:FG, MATCH(O$4, Raw!$A:$A, 0), MATCH(1, (Raw!$B$1:$FB$1=$I18)*(Raw!$B$2:$FB$2=$H18), 0))</f>
        <v>3326000000</v>
      </c>
      <c r="P18" s="11" cm="1">
        <f t="array" ref="P18">INDEX(Raw!H:FH, MATCH(P$4, Raw!$A:$A, 0), MATCH(1, (Raw!$B$1:$FB$1=$I18)*(Raw!$B$2:$FB$2=$H18), 0))</f>
        <v>2722000000</v>
      </c>
      <c r="Q18" s="11" cm="1">
        <f t="array" ref="Q18">INDEX(Raw!I:FI, MATCH(Q$4, Raw!$A:$A, 0), MATCH(1, (Raw!$B$1:$FB$1=$I18)*(Raw!$B$2:$FB$2=$H18), 0))</f>
        <v>23000000</v>
      </c>
      <c r="R18" s="11" cm="1">
        <f t="array" ref="R18">INDEX(Raw!J:FJ, MATCH(R$4, Raw!$A:$A, 0), MATCH(1, (Raw!$B$1:$FB$1=$I18)*(Raw!$B$2:$FB$2=$H18), 0))</f>
        <v>2181000000</v>
      </c>
      <c r="S18" s="11" cm="1">
        <f t="array" ref="S18">INDEX(Raw!K:FK, MATCH(S$4, Raw!$A:$A, 0), MATCH(1, (Raw!$B$1:$FB$1=$I18)*(Raw!$B$2:$FB$2=$H18), 0))</f>
        <v>438000000</v>
      </c>
      <c r="T18" s="11" cm="1">
        <f t="array" ref="T18">INDEX(Raw!L:FL, MATCH(T$4, Raw!$A:$A, 0), MATCH(1, (Raw!$B$1:$FB$1=$I18)*(Raw!$B$2:$FB$2=$H18), 0))</f>
        <v>2795000000</v>
      </c>
      <c r="U18" s="11" cm="1">
        <f t="array" ref="U18">INDEX(Raw!M:FM, MATCH(U$4, Raw!$A:$A, 0), MATCH(1, (Raw!$B$1:$FB$1=$I18)*(Raw!$B$2:$FB$2=$H18), 0))</f>
        <v>0</v>
      </c>
      <c r="V18" s="11" cm="1">
        <f t="array" ref="V18">INDEX(Raw!N:FN, MATCH(V$4, Raw!$A:$A, 0), MATCH(1, (Raw!$B$1:$FB$1=$I18)*(Raw!$B$2:$FB$2=$H18), 0))</f>
        <v>2589000000</v>
      </c>
      <c r="W18" s="11" cm="1">
        <f t="array" ref="W18">INDEX(Raw!O:FO, MATCH(W$4, Raw!$A:$A, 0), MATCH(1, (Raw!$B$1:$FB$1=$I18)*(Raw!$B$2:$FB$2=$H18), 0))</f>
        <v>0</v>
      </c>
      <c r="X18" s="11" cm="1">
        <f t="array" ref="X18">INDEX(Raw!P:FP, MATCH(X$4, Raw!$A:$A, 0), MATCH(1, (Raw!$B$1:$FB$1=$I18)*(Raw!$B$2:$FB$2=$H18), 0))</f>
        <v>1678000000</v>
      </c>
      <c r="Y18" s="11" cm="1">
        <f t="array" ref="Y18">INDEX(Raw!Q:FQ, MATCH(Y$4, Raw!$A:$A, 0), MATCH(1, (Raw!$B$1:$FB$1=$I18)*(Raw!$B$2:$FB$2=$H18), 0))</f>
        <v>498775100</v>
      </c>
      <c r="Z18" s="11" cm="1">
        <f t="array" ref="Z18">INDEX(Raw!R:FR, MATCH(Z$4, Raw!$A:$A, 0), MATCH(1, (Raw!$B$1:$FB$1=$I18)*(Raw!$B$2:$FB$2=$H18), 0))</f>
        <v>386955000</v>
      </c>
      <c r="AA18" s="11" cm="1">
        <f t="array" ref="AA18">INDEX(Raw!S:FS, MATCH(AA$4, Raw!$A:$A, 0), MATCH(1, (Raw!$B$1:$FB$1=$I18)*(Raw!$B$2:$FB$2=$H18), 0))</f>
        <v>5676616000</v>
      </c>
      <c r="AB18" s="11" cm="1">
        <f t="array" ref="AB18">INDEX(Raw!T:FT, MATCH(AB$4, Raw!$A:$A, 0), MATCH(1, (Raw!$B$1:$FB$1=$I18)*(Raw!$B$2:$FB$2=$H18), 0))</f>
        <v>0</v>
      </c>
      <c r="AC18" s="11" cm="1">
        <f t="array" ref="AC18">INDEX(Raw!U:FU, MATCH(AC$4, Raw!$A:$A, 0), MATCH(1, (Raw!$B$1:$FB$1=$I18)*(Raw!$B$2:$FB$2=$H18), 0))</f>
        <v>-0.65</v>
      </c>
      <c r="AD18" s="11" cm="1">
        <f t="array" ref="AD18">INDEX(Raw!V:FV, MATCH(AD$4, Raw!$A:$A, 0), MATCH(1, (Raw!$B$1:$FB$1=$I18)*(Raw!$B$2:$FB$2=$H18), 0))</f>
        <v>0.33</v>
      </c>
    </row>
    <row r="19" spans="6:30" x14ac:dyDescent="0.25">
      <c r="F19" s="11" t="s">
        <v>28</v>
      </c>
      <c r="G19" s="15">
        <f t="shared" ca="1" si="0"/>
        <v>46088</v>
      </c>
      <c r="H19" s="11">
        <f>H18</f>
        <v>2022</v>
      </c>
      <c r="I19" s="11" t="s">
        <v>23</v>
      </c>
      <c r="J19" s="11" cm="1">
        <f t="array" ref="J19">INDEX(Raw!B:FB, MATCH(J$4, Raw!$A:$A, 0), MATCH(1, (Raw!$B$1:$FB$1=$I19)*(Raw!$B$2:$FB$2=$H19), 0))</f>
        <v>11325000000</v>
      </c>
      <c r="K19" s="11" cm="1">
        <f t="array" ref="K19">INDEX(Raw!C:FC, MATCH(K$4, Raw!$A:$A, 0), MATCH(1, (Raw!$B$1:$FB$1=$I19)*(Raw!$B$2:$FB$2=$H19), 0))</f>
        <v>4091000000</v>
      </c>
      <c r="L19" s="11" cm="1">
        <f t="array" ref="L19">INDEX(Raw!D:FD, MATCH(L$4, Raw!$A:$A, 0), MATCH(1, (Raw!$B$1:$FB$1=$I19)*(Raw!$B$2:$FB$2=$H19), 0))</f>
        <v>5376000000</v>
      </c>
      <c r="M19" s="11" cm="1">
        <f t="array" ref="M19">INDEX(Raw!E:FE, MATCH(M$4, Raw!$A:$A, 0), MATCH(1, (Raw!$B$1:$FB$1=$I19)*(Raw!$B$2:$FB$2=$H19), 0))</f>
        <v>3122000000</v>
      </c>
      <c r="N19" s="11" cm="1">
        <f t="array" ref="N19">INDEX(Raw!F:FF, MATCH(N$4, Raw!$A:$A, 0), MATCH(1, (Raw!$B$1:$FB$1=$I19)*(Raw!$B$2:$FB$2=$H19), 0))</f>
        <v>-309000000</v>
      </c>
      <c r="O19" s="11" cm="1">
        <f t="array" ref="O19">INDEX(Raw!G:FG, MATCH(O$4, Raw!$A:$A, 0), MATCH(1, (Raw!$B$1:$FB$1=$I19)*(Raw!$B$2:$FB$2=$H19), 0))</f>
        <v>2793000000</v>
      </c>
      <c r="P19" s="11" cm="1">
        <f t="array" ref="P19">INDEX(Raw!H:FH, MATCH(P$4, Raw!$A:$A, 0), MATCH(1, (Raw!$B$1:$FB$1=$I19)*(Raw!$B$2:$FB$2=$H19), 0))</f>
        <v>2338000000</v>
      </c>
      <c r="Q19" s="11" cm="1">
        <f t="array" ref="Q19">INDEX(Raw!I:FI, MATCH(Q$4, Raw!$A:$A, 0), MATCH(1, (Raw!$B$1:$FB$1=$I19)*(Raw!$B$2:$FB$2=$H19), 0))</f>
        <v>-117000000</v>
      </c>
      <c r="R19" s="11" cm="1">
        <f t="array" ref="R19">INDEX(Raw!J:FJ, MATCH(R$4, Raw!$A:$A, 0), MATCH(1, (Raw!$B$1:$FB$1=$I19)*(Raw!$B$2:$FB$2=$H19), 0))</f>
        <v>2197000000</v>
      </c>
      <c r="S19" s="11" cm="1">
        <f t="array" ref="S19">INDEX(Raw!K:FK, MATCH(S$4, Raw!$A:$A, 0), MATCH(1, (Raw!$B$1:$FB$1=$I19)*(Raw!$B$2:$FB$2=$H19), 0))</f>
        <v>215000000</v>
      </c>
      <c r="T19" s="11" cm="1">
        <f t="array" ref="T19">INDEX(Raw!L:FL, MATCH(T$4, Raw!$A:$A, 0), MATCH(1, (Raw!$B$1:$FB$1=$I19)*(Raw!$B$2:$FB$2=$H19), 0))</f>
        <v>2065000000</v>
      </c>
      <c r="U19" s="11" cm="1">
        <f t="array" ref="U19">INDEX(Raw!M:FM, MATCH(U$4, Raw!$A:$A, 0), MATCH(1, (Raw!$B$1:$FB$1=$I19)*(Raw!$B$2:$FB$2=$H19), 0))</f>
        <v>0</v>
      </c>
      <c r="V19" s="11" cm="1">
        <f t="array" ref="V19">INDEX(Raw!N:FN, MATCH(V$4, Raw!$A:$A, 0), MATCH(1, (Raw!$B$1:$FB$1=$I19)*(Raw!$B$2:$FB$2=$H19), 0))</f>
        <v>2628000000</v>
      </c>
      <c r="W19" s="11" cm="1">
        <f t="array" ref="W19">INDEX(Raw!O:FO, MATCH(W$4, Raw!$A:$A, 0), MATCH(1, (Raw!$B$1:$FB$1=$I19)*(Raw!$B$2:$FB$2=$H19), 0))</f>
        <v>0</v>
      </c>
      <c r="X19" s="11" cm="1">
        <f t="array" ref="X19">INDEX(Raw!P:FP, MATCH(X$4, Raw!$A:$A, 0), MATCH(1, (Raw!$B$1:$FB$1=$I19)*(Raw!$B$2:$FB$2=$H19), 0))</f>
        <v>870000000</v>
      </c>
      <c r="Y19" s="11" cm="1">
        <f t="array" ref="Y19">INDEX(Raw!Q:FQ, MATCH(Y$4, Raw!$A:$A, 0), MATCH(1, (Raw!$B$1:$FB$1=$I19)*(Raw!$B$2:$FB$2=$H19), 0))</f>
        <v>386955000</v>
      </c>
      <c r="Z19" s="11" cm="1">
        <f t="array" ref="Z19">INDEX(Raw!R:FR, MATCH(Z$4, Raw!$A:$A, 0), MATCH(1, (Raw!$B$1:$FB$1=$I19)*(Raw!$B$2:$FB$2=$H19), 0))</f>
        <v>340715000</v>
      </c>
      <c r="AA19" s="11" cm="1">
        <f t="array" ref="AA19">INDEX(Raw!S:FS, MATCH(AA$4, Raw!$A:$A, 0), MATCH(1, (Raw!$B$1:$FB$1=$I19)*(Raw!$B$2:$FB$2=$H19), 0))</f>
        <v>0</v>
      </c>
      <c r="AB19" s="11" cm="1">
        <f t="array" ref="AB19">INDEX(Raw!T:FT, MATCH(AB$4, Raw!$A:$A, 0), MATCH(1, (Raw!$B$1:$FB$1=$I19)*(Raw!$B$2:$FB$2=$H19), 0))</f>
        <v>5845220000</v>
      </c>
      <c r="AC19" s="11" cm="1">
        <f t="array" ref="AC19">INDEX(Raw!U:FU, MATCH(AC$4, Raw!$A:$A, 0), MATCH(1, (Raw!$B$1:$FB$1=$I19)*(Raw!$B$2:$FB$2=$H19), 0))</f>
        <v>0.34</v>
      </c>
      <c r="AD19" s="11" cm="1">
        <f t="array" ref="AD19">INDEX(Raw!V:FV, MATCH(AD$4, Raw!$A:$A, 0), MATCH(1, (Raw!$B$1:$FB$1=$I19)*(Raw!$B$2:$FB$2=$H19), 0))</f>
        <v>0.32</v>
      </c>
    </row>
    <row r="20" spans="6:30" x14ac:dyDescent="0.25">
      <c r="F20" s="11" t="s">
        <v>28</v>
      </c>
      <c r="G20" s="15">
        <f t="shared" ca="1" si="0"/>
        <v>46088</v>
      </c>
      <c r="H20" s="11">
        <f>H19</f>
        <v>2022</v>
      </c>
      <c r="I20" s="11" t="s">
        <v>24</v>
      </c>
      <c r="J20" s="11" cm="1">
        <f t="array" ref="J20">INDEX(Raw!B:FB, MATCH(J$4, Raw!$A:$A, 0), MATCH(1, (Raw!$B$1:$FB$1=$I20)*(Raw!$B$2:$FB$2=$H20), 0))</f>
        <v>10491000000</v>
      </c>
      <c r="K20" s="11" cm="1">
        <f t="array" ref="K20">INDEX(Raw!C:FC, MATCH(K$4, Raw!$A:$A, 0), MATCH(1, (Raw!$B$1:$FB$1=$I20)*(Raw!$B$2:$FB$2=$H20), 0))</f>
        <v>4088000000</v>
      </c>
      <c r="L20" s="11" cm="1">
        <f t="array" ref="L20">INDEX(Raw!D:FD, MATCH(L$4, Raw!$A:$A, 0), MATCH(1, (Raw!$B$1:$FB$1=$I20)*(Raw!$B$2:$FB$2=$H20), 0))</f>
        <v>6065000000</v>
      </c>
      <c r="M20" s="11" cm="1">
        <f t="array" ref="M20">INDEX(Raw!E:FE, MATCH(M$4, Raw!$A:$A, 0), MATCH(1, (Raw!$B$1:$FB$1=$I20)*(Raw!$B$2:$FB$2=$H20), 0))</f>
        <v>3017000000</v>
      </c>
      <c r="N20" s="11" cm="1">
        <f t="array" ref="N20">INDEX(Raw!F:FF, MATCH(N$4, Raw!$A:$A, 0), MATCH(1, (Raw!$B$1:$FB$1=$I20)*(Raw!$B$2:$FB$2=$H20), 0))</f>
        <v>-124000000</v>
      </c>
      <c r="O20" s="11" cm="1">
        <f t="array" ref="O20">INDEX(Raw!G:FG, MATCH(O$4, Raw!$A:$A, 0), MATCH(1, (Raw!$B$1:$FB$1=$I20)*(Raw!$B$2:$FB$2=$H20), 0))</f>
        <v>2695000000</v>
      </c>
      <c r="P20" s="11" cm="1">
        <f t="array" ref="P20">INDEX(Raw!H:FH, MATCH(P$4, Raw!$A:$A, 0), MATCH(1, (Raw!$B$1:$FB$1=$I20)*(Raw!$B$2:$FB$2=$H20), 0))</f>
        <v>2298000000</v>
      </c>
      <c r="Q20" s="11" cm="1">
        <f t="array" ref="Q20">INDEX(Raw!I:FI, MATCH(Q$4, Raw!$A:$A, 0), MATCH(1, (Raw!$B$1:$FB$1=$I20)*(Raw!$B$2:$FB$2=$H20), 0))</f>
        <v>216000000</v>
      </c>
      <c r="R20" s="11" cm="1">
        <f t="array" ref="R20">INDEX(Raw!J:FJ, MATCH(R$4, Raw!$A:$A, 0), MATCH(1, (Raw!$B$1:$FB$1=$I20)*(Raw!$B$2:$FB$2=$H20), 0))</f>
        <v>3010000000</v>
      </c>
      <c r="S20" s="11" cm="1">
        <f t="array" ref="S20">INDEX(Raw!K:FK, MATCH(S$4, Raw!$A:$A, 0), MATCH(1, (Raw!$B$1:$FB$1=$I20)*(Raw!$B$2:$FB$2=$H20), 0))</f>
        <v>355000000</v>
      </c>
      <c r="T20" s="11" cm="1">
        <f t="array" ref="T20">INDEX(Raw!L:FL, MATCH(T$4, Raw!$A:$A, 0), MATCH(1, (Raw!$B$1:$FB$1=$I20)*(Raw!$B$2:$FB$2=$H20), 0))</f>
        <v>2589000000</v>
      </c>
      <c r="U20" s="11" cm="1">
        <f t="array" ref="U20">INDEX(Raw!M:FM, MATCH(U$4, Raw!$A:$A, 0), MATCH(1, (Raw!$B$1:$FB$1=$I20)*(Raw!$B$2:$FB$2=$H20), 0))</f>
        <v>0</v>
      </c>
      <c r="V20" s="11" cm="1">
        <f t="array" ref="V20">INDEX(Raw!N:FN, MATCH(V$4, Raw!$A:$A, 0), MATCH(1, (Raw!$B$1:$FB$1=$I20)*(Raw!$B$2:$FB$2=$H20), 0))</f>
        <v>1703000000</v>
      </c>
      <c r="W20" s="11" cm="1">
        <f t="array" ref="W20">INDEX(Raw!O:FO, MATCH(W$4, Raw!$A:$A, 0), MATCH(1, (Raw!$B$1:$FB$1=$I20)*(Raw!$B$2:$FB$2=$H20), 0))</f>
        <v>0</v>
      </c>
      <c r="X20" s="11" cm="1">
        <f t="array" ref="X20">INDEX(Raw!P:FP, MATCH(X$4, Raw!$A:$A, 0), MATCH(1, (Raw!$B$1:$FB$1=$I20)*(Raw!$B$2:$FB$2=$H20), 0))</f>
        <v>1880000000</v>
      </c>
      <c r="Y20" s="11" cm="1">
        <f t="array" ref="Y20">INDEX(Raw!Q:FQ, MATCH(Y$4, Raw!$A:$A, 0), MATCH(1, (Raw!$B$1:$FB$1=$I20)*(Raw!$B$2:$FB$2=$H20), 0))</f>
        <v>340715000</v>
      </c>
      <c r="Z20" s="11" cm="1">
        <f t="array" ref="Z20">INDEX(Raw!R:FR, MATCH(Z$4, Raw!$A:$A, 0), MATCH(1, (Raw!$B$1:$FB$1=$I20)*(Raw!$B$2:$FB$2=$H20), 0))</f>
        <v>431427000</v>
      </c>
      <c r="AA20" s="11" cm="1">
        <f t="array" ref="AA20">INDEX(Raw!S:FS, MATCH(AA$4, Raw!$A:$A, 0), MATCH(1, (Raw!$B$1:$FB$1=$I20)*(Raw!$B$2:$FB$2=$H20), 0))</f>
        <v>5845220000</v>
      </c>
      <c r="AB20" s="11" cm="1">
        <f t="array" ref="AB20">INDEX(Raw!T:FT, MATCH(AB$4, Raw!$A:$A, 0), MATCH(1, (Raw!$B$1:$FB$1=$I20)*(Raw!$B$2:$FB$2=$H20), 0))</f>
        <v>591044000</v>
      </c>
      <c r="AC20" s="11" cm="1">
        <f t="array" ref="AC20">INDEX(Raw!U:FU, MATCH(AC$4, Raw!$A:$A, 0), MATCH(1, (Raw!$B$1:$FB$1=$I20)*(Raw!$B$2:$FB$2=$H20), 0))</f>
        <v>0.32</v>
      </c>
      <c r="AD20" s="11" cm="1">
        <f t="array" ref="AD20">INDEX(Raw!V:FV, MATCH(AD$4, Raw!$A:$A, 0), MATCH(1, (Raw!$B$1:$FB$1=$I20)*(Raw!$B$2:$FB$2=$H20), 0))</f>
        <v>0.27</v>
      </c>
    </row>
    <row r="21" spans="6:30" x14ac:dyDescent="0.25">
      <c r="F21" s="11" t="s">
        <v>28</v>
      </c>
      <c r="G21" s="15">
        <f t="shared" ca="1" si="0"/>
        <v>46088</v>
      </c>
      <c r="H21" s="11">
        <f>H17-1</f>
        <v>2021</v>
      </c>
      <c r="I21" s="11" t="s">
        <v>21</v>
      </c>
      <c r="J21" s="11" cm="1">
        <f t="array" ref="J21">INDEX(Raw!B:FB, MATCH(J$4, Raw!$A:$A, 0), MATCH(1, (Raw!$B$1:$FB$1=$I21)*(Raw!$B$2:$FB$2=$H21), 0))</f>
        <v>9464000000</v>
      </c>
      <c r="K21" s="11" cm="1">
        <f t="array" ref="K21">INDEX(Raw!C:FC, MATCH(K$4, Raw!$A:$A, 0), MATCH(1, (Raw!$B$1:$FB$1=$I21)*(Raw!$B$2:$FB$2=$H21), 0))</f>
        <v>3977000000</v>
      </c>
      <c r="L21" s="11" cm="1">
        <f t="array" ref="L21">INDEX(Raw!D:FD, MATCH(L$4, Raw!$A:$A, 0), MATCH(1, (Raw!$B$1:$FB$1=$I21)*(Raw!$B$2:$FB$2=$H21), 0))</f>
        <v>6342000000</v>
      </c>
      <c r="M21" s="11" cm="1">
        <f t="array" ref="M21">INDEX(Raw!E:FE, MATCH(M$4, Raw!$A:$A, 0), MATCH(1, (Raw!$B$1:$FB$1=$I21)*(Raw!$B$2:$FB$2=$H21), 0))</f>
        <v>2669000000</v>
      </c>
      <c r="N21" s="11" cm="1">
        <f t="array" ref="N21">INDEX(Raw!F:FF, MATCH(N$4, Raw!$A:$A, 0), MATCH(1, (Raw!$B$1:$FB$1=$I21)*(Raw!$B$2:$FB$2=$H21), 0))</f>
        <v>-106000000</v>
      </c>
      <c r="O21" s="11" cm="1">
        <f t="array" ref="O21">INDEX(Raw!G:FG, MATCH(O$4, Raw!$A:$A, 0), MATCH(1, (Raw!$B$1:$FB$1=$I21)*(Raw!$B$2:$FB$2=$H21), 0))</f>
        <v>2883000000</v>
      </c>
      <c r="P21" s="11" cm="1">
        <f t="array" ref="P21">INDEX(Raw!H:FH, MATCH(P$4, Raw!$A:$A, 0), MATCH(1, (Raw!$B$1:$FB$1=$I21)*(Raw!$B$2:$FB$2=$H21), 0))</f>
        <v>1981000000</v>
      </c>
      <c r="Q21" s="11" cm="1">
        <f t="array" ref="Q21">INDEX(Raw!I:FI, MATCH(Q$4, Raw!$A:$A, 0), MATCH(1, (Raw!$B$1:$FB$1=$I21)*(Raw!$B$2:$FB$2=$H21), 0))</f>
        <v>630000000</v>
      </c>
      <c r="R21" s="11" cm="1">
        <f t="array" ref="R21">INDEX(Raw!J:FJ, MATCH(R$4, Raw!$A:$A, 0), MATCH(1, (Raw!$B$1:$FB$1=$I21)*(Raw!$B$2:$FB$2=$H21), 0))</f>
        <v>2420000000</v>
      </c>
      <c r="S21" s="11" cm="1">
        <f t="array" ref="S21">INDEX(Raw!K:FK, MATCH(S$4, Raw!$A:$A, 0), MATCH(1, (Raw!$B$1:$FB$1=$I21)*(Raw!$B$2:$FB$2=$H21), 0))</f>
        <v>503000000</v>
      </c>
      <c r="T21" s="11" cm="1">
        <f t="array" ref="T21">INDEX(Raw!L:FL, MATCH(T$4, Raw!$A:$A, 0), MATCH(1, (Raw!$B$1:$FB$1=$I21)*(Raw!$B$2:$FB$2=$H21), 0))</f>
        <v>2628000000</v>
      </c>
      <c r="U21" s="11" cm="1">
        <f t="array" ref="U21">INDEX(Raw!M:FM, MATCH(U$4, Raw!$A:$A, 0), MATCH(1, (Raw!$B$1:$FB$1=$I21)*(Raw!$B$2:$FB$2=$H21), 0))</f>
        <v>0</v>
      </c>
      <c r="V21" s="11" cm="1">
        <f t="array" ref="V21">INDEX(Raw!N:FN, MATCH(V$4, Raw!$A:$A, 0), MATCH(1, (Raw!$B$1:$FB$1=$I21)*(Raw!$B$2:$FB$2=$H21), 0))</f>
        <v>1000000000</v>
      </c>
      <c r="W21" s="11" cm="1">
        <f t="array" ref="W21">INDEX(Raw!O:FO, MATCH(W$4, Raw!$A:$A, 0), MATCH(1, (Raw!$B$1:$FB$1=$I21)*(Raw!$B$2:$FB$2=$H21), 0))</f>
        <v>0</v>
      </c>
      <c r="X21" s="11" cm="1">
        <f t="array" ref="X21">INDEX(Raw!P:FP, MATCH(X$4, Raw!$A:$A, 0), MATCH(1, (Raw!$B$1:$FB$1=$I21)*(Raw!$B$2:$FB$2=$H21), 0))</f>
        <v>2316000000</v>
      </c>
      <c r="Y21" s="11" cm="1">
        <f t="array" ref="Y21">INDEX(Raw!Q:FQ, MATCH(Y$4, Raw!$A:$A, 0), MATCH(1, (Raw!$B$1:$FB$1=$I21)*(Raw!$B$2:$FB$2=$H21), 0))</f>
        <v>431427000</v>
      </c>
      <c r="Z21" s="11" cm="1">
        <f t="array" ref="Z21">INDEX(Raw!R:FR, MATCH(Z$4, Raw!$A:$A, 0), MATCH(1, (Raw!$B$1:$FB$1=$I21)*(Raw!$B$2:$FB$2=$H21), 0))</f>
        <v>465457000</v>
      </c>
      <c r="AA21" s="11" cm="1">
        <f t="array" ref="AA21">INDEX(Raw!S:FS, MATCH(AA$4, Raw!$A:$A, 0), MATCH(1, (Raw!$B$1:$FB$1=$I21)*(Raw!$B$2:$FB$2=$H21), 0))</f>
        <v>591044000</v>
      </c>
      <c r="AB21" s="11" cm="1">
        <f t="array" ref="AB21">INDEX(Raw!T:FT, MATCH(AB$4, Raw!$A:$A, 0), MATCH(1, (Raw!$B$1:$FB$1=$I21)*(Raw!$B$2:$FB$2=$H21), 0))</f>
        <v>5957698000</v>
      </c>
      <c r="AC21" s="11" cm="1">
        <f t="array" ref="AC21">INDEX(Raw!U:FU, MATCH(AC$4, Raw!$A:$A, 0), MATCH(1, (Raw!$B$1:$FB$1=$I21)*(Raw!$B$2:$FB$2=$H21), 0))</f>
        <v>0.28000000000000003</v>
      </c>
      <c r="AD21" s="11" cm="1">
        <f t="array" ref="AD21">INDEX(Raw!V:FV, MATCH(AD$4, Raw!$A:$A, 0), MATCH(1, (Raw!$B$1:$FB$1=$I21)*(Raw!$B$2:$FB$2=$H21), 0))</f>
        <v>0.12</v>
      </c>
    </row>
    <row r="22" spans="6:30" x14ac:dyDescent="0.25">
      <c r="F22" s="11" t="s">
        <v>28</v>
      </c>
      <c r="G22" s="15">
        <f t="shared" ca="1" si="0"/>
        <v>46088</v>
      </c>
      <c r="H22" s="11">
        <f>H21</f>
        <v>2021</v>
      </c>
      <c r="I22" s="11" t="s">
        <v>22</v>
      </c>
      <c r="J22" s="11" cm="1">
        <f t="array" ref="J22">INDEX(Raw!B:FB, MATCH(J$4, Raw!$A:$A, 0), MATCH(1, (Raw!$B$1:$FB$1=$I22)*(Raw!$B$2:$FB$2=$H22), 0))</f>
        <v>10042000000</v>
      </c>
      <c r="K22" s="11" cm="1">
        <f t="array" ref="K22">INDEX(Raw!C:FC, MATCH(K$4, Raw!$A:$A, 0), MATCH(1, (Raw!$B$1:$FB$1=$I22)*(Raw!$B$2:$FB$2=$H22), 0))</f>
        <v>3787000000</v>
      </c>
      <c r="L22" s="11" cm="1">
        <f t="array" ref="L22">INDEX(Raw!D:FD, MATCH(L$4, Raw!$A:$A, 0), MATCH(1, (Raw!$B$1:$FB$1=$I22)*(Raw!$B$2:$FB$2=$H22), 0))</f>
        <v>5515000000</v>
      </c>
      <c r="M22" s="11" cm="1">
        <f t="array" ref="M22">INDEX(Raw!E:FE, MATCH(M$4, Raw!$A:$A, 0), MATCH(1, (Raw!$B$1:$FB$1=$I22)*(Raw!$B$2:$FB$2=$H22), 0))</f>
        <v>2589000000</v>
      </c>
      <c r="N22" s="11" cm="1">
        <f t="array" ref="N22">INDEX(Raw!F:FF, MATCH(N$4, Raw!$A:$A, 0), MATCH(1, (Raw!$B$1:$FB$1=$I22)*(Raw!$B$2:$FB$2=$H22), 0))</f>
        <v>-372000000</v>
      </c>
      <c r="O22" s="11" cm="1">
        <f t="array" ref="O22">INDEX(Raw!G:FG, MATCH(O$4, Raw!$A:$A, 0), MATCH(1, (Raw!$B$1:$FB$1=$I22)*(Raw!$B$2:$FB$2=$H22), 0))</f>
        <v>2156000000</v>
      </c>
      <c r="P22" s="11" cm="1">
        <f t="array" ref="P22">INDEX(Raw!H:FH, MATCH(P$4, Raw!$A:$A, 0), MATCH(1, (Raw!$B$1:$FB$1=$I22)*(Raw!$B$2:$FB$2=$H22), 0))</f>
        <v>2380000000</v>
      </c>
      <c r="Q22" s="11" cm="1">
        <f t="array" ref="Q22">INDEX(Raw!I:FI, MATCH(Q$4, Raw!$A:$A, 0), MATCH(1, (Raw!$B$1:$FB$1=$I22)*(Raw!$B$2:$FB$2=$H22), 0))</f>
        <v>256000000</v>
      </c>
      <c r="R22" s="11" cm="1">
        <f t="array" ref="R22">INDEX(Raw!J:FJ, MATCH(R$4, Raw!$A:$A, 0), MATCH(1, (Raw!$B$1:$FB$1=$I22)*(Raw!$B$2:$FB$2=$H22), 0))</f>
        <v>3092000000</v>
      </c>
      <c r="S22" s="11" cm="1">
        <f t="array" ref="S22">INDEX(Raw!K:FK, MATCH(S$4, Raw!$A:$A, 0), MATCH(1, (Raw!$B$1:$FB$1=$I22)*(Raw!$B$2:$FB$2=$H22), 0))</f>
        <v>421000000</v>
      </c>
      <c r="T22" s="11" cm="1">
        <f t="array" ref="T22">INDEX(Raw!L:FL, MATCH(T$4, Raw!$A:$A, 0), MATCH(1, (Raw!$B$1:$FB$1=$I22)*(Raw!$B$2:$FB$2=$H22), 0))</f>
        <v>1703000000</v>
      </c>
      <c r="U22" s="11" cm="1">
        <f t="array" ref="U22">INDEX(Raw!M:FM, MATCH(U$4, Raw!$A:$A, 0), MATCH(1, (Raw!$B$1:$FB$1=$I22)*(Raw!$B$2:$FB$2=$H22), 0))</f>
        <v>0</v>
      </c>
      <c r="V22" s="11" cm="1">
        <f t="array" ref="V22">INDEX(Raw!N:FN, MATCH(V$4, Raw!$A:$A, 0), MATCH(1, (Raw!$B$1:$FB$1=$I22)*(Raw!$B$2:$FB$2=$H22), 0))</f>
        <v>1818000000</v>
      </c>
      <c r="W22" s="11" cm="1">
        <f t="array" ref="W22">INDEX(Raw!O:FO, MATCH(W$4, Raw!$A:$A, 0), MATCH(1, (Raw!$B$1:$FB$1=$I22)*(Raw!$B$2:$FB$2=$H22), 0))</f>
        <v>0</v>
      </c>
      <c r="X22" s="11" cm="1">
        <f t="array" ref="X22">INDEX(Raw!P:FP, MATCH(X$4, Raw!$A:$A, 0), MATCH(1, (Raw!$B$1:$FB$1=$I22)*(Raw!$B$2:$FB$2=$H22), 0))</f>
        <v>1368000000</v>
      </c>
      <c r="Y22" s="11" cm="1">
        <f t="array" ref="Y22">INDEX(Raw!Q:FQ, MATCH(Y$4, Raw!$A:$A, 0), MATCH(1, (Raw!$B$1:$FB$1=$I22)*(Raw!$B$2:$FB$2=$H22), 0))</f>
        <v>465457000</v>
      </c>
      <c r="Z22" s="11" cm="1">
        <f t="array" ref="Z22">INDEX(Raw!R:FR, MATCH(Z$4, Raw!$A:$A, 0), MATCH(1, (Raw!$B$1:$FB$1=$I22)*(Raw!$B$2:$FB$2=$H22), 0))</f>
        <v>360702000</v>
      </c>
      <c r="AA22" s="11" cm="1">
        <f t="array" ref="AA22">INDEX(Raw!S:FS, MATCH(AA$4, Raw!$A:$A, 0), MATCH(1, (Raw!$B$1:$FB$1=$I22)*(Raw!$B$2:$FB$2=$H22), 0))</f>
        <v>5957698000</v>
      </c>
      <c r="AB22" s="11" cm="1">
        <f t="array" ref="AB22">INDEX(Raw!T:FT, MATCH(AB$4, Raw!$A:$A, 0), MATCH(1, (Raw!$B$1:$FB$1=$I22)*(Raw!$B$2:$FB$2=$H22), 0))</f>
        <v>6006550000</v>
      </c>
      <c r="AC22" s="11" cm="1">
        <f t="array" ref="AC22">INDEX(Raw!U:FU, MATCH(AC$4, Raw!$A:$A, 0), MATCH(1, (Raw!$B$1:$FB$1=$I22)*(Raw!$B$2:$FB$2=$H22), 0))</f>
        <v>0.13</v>
      </c>
      <c r="AD22" s="11" cm="1">
        <f t="array" ref="AD22">INDEX(Raw!V:FV, MATCH(AD$4, Raw!$A:$A, 0), MATCH(1, (Raw!$B$1:$FB$1=$I22)*(Raw!$B$2:$FB$2=$H22), 0))</f>
        <v>0.24</v>
      </c>
    </row>
    <row r="23" spans="6:30" x14ac:dyDescent="0.25">
      <c r="F23" s="11" t="s">
        <v>28</v>
      </c>
      <c r="G23" s="15">
        <f t="shared" ca="1" si="0"/>
        <v>46088</v>
      </c>
      <c r="H23" s="11">
        <f>H22</f>
        <v>2021</v>
      </c>
      <c r="I23" s="11" t="s">
        <v>23</v>
      </c>
      <c r="J23" s="11" cm="1">
        <f t="array" ref="J23">INDEX(Raw!B:FB, MATCH(J$4, Raw!$A:$A, 0), MATCH(1, (Raw!$B$1:$FB$1=$I23)*(Raw!$B$2:$FB$2=$H23), 0))</f>
        <v>10129000000</v>
      </c>
      <c r="K23" s="11" cm="1">
        <f t="array" ref="K23">INDEX(Raw!C:FC, MATCH(K$4, Raw!$A:$A, 0), MATCH(1, (Raw!$B$1:$FB$1=$I23)*(Raw!$B$2:$FB$2=$H23), 0))</f>
        <v>3505000000</v>
      </c>
      <c r="L23" s="11" cm="1">
        <f t="array" ref="L23">INDEX(Raw!D:FD, MATCH(L$4, Raw!$A:$A, 0), MATCH(1, (Raw!$B$1:$FB$1=$I23)*(Raw!$B$2:$FB$2=$H23), 0))</f>
        <v>5033000000</v>
      </c>
      <c r="M23" s="11" cm="1">
        <f t="array" ref="M23">INDEX(Raw!E:FE, MATCH(M$4, Raw!$A:$A, 0), MATCH(1, (Raw!$B$1:$FB$1=$I23)*(Raw!$B$2:$FB$2=$H23), 0))</f>
        <v>2511000000</v>
      </c>
      <c r="N23" s="11" cm="1">
        <f t="array" ref="N23">INDEX(Raw!F:FF, MATCH(N$4, Raw!$A:$A, 0), MATCH(1, (Raw!$B$1:$FB$1=$I23)*(Raw!$B$2:$FB$2=$H23), 0))</f>
        <v>-173000000</v>
      </c>
      <c r="O23" s="11" cm="1">
        <f t="array" ref="O23">INDEX(Raw!G:FG, MATCH(O$4, Raw!$A:$A, 0), MATCH(1, (Raw!$B$1:$FB$1=$I23)*(Raw!$B$2:$FB$2=$H23), 0))</f>
        <v>2850000000</v>
      </c>
      <c r="P23" s="11" cm="1">
        <f t="array" ref="P23">INDEX(Raw!H:FH, MATCH(P$4, Raw!$A:$A, 0), MATCH(1, (Raw!$B$1:$FB$1=$I23)*(Raw!$B$2:$FB$2=$H23), 0))</f>
        <v>2164000000</v>
      </c>
      <c r="Q23" s="11" cm="1">
        <f t="array" ref="Q23">INDEX(Raw!I:FI, MATCH(Q$4, Raw!$A:$A, 0), MATCH(1, (Raw!$B$1:$FB$1=$I23)*(Raw!$B$2:$FB$2=$H23), 0))</f>
        <v>593000000</v>
      </c>
      <c r="R23" s="11" cm="1">
        <f t="array" ref="R23">INDEX(Raw!J:FJ, MATCH(R$4, Raw!$A:$A, 0), MATCH(1, (Raw!$B$1:$FB$1=$I23)*(Raw!$B$2:$FB$2=$H23), 0))</f>
        <v>3049000000</v>
      </c>
      <c r="S23" s="11" cm="1">
        <f t="array" ref="S23">INDEX(Raw!K:FK, MATCH(S$4, Raw!$A:$A, 0), MATCH(1, (Raw!$B$1:$FB$1=$I23)*(Raw!$B$2:$FB$2=$H23), 0))</f>
        <v>522000000</v>
      </c>
      <c r="T23" s="11" cm="1">
        <f t="array" ref="T23">INDEX(Raw!L:FL, MATCH(T$4, Raw!$A:$A, 0), MATCH(1, (Raw!$B$1:$FB$1=$I23)*(Raw!$B$2:$FB$2=$H23), 0))</f>
        <v>1000000000</v>
      </c>
      <c r="U23" s="11" cm="1">
        <f t="array" ref="U23">INDEX(Raw!M:FM, MATCH(U$4, Raw!$A:$A, 0), MATCH(1, (Raw!$B$1:$FB$1=$I23)*(Raw!$B$2:$FB$2=$H23), 0))</f>
        <v>0</v>
      </c>
      <c r="V23" s="11" cm="1">
        <f t="array" ref="V23">INDEX(Raw!N:FN, MATCH(V$4, Raw!$A:$A, 0), MATCH(1, (Raw!$B$1:$FB$1=$I23)*(Raw!$B$2:$FB$2=$H23), 0))</f>
        <v>2331000000</v>
      </c>
      <c r="W23" s="11" cm="1">
        <f t="array" ref="W23">INDEX(Raw!O:FO, MATCH(W$4, Raw!$A:$A, 0), MATCH(1, (Raw!$B$1:$FB$1=$I23)*(Raw!$B$2:$FB$2=$H23), 0))</f>
        <v>73000000</v>
      </c>
      <c r="X23" s="11" cm="1">
        <f t="array" ref="X23">INDEX(Raw!P:FP, MATCH(X$4, Raw!$A:$A, 0), MATCH(1, (Raw!$B$1:$FB$1=$I23)*(Raw!$B$2:$FB$2=$H23), 0))</f>
        <v>-2752000000</v>
      </c>
      <c r="Y23" s="11" cm="1">
        <f t="array" ref="Y23">INDEX(Raw!Q:FQ, MATCH(Y$4, Raw!$A:$A, 0), MATCH(1, (Raw!$B$1:$FB$1=$I23)*(Raw!$B$2:$FB$2=$H23), 0))</f>
        <v>360702000</v>
      </c>
      <c r="Z23" s="11" cm="1">
        <f t="array" ref="Z23">INDEX(Raw!R:FR, MATCH(Z$4, Raw!$A:$A, 0), MATCH(1, (Raw!$B$1:$FB$1=$I23)*(Raw!$B$2:$FB$2=$H23), 0))</f>
        <v>182247000</v>
      </c>
      <c r="AA23" s="11" cm="1">
        <f t="array" ref="AA23">INDEX(Raw!S:FS, MATCH(AA$4, Raw!$A:$A, 0), MATCH(1, (Raw!$B$1:$FB$1=$I23)*(Raw!$B$2:$FB$2=$H23), 0))</f>
        <v>6006550000</v>
      </c>
      <c r="AB23" s="11" cm="1">
        <f t="array" ref="AB23">INDEX(Raw!T:FT, MATCH(AB$4, Raw!$A:$A, 0), MATCH(1, (Raw!$B$1:$FB$1=$I23)*(Raw!$B$2:$FB$2=$H23), 0))</f>
        <v>6031696000</v>
      </c>
      <c r="AC23" s="11" cm="1">
        <f t="array" ref="AC23">INDEX(Raw!U:FU, MATCH(AC$4, Raw!$A:$A, 0), MATCH(1, (Raw!$B$1:$FB$1=$I23)*(Raw!$B$2:$FB$2=$H23), 0))</f>
        <v>0.24</v>
      </c>
      <c r="AD23" s="11" cm="1">
        <f t="array" ref="AD23">INDEX(Raw!V:FV, MATCH(AD$4, Raw!$A:$A, 0), MATCH(1, (Raw!$B$1:$FB$1=$I23)*(Raw!$B$2:$FB$2=$H23), 0))</f>
        <v>0.79</v>
      </c>
    </row>
    <row r="24" spans="6:30" x14ac:dyDescent="0.25">
      <c r="F24" s="11" t="s">
        <v>28</v>
      </c>
      <c r="G24" s="15">
        <f t="shared" ca="1" si="0"/>
        <v>46088</v>
      </c>
      <c r="H24" s="11">
        <f>H23</f>
        <v>2021</v>
      </c>
      <c r="I24" s="11" t="s">
        <v>24</v>
      </c>
      <c r="J24" s="11" cm="1">
        <f t="array" ref="J24">INDEX(Raw!B:FB, MATCH(J$4, Raw!$A:$A, 0), MATCH(1, (Raw!$B$1:$FB$1=$I24)*(Raw!$B$2:$FB$2=$H24), 0))</f>
        <v>9020000000</v>
      </c>
      <c r="K24" s="11" cm="1">
        <f t="array" ref="K24">INDEX(Raw!C:FC, MATCH(K$4, Raw!$A:$A, 0), MATCH(1, (Raw!$B$1:$FB$1=$I24)*(Raw!$B$2:$FB$2=$H24), 0))</f>
        <v>3578000000</v>
      </c>
      <c r="L24" s="11" cm="1">
        <f t="array" ref="L24">INDEX(Raw!D:FD, MATCH(L$4, Raw!$A:$A, 0), MATCH(1, (Raw!$B$1:$FB$1=$I24)*(Raw!$B$2:$FB$2=$H24), 0))</f>
        <v>5181000000</v>
      </c>
      <c r="M24" s="11" cm="1">
        <f t="array" ref="M24">INDEX(Raw!E:FE, MATCH(M$4, Raw!$A:$A, 0), MATCH(1, (Raw!$B$1:$FB$1=$I24)*(Raw!$B$2:$FB$2=$H24), 0))</f>
        <v>1983000000</v>
      </c>
      <c r="N24" s="11" cm="1">
        <f t="array" ref="N24">INDEX(Raw!F:FF, MATCH(N$4, Raw!$A:$A, 0), MATCH(1, (Raw!$B$1:$FB$1=$I24)*(Raw!$B$2:$FB$2=$H24), 0))</f>
        <v>-202000000</v>
      </c>
      <c r="O24" s="11" cm="1">
        <f t="array" ref="O24">INDEX(Raw!G:FG, MATCH(O$4, Raw!$A:$A, 0), MATCH(1, (Raw!$B$1:$FB$1=$I24)*(Raw!$B$2:$FB$2=$H24), 0))</f>
        <v>3338000000</v>
      </c>
      <c r="P24" s="11" cm="1">
        <f t="array" ref="P24">INDEX(Raw!H:FH, MATCH(P$4, Raw!$A:$A, 0), MATCH(1, (Raw!$B$1:$FB$1=$I24)*(Raw!$B$2:$FB$2=$H24), 0))</f>
        <v>2499000000</v>
      </c>
      <c r="Q24" s="11" cm="1">
        <f t="array" ref="Q24">INDEX(Raw!I:FI, MATCH(Q$4, Raw!$A:$A, 0), MATCH(1, (Raw!$B$1:$FB$1=$I24)*(Raw!$B$2:$FB$2=$H24), 0))</f>
        <v>61000000</v>
      </c>
      <c r="R24" s="11" cm="1">
        <f t="array" ref="R24">INDEX(Raw!J:FJ, MATCH(R$4, Raw!$A:$A, 0), MATCH(1, (Raw!$B$1:$FB$1=$I24)*(Raw!$B$2:$FB$2=$H24), 0))</f>
        <v>2225000000</v>
      </c>
      <c r="S24" s="11" cm="1">
        <f t="array" ref="S24">INDEX(Raw!K:FK, MATCH(S$4, Raw!$A:$A, 0), MATCH(1, (Raw!$B$1:$FB$1=$I24)*(Raw!$B$2:$FB$2=$H24), 0))</f>
        <v>77000000</v>
      </c>
      <c r="T24" s="11" cm="1">
        <f t="array" ref="T24">INDEX(Raw!L:FL, MATCH(T$4, Raw!$A:$A, 0), MATCH(1, (Raw!$B$1:$FB$1=$I24)*(Raw!$B$2:$FB$2=$H24), 0))</f>
        <v>1818000000</v>
      </c>
      <c r="U24" s="11" cm="1">
        <f t="array" ref="U24">INDEX(Raw!M:FM, MATCH(U$4, Raw!$A:$A, 0), MATCH(1, (Raw!$B$1:$FB$1=$I24)*(Raw!$B$2:$FB$2=$H24), 0))</f>
        <v>0</v>
      </c>
      <c r="V24" s="11" cm="1">
        <f t="array" ref="V24">INDEX(Raw!N:FN, MATCH(V$4, Raw!$A:$A, 0), MATCH(1, (Raw!$B$1:$FB$1=$I24)*(Raw!$B$2:$FB$2=$H24), 0))</f>
        <v>1327000000</v>
      </c>
      <c r="W24" s="11" cm="1">
        <f t="array" ref="W24">INDEX(Raw!O:FO, MATCH(W$4, Raw!$A:$A, 0), MATCH(1, (Raw!$B$1:$FB$1=$I24)*(Raw!$B$2:$FB$2=$H24), 0))</f>
        <v>0</v>
      </c>
      <c r="X24" s="11" cm="1">
        <f t="array" ref="X24">INDEX(Raw!P:FP, MATCH(X$4, Raw!$A:$A, 0), MATCH(1, (Raw!$B$1:$FB$1=$I24)*(Raw!$B$2:$FB$2=$H24), 0))</f>
        <v>1447000000</v>
      </c>
      <c r="Y24" s="11" cm="1">
        <f t="array" ref="Y24">INDEX(Raw!Q:FQ, MATCH(Y$4, Raw!$A:$A, 0), MATCH(1, (Raw!$B$1:$FB$1=$I24)*(Raw!$B$2:$FB$2=$H24), 0))</f>
        <v>182247000</v>
      </c>
      <c r="Z24" s="11" cm="1">
        <f t="array" ref="Z24">INDEX(Raw!R:FR, MATCH(Z$4, Raw!$A:$A, 0), MATCH(1, (Raw!$B$1:$FB$1=$I24)*(Raw!$B$2:$FB$2=$H24), 0))</f>
        <v>394154100</v>
      </c>
      <c r="AA24" s="11" cm="1">
        <f t="array" ref="AA24">INDEX(Raw!S:FS, MATCH(AA$4, Raw!$A:$A, 0), MATCH(1, (Raw!$B$1:$FB$1=$I24)*(Raw!$B$2:$FB$2=$H24), 0))</f>
        <v>6031696000</v>
      </c>
      <c r="AB24" s="11" cm="1">
        <f t="array" ref="AB24">INDEX(Raw!T:FT, MATCH(AB$4, Raw!$A:$A, 0), MATCH(1, (Raw!$B$1:$FB$1=$I24)*(Raw!$B$2:$FB$2=$H24), 0))</f>
        <v>6049004000</v>
      </c>
      <c r="AC24" s="11" cm="1">
        <f t="array" ref="AC24">INDEX(Raw!U:FU, MATCH(AC$4, Raw!$A:$A, 0), MATCH(1, (Raw!$B$1:$FB$1=$I24)*(Raw!$B$2:$FB$2=$H24), 0))</f>
        <v>0.8</v>
      </c>
      <c r="AD24" s="11" cm="1">
        <f t="array" ref="AD24">INDEX(Raw!V:FV, MATCH(AD$4, Raw!$A:$A, 0), MATCH(1, (Raw!$B$1:$FB$1=$I24)*(Raw!$B$2:$FB$2=$H24), 0))</f>
        <v>0.34</v>
      </c>
    </row>
    <row r="25" spans="6:30" x14ac:dyDescent="0.25">
      <c r="F25" s="11" t="s">
        <v>28</v>
      </c>
      <c r="G25" s="15">
        <f t="shared" ca="1" si="0"/>
        <v>46088</v>
      </c>
      <c r="H25" s="11">
        <f>H21-1</f>
        <v>2020</v>
      </c>
      <c r="I25" s="11" t="s">
        <v>21</v>
      </c>
      <c r="J25" s="11" cm="1">
        <f t="array" ref="J25">INDEX(Raw!B:FB, MATCH(J$4, Raw!$A:$A, 0), MATCH(1, (Raw!$B$1:$FB$1=$I25)*(Raw!$B$2:$FB$2=$H25), 0))</f>
        <v>8611000000</v>
      </c>
      <c r="K25" s="11" cm="1">
        <f t="array" ref="K25">INDEX(Raw!C:FC, MATCH(K$4, Raw!$A:$A, 0), MATCH(1, (Raw!$B$1:$FB$1=$I25)*(Raw!$B$2:$FB$2=$H25), 0))</f>
        <v>3471000000</v>
      </c>
      <c r="L25" s="11" cm="1">
        <f t="array" ref="L25">INDEX(Raw!D:FD, MATCH(L$4, Raw!$A:$A, 0), MATCH(1, (Raw!$B$1:$FB$1=$I25)*(Raw!$B$2:$FB$2=$H25), 0))</f>
        <v>4137000000</v>
      </c>
      <c r="M25" s="11" cm="1">
        <f t="array" ref="M25">INDEX(Raw!E:FE, MATCH(M$4, Raw!$A:$A, 0), MATCH(1, (Raw!$B$1:$FB$1=$I25)*(Raw!$B$2:$FB$2=$H25), 0))</f>
        <v>2648000000</v>
      </c>
      <c r="N25" s="11" cm="1">
        <f t="array" ref="N25">INDEX(Raw!F:FF, MATCH(N$4, Raw!$A:$A, 0), MATCH(1, (Raw!$B$1:$FB$1=$I25)*(Raw!$B$2:$FB$2=$H25), 0))</f>
        <v>-114000000</v>
      </c>
      <c r="O25" s="11" cm="1">
        <f t="array" ref="O25">INDEX(Raw!G:FG, MATCH(O$4, Raw!$A:$A, 0), MATCH(1, (Raw!$B$1:$FB$1=$I25)*(Raw!$B$2:$FB$2=$H25), 0))</f>
        <v>3241000000</v>
      </c>
      <c r="P25" s="11" cm="1">
        <f t="array" ref="P25">INDEX(Raw!H:FH, MATCH(P$4, Raw!$A:$A, 0), MATCH(1, (Raw!$B$1:$FB$1=$I25)*(Raw!$B$2:$FB$2=$H25), 0))</f>
        <v>2988000000</v>
      </c>
      <c r="Q25" s="11" cm="1">
        <f t="array" ref="Q25">INDEX(Raw!I:FI, MATCH(Q$4, Raw!$A:$A, 0), MATCH(1, (Raw!$B$1:$FB$1=$I25)*(Raw!$B$2:$FB$2=$H25), 0))</f>
        <v>-210000000</v>
      </c>
      <c r="R25" s="11" cm="1">
        <f t="array" ref="R25">INDEX(Raw!J:FJ, MATCH(R$4, Raw!$A:$A, 0), MATCH(1, (Raw!$B$1:$FB$1=$I25)*(Raw!$B$2:$FB$2=$H25), 0))</f>
        <v>1077000000</v>
      </c>
      <c r="S25" s="11" cm="1">
        <f t="array" ref="S25">INDEX(Raw!K:FK, MATCH(S$4, Raw!$A:$A, 0), MATCH(1, (Raw!$B$1:$FB$1=$I25)*(Raw!$B$2:$FB$2=$H25), 0))</f>
        <v>555000000</v>
      </c>
      <c r="T25" s="11" cm="1">
        <f t="array" ref="T25">INDEX(Raw!L:FL, MATCH(T$4, Raw!$A:$A, 0), MATCH(1, (Raw!$B$1:$FB$1=$I25)*(Raw!$B$2:$FB$2=$H25), 0))</f>
        <v>2331000000</v>
      </c>
      <c r="U25" s="11" cm="1">
        <f t="array" ref="U25">INDEX(Raw!M:FM, MATCH(U$4, Raw!$A:$A, 0), MATCH(1, (Raw!$B$1:$FB$1=$I25)*(Raw!$B$2:$FB$2=$H25), 0))</f>
        <v>0</v>
      </c>
      <c r="V25" s="11" cm="1">
        <f t="array" ref="V25">INDEX(Raw!N:FN, MATCH(V$4, Raw!$A:$A, 0), MATCH(1, (Raw!$B$1:$FB$1=$I25)*(Raw!$B$2:$FB$2=$H25), 0))</f>
        <v>-2717000000</v>
      </c>
      <c r="W25" s="11" cm="1">
        <f t="array" ref="W25">INDEX(Raw!O:FO, MATCH(W$4, Raw!$A:$A, 0), MATCH(1, (Raw!$B$1:$FB$1=$I25)*(Raw!$B$2:$FB$2=$H25), 0))</f>
        <v>0</v>
      </c>
      <c r="X25" s="11" cm="1">
        <f t="array" ref="X25">INDEX(Raw!P:FP, MATCH(X$4, Raw!$A:$A, 0), MATCH(1, (Raw!$B$1:$FB$1=$I25)*(Raw!$B$2:$FB$2=$H25), 0))</f>
        <v>1371000000</v>
      </c>
      <c r="Y25" s="11" cm="1">
        <f t="array" ref="Y25">INDEX(Raw!Q:FQ, MATCH(Y$4, Raw!$A:$A, 0), MATCH(1, (Raw!$B$1:$FB$1=$I25)*(Raw!$B$2:$FB$2=$H25), 0))</f>
        <v>394154100</v>
      </c>
      <c r="Z25" s="11" cm="1">
        <f t="array" ref="Z25">INDEX(Raw!R:FR, MATCH(Z$4, Raw!$A:$A, 0), MATCH(1, (Raw!$B$1:$FB$1=$I25)*(Raw!$B$2:$FB$2=$H25), 0))</f>
        <v>423273900</v>
      </c>
      <c r="AA25" s="11" cm="1">
        <f t="array" ref="AA25">INDEX(Raw!S:FS, MATCH(AA$4, Raw!$A:$A, 0), MATCH(1, (Raw!$B$1:$FB$1=$I25)*(Raw!$B$2:$FB$2=$H25), 0))</f>
        <v>6049004000</v>
      </c>
      <c r="AB25" s="11" cm="1">
        <f t="array" ref="AB25">INDEX(Raw!T:FT, MATCH(AB$4, Raw!$A:$A, 0), MATCH(1, (Raw!$B$1:$FB$1=$I25)*(Raw!$B$2:$FB$2=$H25), 0))</f>
        <v>0</v>
      </c>
      <c r="AC25" s="11" cm="1">
        <f t="array" ref="AC25">INDEX(Raw!U:FU, MATCH(AC$4, Raw!$A:$A, 0), MATCH(1, (Raw!$B$1:$FB$1=$I25)*(Raw!$B$2:$FB$2=$H25), 0))</f>
        <v>0.34</v>
      </c>
      <c r="AD25" s="11" cm="1">
        <f t="array" ref="AD25">INDEX(Raw!V:FV, MATCH(AD$4, Raw!$A:$A, 0), MATCH(1, (Raw!$B$1:$FB$1=$I25)*(Raw!$B$2:$FB$2=$H25), 0))</f>
        <v>0.28000000000000003</v>
      </c>
    </row>
    <row r="26" spans="6:30" x14ac:dyDescent="0.25">
      <c r="F26" s="11" t="s">
        <v>28</v>
      </c>
      <c r="G26" s="15">
        <f t="shared" ca="1" si="0"/>
        <v>46088</v>
      </c>
      <c r="H26" s="11">
        <f>H25</f>
        <v>2020</v>
      </c>
      <c r="I26" s="11" t="s">
        <v>22</v>
      </c>
      <c r="J26" s="11" cm="1">
        <f t="array" ref="J26">INDEX(Raw!B:FB, MATCH(J$4, Raw!$A:$A, 0), MATCH(1, (Raw!$B$1:$FB$1=$I26)*(Raw!$B$2:$FB$2=$H26), 0))</f>
        <v>8652000000</v>
      </c>
      <c r="K26" s="11" cm="1">
        <f t="array" ref="K26">INDEX(Raw!C:FC, MATCH(K$4, Raw!$A:$A, 0), MATCH(1, (Raw!$B$1:$FB$1=$I26)*(Raw!$B$2:$FB$2=$H26), 0))</f>
        <v>3013000000</v>
      </c>
      <c r="L26" s="11" cm="1">
        <f t="array" ref="L26">INDEX(Raw!D:FD, MATCH(L$4, Raw!$A:$A, 0), MATCH(1, (Raw!$B$1:$FB$1=$I26)*(Raw!$B$2:$FB$2=$H26), 0))</f>
        <v>5230000000</v>
      </c>
      <c r="M26" s="11" cm="1">
        <f t="array" ref="M26">INDEX(Raw!E:FE, MATCH(M$4, Raw!$A:$A, 0), MATCH(1, (Raw!$B$1:$FB$1=$I26)*(Raw!$B$2:$FB$2=$H26), 0))</f>
        <v>3224000000</v>
      </c>
      <c r="N26" s="11" cm="1">
        <f t="array" ref="N26">INDEX(Raw!F:FF, MATCH(N$4, Raw!$A:$A, 0), MATCH(1, (Raw!$B$1:$FB$1=$I26)*(Raw!$B$2:$FB$2=$H26), 0))</f>
        <v>-125000000</v>
      </c>
      <c r="O26" s="11" cm="1">
        <f t="array" ref="O26">INDEX(Raw!G:FG, MATCH(O$4, Raw!$A:$A, 0), MATCH(1, (Raw!$B$1:$FB$1=$I26)*(Raw!$B$2:$FB$2=$H26), 0))</f>
        <v>3088000000</v>
      </c>
      <c r="P26" s="11" cm="1">
        <f t="array" ref="P26">INDEX(Raw!H:FH, MATCH(P$4, Raw!$A:$A, 0), MATCH(1, (Raw!$B$1:$FB$1=$I26)*(Raw!$B$2:$FB$2=$H26), 0))</f>
        <v>2435000000</v>
      </c>
      <c r="Q26" s="11" cm="1">
        <f t="array" ref="Q26">INDEX(Raw!I:FI, MATCH(Q$4, Raw!$A:$A, 0), MATCH(1, (Raw!$B$1:$FB$1=$I26)*(Raw!$B$2:$FB$2=$H26), 0))</f>
        <v>-884000000</v>
      </c>
      <c r="R26" s="11" cm="1">
        <f t="array" ref="R26">INDEX(Raw!J:FJ, MATCH(R$4, Raw!$A:$A, 0), MATCH(1, (Raw!$B$1:$FB$1=$I26)*(Raw!$B$2:$FB$2=$H26), 0))</f>
        <v>2373000000</v>
      </c>
      <c r="S26" s="11" cm="1">
        <f t="array" ref="S26">INDEX(Raw!K:FK, MATCH(S$4, Raw!$A:$A, 0), MATCH(1, (Raw!$B$1:$FB$1=$I26)*(Raw!$B$2:$FB$2=$H26), 0))</f>
        <v>611000000</v>
      </c>
      <c r="T26" s="11" cm="1">
        <f t="array" ref="T26">INDEX(Raw!L:FL, MATCH(T$4, Raw!$A:$A, 0), MATCH(1, (Raw!$B$1:$FB$1=$I26)*(Raw!$B$2:$FB$2=$H26), 0))</f>
        <v>1327000000</v>
      </c>
      <c r="U26" s="11" cm="1">
        <f t="array" ref="U26">INDEX(Raw!M:FM, MATCH(U$4, Raw!$A:$A, 0), MATCH(1, (Raw!$B$1:$FB$1=$I26)*(Raw!$B$2:$FB$2=$H26), 0))</f>
        <v>0</v>
      </c>
      <c r="V26" s="11" cm="1">
        <f t="array" ref="V26">INDEX(Raw!N:FN, MATCH(V$4, Raw!$A:$A, 0), MATCH(1, (Raw!$B$1:$FB$1=$I26)*(Raw!$B$2:$FB$2=$H26), 0))</f>
        <v>1444000000</v>
      </c>
      <c r="W26" s="11" cm="1">
        <f t="array" ref="W26">INDEX(Raw!O:FO, MATCH(W$4, Raw!$A:$A, 0), MATCH(1, (Raw!$B$1:$FB$1=$I26)*(Raw!$B$2:$FB$2=$H26), 0))</f>
        <v>0</v>
      </c>
      <c r="X26" s="11" cm="1">
        <f t="array" ref="X26">INDEX(Raw!P:FP, MATCH(X$4, Raw!$A:$A, 0), MATCH(1, (Raw!$B$1:$FB$1=$I26)*(Raw!$B$2:$FB$2=$H26), 0))</f>
        <v>1182000000</v>
      </c>
      <c r="Y26" s="11" cm="1">
        <f t="array" ref="Y26">INDEX(Raw!Q:FQ, MATCH(Y$4, Raw!$A:$A, 0), MATCH(1, (Raw!$B$1:$FB$1=$I26)*(Raw!$B$2:$FB$2=$H26), 0))</f>
        <v>423273900</v>
      </c>
      <c r="Z26" s="11" cm="1">
        <f t="array" ref="Z26">INDEX(Raw!R:FR, MATCH(Z$4, Raw!$A:$A, 0), MATCH(1, (Raw!$B$1:$FB$1=$I26)*(Raw!$B$2:$FB$2=$H26), 0))</f>
        <v>324115000</v>
      </c>
      <c r="AA26" s="11" cm="1">
        <f t="array" ref="AA26">INDEX(Raw!S:FS, MATCH(AA$4, Raw!$A:$A, 0), MATCH(1, (Raw!$B$1:$FB$1=$I26)*(Raw!$B$2:$FB$2=$H26), 0))</f>
        <v>0</v>
      </c>
      <c r="AB26" s="11" cm="1">
        <f t="array" ref="AB26">INDEX(Raw!T:FT, MATCH(AB$4, Raw!$A:$A, 0), MATCH(1, (Raw!$B$1:$FB$1=$I26)*(Raw!$B$2:$FB$2=$H26), 0))</f>
        <v>0</v>
      </c>
      <c r="AC26" s="11" cm="1">
        <f t="array" ref="AC26">INDEX(Raw!U:FU, MATCH(AC$4, Raw!$A:$A, 0), MATCH(1, (Raw!$B$1:$FB$1=$I26)*(Raw!$B$2:$FB$2=$H26), 0))</f>
        <v>0.28999999999999998</v>
      </c>
      <c r="AD26" s="11" cm="1">
        <f t="array" ref="AD26">INDEX(Raw!V:FV, MATCH(AD$4, Raw!$A:$A, 0), MATCH(1, (Raw!$B$1:$FB$1=$I26)*(Raw!$B$2:$FB$2=$H26), 0))</f>
        <v>0.33</v>
      </c>
    </row>
    <row r="27" spans="6:30" x14ac:dyDescent="0.25">
      <c r="F27" s="11" t="s">
        <v>28</v>
      </c>
      <c r="G27" s="15">
        <f t="shared" ca="1" si="0"/>
        <v>46088</v>
      </c>
      <c r="H27" s="11">
        <f>H26</f>
        <v>2020</v>
      </c>
      <c r="I27" s="11" t="s">
        <v>23</v>
      </c>
      <c r="J27" s="11" cm="1">
        <f t="array" ref="J27">INDEX(Raw!B:FB, MATCH(J$4, Raw!$A:$A, 0), MATCH(1, (Raw!$B$1:$FB$1=$I27)*(Raw!$B$2:$FB$2=$H27), 0))</f>
        <v>7150000000</v>
      </c>
      <c r="K27" s="11" cm="1">
        <f t="array" ref="K27">INDEX(Raw!C:FC, MATCH(K$4, Raw!$A:$A, 0), MATCH(1, (Raw!$B$1:$FB$1=$I27)*(Raw!$B$2:$FB$2=$H27), 0))</f>
        <v>3371000000</v>
      </c>
      <c r="L27" s="11" cm="1">
        <f t="array" ref="L27">INDEX(Raw!D:FD, MATCH(L$4, Raw!$A:$A, 0), MATCH(1, (Raw!$B$1:$FB$1=$I27)*(Raw!$B$2:$FB$2=$H27), 0))</f>
        <v>5502000000</v>
      </c>
      <c r="M27" s="11" cm="1">
        <f t="array" ref="M27">INDEX(Raw!E:FE, MATCH(M$4, Raw!$A:$A, 0), MATCH(1, (Raw!$B$1:$FB$1=$I27)*(Raw!$B$2:$FB$2=$H27), 0))</f>
        <v>3116000000</v>
      </c>
      <c r="N27" s="11" cm="1">
        <f t="array" ref="N27">INDEX(Raw!F:FF, MATCH(N$4, Raw!$A:$A, 0), MATCH(1, (Raw!$B$1:$FB$1=$I27)*(Raw!$B$2:$FB$2=$H27), 0))</f>
        <v>-92000000</v>
      </c>
      <c r="O27" s="11" cm="1">
        <f t="array" ref="O27">INDEX(Raw!G:FG, MATCH(O$4, Raw!$A:$A, 0), MATCH(1, (Raw!$B$1:$FB$1=$I27)*(Raw!$B$2:$FB$2=$H27), 0))</f>
        <v>2894000000</v>
      </c>
      <c r="P27" s="11" cm="1">
        <f t="array" ref="P27">INDEX(Raw!H:FH, MATCH(P$4, Raw!$A:$A, 0), MATCH(1, (Raw!$B$1:$FB$1=$I27)*(Raw!$B$2:$FB$2=$H27), 0))</f>
        <v>1961000000</v>
      </c>
      <c r="Q27" s="11" cm="1">
        <f t="array" ref="Q27">INDEX(Raw!I:FI, MATCH(Q$4, Raw!$A:$A, 0), MATCH(1, (Raw!$B$1:$FB$1=$I27)*(Raw!$B$2:$FB$2=$H27), 0))</f>
        <v>-241000000</v>
      </c>
      <c r="R27" s="11" cm="1">
        <f t="array" ref="R27">INDEX(Raw!J:FJ, MATCH(R$4, Raw!$A:$A, 0), MATCH(1, (Raw!$B$1:$FB$1=$I27)*(Raw!$B$2:$FB$2=$H27), 0))</f>
        <v>2942000000</v>
      </c>
      <c r="S27" s="11" cm="1">
        <f t="array" ref="S27">INDEX(Raw!K:FK, MATCH(S$4, Raw!$A:$A, 0), MATCH(1, (Raw!$B$1:$FB$1=$I27)*(Raw!$B$2:$FB$2=$H27), 0))</f>
        <v>506000000</v>
      </c>
      <c r="T27" s="11" cm="1">
        <f t="array" ref="T27">INDEX(Raw!L:FL, MATCH(T$4, Raw!$A:$A, 0), MATCH(1, (Raw!$B$1:$FB$1=$I27)*(Raw!$B$2:$FB$2=$H27), 0))</f>
        <v>-2717000000</v>
      </c>
      <c r="U27" s="11" cm="1">
        <f t="array" ref="U27">INDEX(Raw!M:FM, MATCH(U$4, Raw!$A:$A, 0), MATCH(1, (Raw!$B$1:$FB$1=$I27)*(Raw!$B$2:$FB$2=$H27), 0))</f>
        <v>0</v>
      </c>
      <c r="V27" s="11" cm="1">
        <f t="array" ref="V27">INDEX(Raw!N:FN, MATCH(V$4, Raw!$A:$A, 0), MATCH(1, (Raw!$B$1:$FB$1=$I27)*(Raw!$B$2:$FB$2=$H27), 0))</f>
        <v>1372000000</v>
      </c>
      <c r="W27" s="11" cm="1">
        <f t="array" ref="W27">INDEX(Raw!O:FO, MATCH(W$4, Raw!$A:$A, 0), MATCH(1, (Raw!$B$1:$FB$1=$I27)*(Raw!$B$2:$FB$2=$H27), 0))</f>
        <v>0</v>
      </c>
      <c r="X27" s="11" cm="1">
        <f t="array" ref="X27">INDEX(Raw!P:FP, MATCH(X$4, Raw!$A:$A, 0), MATCH(1, (Raw!$B$1:$FB$1=$I27)*(Raw!$B$2:$FB$2=$H27), 0))</f>
        <v>550000000</v>
      </c>
      <c r="Y27" s="11" cm="1">
        <f t="array" ref="Y27">INDEX(Raw!Q:FQ, MATCH(Y$4, Raw!$A:$A, 0), MATCH(1, (Raw!$B$1:$FB$1=$I27)*(Raw!$B$2:$FB$2=$H27), 0))</f>
        <v>324115000</v>
      </c>
      <c r="Z27" s="11" cm="1">
        <f t="array" ref="Z27">INDEX(Raw!R:FR, MATCH(Z$4, Raw!$A:$A, 0), MATCH(1, (Raw!$B$1:$FB$1=$I27)*(Raw!$B$2:$FB$2=$H27), 0))</f>
        <v>0</v>
      </c>
      <c r="AA27" s="11" cm="1">
        <f t="array" ref="AA27">INDEX(Raw!S:FS, MATCH(AA$4, Raw!$A:$A, 0), MATCH(1, (Raw!$B$1:$FB$1=$I27)*(Raw!$B$2:$FB$2=$H27), 0))</f>
        <v>0</v>
      </c>
      <c r="AB27" s="11" cm="1">
        <f t="array" ref="AB27">INDEX(Raw!T:FT, MATCH(AB$4, Raw!$A:$A, 0), MATCH(1, (Raw!$B$1:$FB$1=$I27)*(Raw!$B$2:$FB$2=$H27), 0))</f>
        <v>0</v>
      </c>
      <c r="AC27" s="11" cm="1">
        <f t="array" ref="AC27">INDEX(Raw!U:FU, MATCH(AC$4, Raw!$A:$A, 0), MATCH(1, (Raw!$B$1:$FB$1=$I27)*(Raw!$B$2:$FB$2=$H27), 0))</f>
        <v>0.33</v>
      </c>
      <c r="AD27" s="11" cm="1">
        <f t="array" ref="AD27">INDEX(Raw!V:FV, MATCH(AD$4, Raw!$A:$A, 0), MATCH(1, (Raw!$B$1:$FB$1=$I27)*(Raw!$B$2:$FB$2=$H27), 0))</f>
        <v>0.71</v>
      </c>
    </row>
    <row r="28" spans="6:30" x14ac:dyDescent="0.25">
      <c r="F28" s="11" t="s">
        <v>28</v>
      </c>
      <c r="G28" s="15">
        <f t="shared" ca="1" si="0"/>
        <v>46088</v>
      </c>
      <c r="H28" s="11">
        <f>H27</f>
        <v>2020</v>
      </c>
      <c r="I28" s="11" t="s">
        <v>24</v>
      </c>
      <c r="J28" s="11" cm="1">
        <f t="array" ref="J28">INDEX(Raw!B:FB, MATCH(J$4, Raw!$A:$A, 0), MATCH(1, (Raw!$B$1:$FB$1=$I28)*(Raw!$B$2:$FB$2=$H28), 0))</f>
        <v>8601000000</v>
      </c>
      <c r="K28" s="11" cm="1">
        <f t="array" ref="K28">INDEX(Raw!C:FC, MATCH(K$4, Raw!$A:$A, 0), MATCH(1, (Raw!$B$1:$FB$1=$I28)*(Raw!$B$2:$FB$2=$H28), 0))</f>
        <v>3566000000</v>
      </c>
      <c r="L28" s="11" cm="1">
        <f t="array" ref="L28">INDEX(Raw!D:FD, MATCH(L$4, Raw!$A:$A, 0), MATCH(1, (Raw!$B$1:$FB$1=$I28)*(Raw!$B$2:$FB$2=$H28), 0))</f>
        <v>5740000000</v>
      </c>
      <c r="M28" s="11" cm="1">
        <f t="array" ref="M28">INDEX(Raw!E:FE, MATCH(M$4, Raw!$A:$A, 0), MATCH(1, (Raw!$B$1:$FB$1=$I28)*(Raw!$B$2:$FB$2=$H28), 0))</f>
        <v>2996000000</v>
      </c>
      <c r="N28" s="11" cm="1">
        <f t="array" ref="N28">INDEX(Raw!F:FF, MATCH(N$4, Raw!$A:$A, 0), MATCH(1, (Raw!$B$1:$FB$1=$I28)*(Raw!$B$2:$FB$2=$H28), 0))</f>
        <v>-127000000</v>
      </c>
      <c r="O28" s="11" cm="1">
        <f t="array" ref="O28">INDEX(Raw!G:FG, MATCH(O$4, Raw!$A:$A, 0), MATCH(1, (Raw!$B$1:$FB$1=$I28)*(Raw!$B$2:$FB$2=$H28), 0))</f>
        <v>3077000000</v>
      </c>
      <c r="P28" s="11" cm="1">
        <f t="array" ref="P28">INDEX(Raw!H:FH, MATCH(P$4, Raw!$A:$A, 0), MATCH(1, (Raw!$B$1:$FB$1=$I28)*(Raw!$B$2:$FB$2=$H28), 0))</f>
        <v>2614000000</v>
      </c>
      <c r="Q28" s="11" cm="1">
        <f t="array" ref="Q28">INDEX(Raw!I:FI, MATCH(Q$4, Raw!$A:$A, 0), MATCH(1, (Raw!$B$1:$FB$1=$I28)*(Raw!$B$2:$FB$2=$H28), 0))</f>
        <v>176000000</v>
      </c>
      <c r="R28" s="11" cm="1">
        <f t="array" ref="R28">INDEX(Raw!J:FJ, MATCH(R$4, Raw!$A:$A, 0), MATCH(1, (Raw!$B$1:$FB$1=$I28)*(Raw!$B$2:$FB$2=$H28), 0))</f>
        <v>1833000000</v>
      </c>
      <c r="S28" s="11" cm="1">
        <f t="array" ref="S28">INDEX(Raw!K:FK, MATCH(S$4, Raw!$A:$A, 0), MATCH(1, (Raw!$B$1:$FB$1=$I28)*(Raw!$B$2:$FB$2=$H28), 0))</f>
        <v>3802000000</v>
      </c>
      <c r="T28" s="11" cm="1">
        <f t="array" ref="T28">INDEX(Raw!L:FL, MATCH(T$4, Raw!$A:$A, 0), MATCH(1, (Raw!$B$1:$FB$1=$I28)*(Raw!$B$2:$FB$2=$H28), 0))</f>
        <v>1444000000</v>
      </c>
      <c r="U28" s="11" cm="1">
        <f t="array" ref="U28">INDEX(Raw!M:FM, MATCH(U$4, Raw!$A:$A, 0), MATCH(1, (Raw!$B$1:$FB$1=$I28)*(Raw!$B$2:$FB$2=$H28), 0))</f>
        <v>0</v>
      </c>
      <c r="V28" s="11" cm="1">
        <f t="array" ref="V28">INDEX(Raw!N:FN, MATCH(V$4, Raw!$A:$A, 0), MATCH(1, (Raw!$B$1:$FB$1=$I28)*(Raw!$B$2:$FB$2=$H28), 0))</f>
        <v>1184000000</v>
      </c>
      <c r="W28" s="11" cm="1">
        <f t="array" ref="W28">INDEX(Raw!O:FO, MATCH(W$4, Raw!$A:$A, 0), MATCH(1, (Raw!$B$1:$FB$1=$I28)*(Raw!$B$2:$FB$2=$H28), 0))</f>
        <v>0</v>
      </c>
      <c r="X28" s="11" cm="1">
        <f t="array" ref="X28">INDEX(Raw!P:FP, MATCH(X$4, Raw!$A:$A, 0), MATCH(1, (Raw!$B$1:$FB$1=$I28)*(Raw!$B$2:$FB$2=$H28), 0))</f>
        <v>1046000000</v>
      </c>
      <c r="Y28" s="11" cm="1">
        <f t="array" ref="Y28">INDEX(Raw!Q:FQ, MATCH(Y$4, Raw!$A:$A, 0), MATCH(1, (Raw!$B$1:$FB$1=$I28)*(Raw!$B$2:$FB$2=$H28), 0))</f>
        <v>0</v>
      </c>
      <c r="Z28" s="11" cm="1">
        <f t="array" ref="Z28">INDEX(Raw!R:FR, MATCH(Z$4, Raw!$A:$A, 0), MATCH(1, (Raw!$B$1:$FB$1=$I28)*(Raw!$B$2:$FB$2=$H28), 0))</f>
        <v>0</v>
      </c>
      <c r="AA28" s="11" cm="1">
        <f t="array" ref="AA28">INDEX(Raw!S:FS, MATCH(AA$4, Raw!$A:$A, 0), MATCH(1, (Raw!$B$1:$FB$1=$I28)*(Raw!$B$2:$FB$2=$H28), 0))</f>
        <v>0</v>
      </c>
      <c r="AB28" s="11" cm="1">
        <f t="array" ref="AB28">INDEX(Raw!T:FT, MATCH(AB$4, Raw!$A:$A, 0), MATCH(1, (Raw!$B$1:$FB$1=$I28)*(Raw!$B$2:$FB$2=$H28), 0))</f>
        <v>0</v>
      </c>
      <c r="AC28" s="11" cm="1">
        <f t="array" ref="AC28">INDEX(Raw!U:FU, MATCH(AC$4, Raw!$A:$A, 0), MATCH(1, (Raw!$B$1:$FB$1=$I28)*(Raw!$B$2:$FB$2=$H28), 0))</f>
        <v>0.71</v>
      </c>
      <c r="AD28" s="11" cm="1">
        <f t="array" ref="AD28">INDEX(Raw!V:FV, MATCH(AD$4, Raw!$A:$A, 0), MATCH(1, (Raw!$B$1:$FB$1=$I28)*(Raw!$B$2:$FB$2=$H28), 0))</f>
        <v>0.35</v>
      </c>
    </row>
    <row r="29" spans="6:30" x14ac:dyDescent="0.25">
      <c r="F29" s="11" t="s">
        <v>28</v>
      </c>
      <c r="G29" s="15">
        <f t="shared" ca="1" si="0"/>
        <v>46088</v>
      </c>
      <c r="H29" s="11">
        <f>H25-1</f>
        <v>2019</v>
      </c>
      <c r="I29" s="11" t="s">
        <v>21</v>
      </c>
      <c r="J29" s="11" cm="1">
        <f t="array" ref="J29">INDEX(Raw!B:FB, MATCH(J$4, Raw!$A:$A, 0), MATCH(1, (Raw!$B$1:$FB$1=$I29)*(Raw!$B$2:$FB$2=$H29), 0))</f>
        <v>9068000000</v>
      </c>
      <c r="K29" s="11" cm="1">
        <f t="array" ref="K29">INDEX(Raw!C:FC, MATCH(K$4, Raw!$A:$A, 0), MATCH(1, (Raw!$B$1:$FB$1=$I29)*(Raw!$B$2:$FB$2=$H29), 0))</f>
        <v>3767000000</v>
      </c>
      <c r="L29" s="11" cm="1">
        <f t="array" ref="L29">INDEX(Raw!D:FD, MATCH(L$4, Raw!$A:$A, 0), MATCH(1, (Raw!$B$1:$FB$1=$I29)*(Raw!$B$2:$FB$2=$H29), 0))</f>
        <v>6076000000</v>
      </c>
      <c r="M29" s="11" cm="1">
        <f t="array" ref="M29">INDEX(Raw!E:FE, MATCH(M$4, Raw!$A:$A, 0), MATCH(1, (Raw!$B$1:$FB$1=$I29)*(Raw!$B$2:$FB$2=$H29), 0))</f>
        <v>2767000000</v>
      </c>
      <c r="N29" s="11" cm="1">
        <f t="array" ref="N29">INDEX(Raw!F:FF, MATCH(N$4, Raw!$A:$A, 0), MATCH(1, (Raw!$B$1:$FB$1=$I29)*(Raw!$B$2:$FB$2=$H29), 0))</f>
        <v>-163000000</v>
      </c>
      <c r="O29" s="11" cm="1">
        <f t="array" ref="O29">INDEX(Raw!G:FG, MATCH(O$4, Raw!$A:$A, 0), MATCH(1, (Raw!$B$1:$FB$1=$I29)*(Raw!$B$2:$FB$2=$H29), 0))</f>
        <v>2815000000</v>
      </c>
      <c r="P29" s="11" cm="1">
        <f t="array" ref="P29">INDEX(Raw!H:FH, MATCH(P$4, Raw!$A:$A, 0), MATCH(1, (Raw!$B$1:$FB$1=$I29)*(Raw!$B$2:$FB$2=$H29), 0))</f>
        <v>2766000000</v>
      </c>
      <c r="Q29" s="11" cm="1">
        <f t="array" ref="Q29">INDEX(Raw!I:FI, MATCH(Q$4, Raw!$A:$A, 0), MATCH(1, (Raw!$B$1:$FB$1=$I29)*(Raw!$B$2:$FB$2=$H29), 0))</f>
        <v>22000000</v>
      </c>
      <c r="R29" s="11" cm="1">
        <f t="array" ref="R29">INDEX(Raw!J:FJ, MATCH(R$4, Raw!$A:$A, 0), MATCH(1, (Raw!$B$1:$FB$1=$I29)*(Raw!$B$2:$FB$2=$H29), 0))</f>
        <v>1085000000</v>
      </c>
      <c r="S29" s="11" cm="1">
        <f t="array" ref="S29">INDEX(Raw!K:FK, MATCH(S$4, Raw!$A:$A, 0), MATCH(1, (Raw!$B$1:$FB$1=$I29)*(Raw!$B$2:$FB$2=$H29), 0))</f>
        <v>230000000</v>
      </c>
      <c r="T29" s="11" cm="1">
        <f t="array" ref="T29">INDEX(Raw!L:FL, MATCH(T$4, Raw!$A:$A, 0), MATCH(1, (Raw!$B$1:$FB$1=$I29)*(Raw!$B$2:$FB$2=$H29), 0))</f>
        <v>1372000000</v>
      </c>
      <c r="U29" s="11" cm="1">
        <f t="array" ref="U29">INDEX(Raw!M:FM, MATCH(U$4, Raw!$A:$A, 0), MATCH(1, (Raw!$B$1:$FB$1=$I29)*(Raw!$B$2:$FB$2=$H29), 0))</f>
        <v>0</v>
      </c>
      <c r="V29" s="11" cm="1">
        <f t="array" ref="V29">INDEX(Raw!N:FN, MATCH(V$4, Raw!$A:$A, 0), MATCH(1, (Raw!$B$1:$FB$1=$I29)*(Raw!$B$2:$FB$2=$H29), 0))</f>
        <v>547000000</v>
      </c>
      <c r="W29" s="11" cm="1">
        <f t="array" ref="W29">INDEX(Raw!O:FO, MATCH(W$4, Raw!$A:$A, 0), MATCH(1, (Raw!$B$1:$FB$1=$I29)*(Raw!$B$2:$FB$2=$H29), 0))</f>
        <v>0</v>
      </c>
      <c r="X29" s="11" cm="1">
        <f t="array" ref="X29">INDEX(Raw!P:FP, MATCH(X$4, Raw!$A:$A, 0), MATCH(1, (Raw!$B$1:$FB$1=$I29)*(Raw!$B$2:$FB$2=$H29), 0))</f>
        <v>3448000000</v>
      </c>
      <c r="Y29" s="11" cm="1">
        <f t="array" ref="Y29">INDEX(Raw!Q:FQ, MATCH(Y$4, Raw!$A:$A, 0), MATCH(1, (Raw!$B$1:$FB$1=$I29)*(Raw!$B$2:$FB$2=$H29), 0))</f>
        <v>0</v>
      </c>
      <c r="Z29" s="11" cm="1">
        <f t="array" ref="Z29">INDEX(Raw!R:FR, MATCH(Z$4, Raw!$A:$A, 0), MATCH(1, (Raw!$B$1:$FB$1=$I29)*(Raw!$B$2:$FB$2=$H29), 0))</f>
        <v>0</v>
      </c>
      <c r="AA29" s="11" cm="1">
        <f t="array" ref="AA29">INDEX(Raw!S:FS, MATCH(AA$4, Raw!$A:$A, 0), MATCH(1, (Raw!$B$1:$FB$1=$I29)*(Raw!$B$2:$FB$2=$H29), 0))</f>
        <v>0</v>
      </c>
      <c r="AB29" s="11" cm="1">
        <f t="array" ref="AB29">INDEX(Raw!T:FT, MATCH(AB$4, Raw!$A:$A, 0), MATCH(1, (Raw!$B$1:$FB$1=$I29)*(Raw!$B$2:$FB$2=$H29), 0))</f>
        <v>0</v>
      </c>
      <c r="AC29" s="11" cm="1">
        <f t="array" ref="AC29">INDEX(Raw!U:FU, MATCH(AC$4, Raw!$A:$A, 0), MATCH(1, (Raw!$B$1:$FB$1=$I29)*(Raw!$B$2:$FB$2=$H29), 0))</f>
        <v>0.36</v>
      </c>
      <c r="AD29" s="11" cm="1">
        <f t="array" ref="AD29">INDEX(Raw!V:FV, MATCH(AD$4, Raw!$A:$A, 0), MATCH(1, (Raw!$B$1:$FB$1=$I29)*(Raw!$B$2:$FB$2=$H29), 0))</f>
        <v>0.18</v>
      </c>
    </row>
    <row r="30" spans="6:30" x14ac:dyDescent="0.25">
      <c r="F30" s="11" t="s">
        <v>28</v>
      </c>
      <c r="G30" s="15">
        <f t="shared" ca="1" si="0"/>
        <v>46088</v>
      </c>
      <c r="H30" s="11">
        <f>H29</f>
        <v>2019</v>
      </c>
      <c r="I30" s="11" t="s">
        <v>22</v>
      </c>
      <c r="J30" s="11" cm="1">
        <f t="array" ref="J30">INDEX(Raw!B:FB, MATCH(J$4, Raw!$A:$A, 0), MATCH(1, (Raw!$B$1:$FB$1=$I30)*(Raw!$B$2:$FB$2=$H30), 0))</f>
        <v>9507000000</v>
      </c>
      <c r="K30" s="11" cm="1">
        <f t="array" ref="K30">INDEX(Raw!C:FC, MATCH(K$4, Raw!$A:$A, 0), MATCH(1, (Raw!$B$1:$FB$1=$I30)*(Raw!$B$2:$FB$2=$H30), 0))</f>
        <v>3921000000</v>
      </c>
      <c r="L30" s="11" cm="1">
        <f t="array" ref="L30">INDEX(Raw!D:FD, MATCH(L$4, Raw!$A:$A, 0), MATCH(1, (Raw!$B$1:$FB$1=$I30)*(Raw!$B$2:$FB$2=$H30), 0))</f>
        <v>5329000000</v>
      </c>
      <c r="M30" s="11" cm="1">
        <f t="array" ref="M30">INDEX(Raw!E:FE, MATCH(M$4, Raw!$A:$A, 0), MATCH(1, (Raw!$B$1:$FB$1=$I30)*(Raw!$B$2:$FB$2=$H30), 0))</f>
        <v>2914000000</v>
      </c>
      <c r="N30" s="11" cm="1">
        <f t="array" ref="N30">INDEX(Raw!F:FF, MATCH(N$4, Raw!$A:$A, 0), MATCH(1, (Raw!$B$1:$FB$1=$I30)*(Raw!$B$2:$FB$2=$H30), 0))</f>
        <v>-155000000</v>
      </c>
      <c r="O30" s="11" cm="1">
        <f t="array" ref="O30">INDEX(Raw!G:FG, MATCH(O$4, Raw!$A:$A, 0), MATCH(1, (Raw!$B$1:$FB$1=$I30)*(Raw!$B$2:$FB$2=$H30), 0))</f>
        <v>3112000000</v>
      </c>
      <c r="P30" s="11" cm="1">
        <f t="array" ref="P30">INDEX(Raw!H:FH, MATCH(P$4, Raw!$A:$A, 0), MATCH(1, (Raw!$B$1:$FB$1=$I30)*(Raw!$B$2:$FB$2=$H30), 0))</f>
        <v>1811000000</v>
      </c>
      <c r="Q30" s="11" cm="1">
        <f t="array" ref="Q30">INDEX(Raw!I:FI, MATCH(Q$4, Raw!$A:$A, 0), MATCH(1, (Raw!$B$1:$FB$1=$I30)*(Raw!$B$2:$FB$2=$H30), 0))</f>
        <v>-425000000</v>
      </c>
      <c r="R30" s="11" cm="1">
        <f t="array" ref="R30">INDEX(Raw!J:FJ, MATCH(R$4, Raw!$A:$A, 0), MATCH(1, (Raw!$B$1:$FB$1=$I30)*(Raw!$B$2:$FB$2=$H30), 0))</f>
        <v>1674000000</v>
      </c>
      <c r="S30" s="11" cm="1">
        <f t="array" ref="S30">INDEX(Raw!K:FK, MATCH(S$4, Raw!$A:$A, 0), MATCH(1, (Raw!$B$1:$FB$1=$I30)*(Raw!$B$2:$FB$2=$H30), 0))</f>
        <v>1252000000</v>
      </c>
      <c r="T30" s="11" cm="1">
        <f t="array" ref="T30">INDEX(Raw!L:FL, MATCH(T$4, Raw!$A:$A, 0), MATCH(1, (Raw!$B$1:$FB$1=$I30)*(Raw!$B$2:$FB$2=$H30), 0))</f>
        <v>1184000000</v>
      </c>
      <c r="U30" s="11" cm="1">
        <f t="array" ref="U30">INDEX(Raw!M:FM, MATCH(U$4, Raw!$A:$A, 0), MATCH(1, (Raw!$B$1:$FB$1=$I30)*(Raw!$B$2:$FB$2=$H30), 0))</f>
        <v>0</v>
      </c>
      <c r="V30" s="11" cm="1">
        <f t="array" ref="V30">INDEX(Raw!N:FN, MATCH(V$4, Raw!$A:$A, 0), MATCH(1, (Raw!$B$1:$FB$1=$I30)*(Raw!$B$2:$FB$2=$H30), 0))</f>
        <v>1050000000</v>
      </c>
      <c r="W30" s="11" cm="1">
        <f t="array" ref="W30">INDEX(Raw!O:FO, MATCH(W$4, Raw!$A:$A, 0), MATCH(1, (Raw!$B$1:$FB$1=$I30)*(Raw!$B$2:$FB$2=$H30), 0))</f>
        <v>0</v>
      </c>
      <c r="X30" s="11" cm="1">
        <f t="array" ref="X30">INDEX(Raw!P:FP, MATCH(X$4, Raw!$A:$A, 0), MATCH(1, (Raw!$B$1:$FB$1=$I30)*(Raw!$B$2:$FB$2=$H30), 0))</f>
        <v>1483000000</v>
      </c>
      <c r="Y30" s="11" cm="1">
        <f t="array" ref="Y30">INDEX(Raw!Q:FQ, MATCH(Y$4, Raw!$A:$A, 0), MATCH(1, (Raw!$B$1:$FB$1=$I30)*(Raw!$B$2:$FB$2=$H30), 0))</f>
        <v>0</v>
      </c>
      <c r="Z30" s="11" cm="1">
        <f t="array" ref="Z30">INDEX(Raw!R:FR, MATCH(Z$4, Raw!$A:$A, 0), MATCH(1, (Raw!$B$1:$FB$1=$I30)*(Raw!$B$2:$FB$2=$H30), 0))</f>
        <v>0</v>
      </c>
      <c r="AA30" s="11" cm="1">
        <f t="array" ref="AA30">INDEX(Raw!S:FS, MATCH(AA$4, Raw!$A:$A, 0), MATCH(1, (Raw!$B$1:$FB$1=$I30)*(Raw!$B$2:$FB$2=$H30), 0))</f>
        <v>0</v>
      </c>
      <c r="AB30" s="11" cm="1">
        <f t="array" ref="AB30">INDEX(Raw!T:FT, MATCH(AB$4, Raw!$A:$A, 0), MATCH(1, (Raw!$B$1:$FB$1=$I30)*(Raw!$B$2:$FB$2=$H30), 0))</f>
        <v>0</v>
      </c>
      <c r="AC30" s="11" cm="1">
        <f t="array" ref="AC30">INDEX(Raw!U:FU, MATCH(AC$4, Raw!$A:$A, 0), MATCH(1, (Raw!$B$1:$FB$1=$I30)*(Raw!$B$2:$FB$2=$H30), 0))</f>
        <v>0.18</v>
      </c>
      <c r="AD30" s="11" cm="1">
        <f t="array" ref="AD30">INDEX(Raw!V:FV, MATCH(AD$4, Raw!$A:$A, 0), MATCH(1, (Raw!$B$1:$FB$1=$I30)*(Raw!$B$2:$FB$2=$H30), 0))</f>
        <v>0.48</v>
      </c>
    </row>
    <row r="31" spans="6:30" x14ac:dyDescent="0.25">
      <c r="F31" s="11" t="s">
        <v>28</v>
      </c>
      <c r="G31" s="15">
        <f t="shared" ca="1" si="0"/>
        <v>46088</v>
      </c>
      <c r="H31" s="11">
        <f>H30</f>
        <v>2019</v>
      </c>
      <c r="I31" s="11" t="s">
        <v>23</v>
      </c>
      <c r="J31" s="11" cm="1">
        <f t="array" ref="J31">INDEX(Raw!B:FB, MATCH(J$4, Raw!$A:$A, 0), MATCH(1, (Raw!$B$1:$FB$1=$I31)*(Raw!$B$2:$FB$2=$H31), 0))</f>
        <v>9997000000</v>
      </c>
      <c r="K31" s="11" cm="1">
        <f t="array" ref="K31">INDEX(Raw!C:FC, MATCH(K$4, Raw!$A:$A, 0), MATCH(1, (Raw!$B$1:$FB$1=$I31)*(Raw!$B$2:$FB$2=$H31), 0))</f>
        <v>3365000000</v>
      </c>
      <c r="L31" s="11" cm="1">
        <f t="array" ref="L31">INDEX(Raw!D:FD, MATCH(L$4, Raw!$A:$A, 0), MATCH(1, (Raw!$B$1:$FB$1=$I31)*(Raw!$B$2:$FB$2=$H31), 0))</f>
        <v>5038000000</v>
      </c>
      <c r="M31" s="11" cm="1">
        <f t="array" ref="M31">INDEX(Raw!E:FE, MATCH(M$4, Raw!$A:$A, 0), MATCH(1, (Raw!$B$1:$FB$1=$I31)*(Raw!$B$2:$FB$2=$H31), 0))</f>
        <v>2660000000</v>
      </c>
      <c r="N31" s="11" cm="1">
        <f t="array" ref="N31">INDEX(Raw!F:FF, MATCH(N$4, Raw!$A:$A, 0), MATCH(1, (Raw!$B$1:$FB$1=$I31)*(Raw!$B$2:$FB$2=$H31), 0))</f>
        <v>-225000000</v>
      </c>
      <c r="O31" s="11" cm="1">
        <f t="array" ref="O31">INDEX(Raw!G:FG, MATCH(O$4, Raw!$A:$A, 0), MATCH(1, (Raw!$B$1:$FB$1=$I31)*(Raw!$B$2:$FB$2=$H31), 0))</f>
        <v>3077000000</v>
      </c>
      <c r="P31" s="11" cm="1">
        <f t="array" ref="P31">INDEX(Raw!H:FH, MATCH(P$4, Raw!$A:$A, 0), MATCH(1, (Raw!$B$1:$FB$1=$I31)*(Raw!$B$2:$FB$2=$H31), 0))</f>
        <v>1510000000</v>
      </c>
      <c r="Q31" s="11" cm="1">
        <f t="array" ref="Q31">INDEX(Raw!I:FI, MATCH(Q$4, Raw!$A:$A, 0), MATCH(1, (Raw!$B$1:$FB$1=$I31)*(Raw!$B$2:$FB$2=$H31), 0))</f>
        <v>-571000000</v>
      </c>
      <c r="R31" s="11" cm="1">
        <f t="array" ref="R31">INDEX(Raw!J:FJ, MATCH(R$4, Raw!$A:$A, 0), MATCH(1, (Raw!$B$1:$FB$1=$I31)*(Raw!$B$2:$FB$2=$H31), 0))</f>
        <v>2624000000</v>
      </c>
      <c r="S31" s="11" cm="1">
        <f t="array" ref="S31">INDEX(Raw!K:FK, MATCH(S$4, Raw!$A:$A, 0), MATCH(1, (Raw!$B$1:$FB$1=$I31)*(Raw!$B$2:$FB$2=$H31), 0))</f>
        <v>323000000</v>
      </c>
      <c r="T31" s="11" cm="1">
        <f t="array" ref="T31">INDEX(Raw!L:FL, MATCH(T$4, Raw!$A:$A, 0), MATCH(1, (Raw!$B$1:$FB$1=$I31)*(Raw!$B$2:$FB$2=$H31), 0))</f>
        <v>547000000</v>
      </c>
      <c r="U31" s="11" cm="1">
        <f t="array" ref="U31">INDEX(Raw!M:FM, MATCH(U$4, Raw!$A:$A, 0), MATCH(1, (Raw!$B$1:$FB$1=$I31)*(Raw!$B$2:$FB$2=$H31), 0))</f>
        <v>0</v>
      </c>
      <c r="V31" s="11" cm="1">
        <f t="array" ref="V31">INDEX(Raw!N:FN, MATCH(V$4, Raw!$A:$A, 0), MATCH(1, (Raw!$B$1:$FB$1=$I31)*(Raw!$B$2:$FB$2=$H31), 0))</f>
        <v>3460000000</v>
      </c>
      <c r="W31" s="11" cm="1">
        <f t="array" ref="W31">INDEX(Raw!O:FO, MATCH(W$4, Raw!$A:$A, 0), MATCH(1, (Raw!$B$1:$FB$1=$I31)*(Raw!$B$2:$FB$2=$H31), 0))</f>
        <v>0</v>
      </c>
      <c r="X31" s="11" cm="1">
        <f t="array" ref="X31">INDEX(Raw!P:FP, MATCH(X$4, Raw!$A:$A, 0), MATCH(1, (Raw!$B$1:$FB$1=$I31)*(Raw!$B$2:$FB$2=$H31), 0))</f>
        <v>1237000000</v>
      </c>
      <c r="Y31" s="11" cm="1">
        <f t="array" ref="Y31">INDEX(Raw!Q:FQ, MATCH(Y$4, Raw!$A:$A, 0), MATCH(1, (Raw!$B$1:$FB$1=$I31)*(Raw!$B$2:$FB$2=$H31), 0))</f>
        <v>0</v>
      </c>
      <c r="Z31" s="11" cm="1">
        <f t="array" ref="Z31">INDEX(Raw!R:FR, MATCH(Z$4, Raw!$A:$A, 0), MATCH(1, (Raw!$B$1:$FB$1=$I31)*(Raw!$B$2:$FB$2=$H31), 0))</f>
        <v>0</v>
      </c>
      <c r="AA31" s="11" cm="1">
        <f t="array" ref="AA31">INDEX(Raw!S:FS, MATCH(AA$4, Raw!$A:$A, 0), MATCH(1, (Raw!$B$1:$FB$1=$I31)*(Raw!$B$2:$FB$2=$H31), 0))</f>
        <v>0</v>
      </c>
      <c r="AB31" s="11" cm="1">
        <f t="array" ref="AB31">INDEX(Raw!T:FT, MATCH(AB$4, Raw!$A:$A, 0), MATCH(1, (Raw!$B$1:$FB$1=$I31)*(Raw!$B$2:$FB$2=$H31), 0))</f>
        <v>0</v>
      </c>
      <c r="AC31" s="11" cm="1">
        <f t="array" ref="AC31">INDEX(Raw!U:FU, MATCH(AC$4, Raw!$A:$A, 0), MATCH(1, (Raw!$B$1:$FB$1=$I31)*(Raw!$B$2:$FB$2=$H31), 0))</f>
        <v>0.48</v>
      </c>
      <c r="AD31" s="11" cm="1">
        <f t="array" ref="AD31">INDEX(Raw!V:FV, MATCH(AD$4, Raw!$A:$A, 0), MATCH(1, (Raw!$B$1:$FB$1=$I31)*(Raw!$B$2:$FB$2=$H31), 0))</f>
        <v>0.57999999999999996</v>
      </c>
    </row>
    <row r="32" spans="6:30" x14ac:dyDescent="0.25">
      <c r="F32" s="11" t="s">
        <v>28</v>
      </c>
      <c r="G32" s="15">
        <f t="shared" ca="1" si="0"/>
        <v>46088</v>
      </c>
      <c r="H32" s="11">
        <f>H31</f>
        <v>2019</v>
      </c>
      <c r="I32" s="11" t="s">
        <v>24</v>
      </c>
      <c r="J32" s="11" cm="1">
        <f t="array" ref="J32">INDEX(Raw!B:FB, MATCH(J$4, Raw!$A:$A, 0), MATCH(1, (Raw!$B$1:$FB$1=$I32)*(Raw!$B$2:$FB$2=$H32), 0))</f>
        <v>8694000000</v>
      </c>
      <c r="K32" s="11" cm="1">
        <f t="array" ref="K32">INDEX(Raw!C:FC, MATCH(K$4, Raw!$A:$A, 0), MATCH(1, (Raw!$B$1:$FB$1=$I32)*(Raw!$B$2:$FB$2=$H32), 0))</f>
        <v>3440000000</v>
      </c>
      <c r="L32" s="11" cm="1">
        <f t="array" ref="L32">INDEX(Raw!D:FD, MATCH(L$4, Raw!$A:$A, 0), MATCH(1, (Raw!$B$1:$FB$1=$I32)*(Raw!$B$2:$FB$2=$H32), 0))</f>
        <v>5429000000</v>
      </c>
      <c r="M32" s="11" cm="1">
        <f t="array" ref="M32">INDEX(Raw!E:FE, MATCH(M$4, Raw!$A:$A, 0), MATCH(1, (Raw!$B$1:$FB$1=$I32)*(Raw!$B$2:$FB$2=$H32), 0))</f>
        <v>2887000000</v>
      </c>
      <c r="N32" s="11" cm="1">
        <f t="array" ref="N32">INDEX(Raw!F:FF, MATCH(N$4, Raw!$A:$A, 0), MATCH(1, (Raw!$B$1:$FB$1=$I32)*(Raw!$B$2:$FB$2=$H32), 0))</f>
        <v>-536000000</v>
      </c>
      <c r="O32" s="11" cm="1">
        <f t="array" ref="O32">INDEX(Raw!G:FG, MATCH(O$4, Raw!$A:$A, 0), MATCH(1, (Raw!$B$1:$FB$1=$I32)*(Raw!$B$2:$FB$2=$H32), 0))</f>
        <v>3649000000</v>
      </c>
      <c r="P32" s="11" cm="1">
        <f t="array" ref="P32">INDEX(Raw!H:FH, MATCH(P$4, Raw!$A:$A, 0), MATCH(1, (Raw!$B$1:$FB$1=$I32)*(Raw!$B$2:$FB$2=$H32), 0))</f>
        <v>2245000000</v>
      </c>
      <c r="Q32" s="11" cm="1">
        <f t="array" ref="Q32">INDEX(Raw!I:FI, MATCH(Q$4, Raw!$A:$A, 0), MATCH(1, (Raw!$B$1:$FB$1=$I32)*(Raw!$B$2:$FB$2=$H32), 0))</f>
        <v>587000000</v>
      </c>
      <c r="R32" s="11" cm="1">
        <f t="array" ref="R32">INDEX(Raw!J:FJ, MATCH(R$4, Raw!$A:$A, 0), MATCH(1, (Raw!$B$1:$FB$1=$I32)*(Raw!$B$2:$FB$2=$H32), 0))</f>
        <v>1507000000</v>
      </c>
      <c r="S32" s="11" cm="1">
        <f t="array" ref="S32">INDEX(Raw!K:FK, MATCH(S$4, Raw!$A:$A, 0), MATCH(1, (Raw!$B$1:$FB$1=$I32)*(Raw!$B$2:$FB$2=$H32), 0))</f>
        <v>-32000000</v>
      </c>
      <c r="T32" s="11" cm="1">
        <f t="array" ref="T32">INDEX(Raw!L:FL, MATCH(T$4, Raw!$A:$A, 0), MATCH(1, (Raw!$B$1:$FB$1=$I32)*(Raw!$B$2:$FB$2=$H32), 0))</f>
        <v>1050000000</v>
      </c>
      <c r="U32" s="11" cm="1">
        <f t="array" ref="U32">INDEX(Raw!M:FM, MATCH(U$4, Raw!$A:$A, 0), MATCH(1, (Raw!$B$1:$FB$1=$I32)*(Raw!$B$2:$FB$2=$H32), 0))</f>
        <v>0</v>
      </c>
      <c r="V32" s="11" cm="1">
        <f t="array" ref="V32">INDEX(Raw!N:FN, MATCH(V$4, Raw!$A:$A, 0), MATCH(1, (Raw!$B$1:$FB$1=$I32)*(Raw!$B$2:$FB$2=$H32), 0))</f>
        <v>1493000000</v>
      </c>
      <c r="W32" s="11" cm="1">
        <f t="array" ref="W32">INDEX(Raw!O:FO, MATCH(W$4, Raw!$A:$A, 0), MATCH(1, (Raw!$B$1:$FB$1=$I32)*(Raw!$B$2:$FB$2=$H32), 0))</f>
        <v>0</v>
      </c>
      <c r="X32" s="11" cm="1">
        <f t="array" ref="X32">INDEX(Raw!P:FP, MATCH(X$4, Raw!$A:$A, 0), MATCH(1, (Raw!$B$1:$FB$1=$I32)*(Raw!$B$2:$FB$2=$H32), 0))</f>
        <v>1449000000</v>
      </c>
      <c r="Y32" s="11" cm="1">
        <f t="array" ref="Y32">INDEX(Raw!Q:FQ, MATCH(Y$4, Raw!$A:$A, 0), MATCH(1, (Raw!$B$1:$FB$1=$I32)*(Raw!$B$2:$FB$2=$H32), 0))</f>
        <v>0</v>
      </c>
      <c r="Z32" s="11" cm="1">
        <f t="array" ref="Z32">INDEX(Raw!R:FR, MATCH(Z$4, Raw!$A:$A, 0), MATCH(1, (Raw!$B$1:$FB$1=$I32)*(Raw!$B$2:$FB$2=$H32), 0))</f>
        <v>0</v>
      </c>
      <c r="AA32" s="11" cm="1">
        <f t="array" ref="AA32">INDEX(Raw!S:FS, MATCH(AA$4, Raw!$A:$A, 0), MATCH(1, (Raw!$B$1:$FB$1=$I32)*(Raw!$B$2:$FB$2=$H32), 0))</f>
        <v>0</v>
      </c>
      <c r="AB32" s="11" cm="1">
        <f t="array" ref="AB32">INDEX(Raw!T:FT, MATCH(AB$4, Raw!$A:$A, 0), MATCH(1, (Raw!$B$1:$FB$1=$I32)*(Raw!$B$2:$FB$2=$H32), 0))</f>
        <v>0</v>
      </c>
      <c r="AC32" s="11" cm="1">
        <f t="array" ref="AC32">INDEX(Raw!U:FU, MATCH(AC$4, Raw!$A:$A, 0), MATCH(1, (Raw!$B$1:$FB$1=$I32)*(Raw!$B$2:$FB$2=$H32), 0))</f>
        <v>0.59</v>
      </c>
      <c r="AD32" s="11" cm="1">
        <f t="array" ref="AD32">INDEX(Raw!V:FV, MATCH(AD$4, Raw!$A:$A, 0), MATCH(1, (Raw!$B$1:$FB$1=$I32)*(Raw!$B$2:$FB$2=$H32), 0))</f>
        <v>0.36</v>
      </c>
    </row>
    <row r="33" spans="6:30" x14ac:dyDescent="0.25">
      <c r="F33" s="11" t="s">
        <v>28</v>
      </c>
      <c r="G33" s="15">
        <f t="shared" ca="1" si="0"/>
        <v>46088</v>
      </c>
      <c r="H33" s="11">
        <f>H29-1</f>
        <v>2018</v>
      </c>
      <c r="I33" s="11" t="s">
        <v>21</v>
      </c>
      <c r="J33" s="11" cm="1">
        <f t="array" ref="J33">INDEX(Raw!B:FB, MATCH(J$4, Raw!$A:$A, 0), MATCH(1, (Raw!$B$1:$FB$1=$I33)*(Raw!$B$2:$FB$2=$H33), 0))</f>
        <v>8478000000</v>
      </c>
      <c r="K33" s="11" cm="1">
        <f t="array" ref="K33">INDEX(Raw!C:FC, MATCH(K$4, Raw!$A:$A, 0), MATCH(1, (Raw!$B$1:$FB$1=$I33)*(Raw!$B$2:$FB$2=$H33), 0))</f>
        <v>3346000000</v>
      </c>
      <c r="L33" s="11" cm="1">
        <f t="array" ref="L33">INDEX(Raw!D:FD, MATCH(L$4, Raw!$A:$A, 0), MATCH(1, (Raw!$B$1:$FB$1=$I33)*(Raw!$B$2:$FB$2=$H33), 0))</f>
        <v>5878000000</v>
      </c>
      <c r="M33" s="11" cm="1">
        <f t="array" ref="M33">INDEX(Raw!E:FE, MATCH(M$4, Raw!$A:$A, 0), MATCH(1, (Raw!$B$1:$FB$1=$I33)*(Raw!$B$2:$FB$2=$H33), 0))</f>
        <v>2541000000</v>
      </c>
      <c r="N33" s="11" cm="1">
        <f t="array" ref="N33">INDEX(Raw!F:FF, MATCH(N$4, Raw!$A:$A, 0), MATCH(1, (Raw!$B$1:$FB$1=$I33)*(Raw!$B$2:$FB$2=$H33), 0))</f>
        <v>-592000000</v>
      </c>
      <c r="O33" s="11" cm="1">
        <f t="array" ref="O33">INDEX(Raw!G:FG, MATCH(O$4, Raw!$A:$A, 0), MATCH(1, (Raw!$B$1:$FB$1=$I33)*(Raw!$B$2:$FB$2=$H33), 0))</f>
        <v>3439000000</v>
      </c>
      <c r="P33" s="11" cm="1">
        <f t="array" ref="P33">INDEX(Raw!H:FH, MATCH(P$4, Raw!$A:$A, 0), MATCH(1, (Raw!$B$1:$FB$1=$I33)*(Raw!$B$2:$FB$2=$H33), 0))</f>
        <v>2037000000</v>
      </c>
      <c r="Q33" s="11" cm="1">
        <f t="array" ref="Q33">INDEX(Raw!I:FI, MATCH(Q$4, Raw!$A:$A, 0), MATCH(1, (Raw!$B$1:$FB$1=$I33)*(Raw!$B$2:$FB$2=$H33), 0))</f>
        <v>-456000000</v>
      </c>
      <c r="R33" s="11" cm="1">
        <f t="array" ref="R33">INDEX(Raw!J:FJ, MATCH(R$4, Raw!$A:$A, 0), MATCH(1, (Raw!$B$1:$FB$1=$I33)*(Raw!$B$2:$FB$2=$H33), 0))</f>
        <v>515000000</v>
      </c>
      <c r="S33" s="11" cm="1">
        <f t="array" ref="S33">INDEX(Raw!K:FK, MATCH(S$4, Raw!$A:$A, 0), MATCH(1, (Raw!$B$1:$FB$1=$I33)*(Raw!$B$2:$FB$2=$H33), 0))</f>
        <v>378000000</v>
      </c>
      <c r="T33" s="11" cm="1">
        <f t="array" ref="T33">INDEX(Raw!L:FL, MATCH(T$4, Raw!$A:$A, 0), MATCH(1, (Raw!$B$1:$FB$1=$I33)*(Raw!$B$2:$FB$2=$H33), 0))</f>
        <v>3460000000</v>
      </c>
      <c r="U33" s="11" cm="1">
        <f t="array" ref="U33">INDEX(Raw!M:FM, MATCH(U$4, Raw!$A:$A, 0), MATCH(1, (Raw!$B$1:$FB$1=$I33)*(Raw!$B$2:$FB$2=$H33), 0))</f>
        <v>0</v>
      </c>
      <c r="V33" s="11" cm="1">
        <f t="array" ref="V33">INDEX(Raw!N:FN, MATCH(V$4, Raw!$A:$A, 0), MATCH(1, (Raw!$B$1:$FB$1=$I33)*(Raw!$B$2:$FB$2=$H33), 0))</f>
        <v>1236000000</v>
      </c>
      <c r="W33" s="11" cm="1">
        <f t="array" ref="W33">INDEX(Raw!O:FO, MATCH(W$4, Raw!$A:$A, 0), MATCH(1, (Raw!$B$1:$FB$1=$I33)*(Raw!$B$2:$FB$2=$H33), 0))</f>
        <v>0</v>
      </c>
      <c r="X33" s="11" cm="1">
        <f t="array" ref="X33">INDEX(Raw!P:FP, MATCH(X$4, Raw!$A:$A, 0), MATCH(1, (Raw!$B$1:$FB$1=$I33)*(Raw!$B$2:$FB$2=$H33), 0))</f>
        <v>3108000000</v>
      </c>
      <c r="Y33" s="11" cm="1">
        <f t="array" ref="Y33">INDEX(Raw!Q:FQ, MATCH(Y$4, Raw!$A:$A, 0), MATCH(1, (Raw!$B$1:$FB$1=$I33)*(Raw!$B$2:$FB$2=$H33), 0))</f>
        <v>0</v>
      </c>
      <c r="Z33" s="11" cm="1">
        <f t="array" ref="Z33">INDEX(Raw!R:FR, MATCH(Z$4, Raw!$A:$A, 0), MATCH(1, (Raw!$B$1:$FB$1=$I33)*(Raw!$B$2:$FB$2=$H33), 0))</f>
        <v>0</v>
      </c>
      <c r="AA33" s="11" cm="1">
        <f t="array" ref="AA33">INDEX(Raw!S:FS, MATCH(AA$4, Raw!$A:$A, 0), MATCH(1, (Raw!$B$1:$FB$1=$I33)*(Raw!$B$2:$FB$2=$H33), 0))</f>
        <v>0</v>
      </c>
      <c r="AB33" s="11" cm="1">
        <f t="array" ref="AB33">INDEX(Raw!T:FT, MATCH(AB$4, Raw!$A:$A, 0), MATCH(1, (Raw!$B$1:$FB$1=$I33)*(Raw!$B$2:$FB$2=$H33), 0))</f>
        <v>0</v>
      </c>
      <c r="AC33" s="11" cm="1">
        <f t="array" ref="AC33">INDEX(Raw!U:FU, MATCH(AC$4, Raw!$A:$A, 0), MATCH(1, (Raw!$B$1:$FB$1=$I33)*(Raw!$B$2:$FB$2=$H33), 0))</f>
        <v>0.37</v>
      </c>
      <c r="AD33" s="11" cm="1">
        <f t="array" ref="AD33">INDEX(Raw!V:FV, MATCH(AD$4, Raw!$A:$A, 0), MATCH(1, (Raw!$B$1:$FB$1=$I33)*(Raw!$B$2:$FB$2=$H33), 0))</f>
        <v>0.38</v>
      </c>
    </row>
    <row r="34" spans="6:30" x14ac:dyDescent="0.25">
      <c r="F34" s="11" t="s">
        <v>28</v>
      </c>
      <c r="G34" s="15">
        <f t="shared" ca="1" si="0"/>
        <v>46088</v>
      </c>
      <c r="H34" s="11">
        <f>H33</f>
        <v>2018</v>
      </c>
      <c r="I34" s="11" t="s">
        <v>22</v>
      </c>
      <c r="J34" s="11" cm="1">
        <f t="array" ref="J34">INDEX(Raw!B:FB, MATCH(J$4, Raw!$A:$A, 0), MATCH(1, (Raw!$B$1:$FB$1=$I34)*(Raw!$B$2:$FB$2=$H34), 0))</f>
        <v>8775000000</v>
      </c>
      <c r="K34" s="11" cm="1">
        <f t="array" ref="K34">INDEX(Raw!C:FC, MATCH(K$4, Raw!$A:$A, 0), MATCH(1, (Raw!$B$1:$FB$1=$I34)*(Raw!$B$2:$FB$2=$H34), 0))</f>
        <v>3543000000</v>
      </c>
      <c r="L34" s="11" cm="1">
        <f t="array" ref="L34">INDEX(Raw!D:FD, MATCH(L$4, Raw!$A:$A, 0), MATCH(1, (Raw!$B$1:$FB$1=$I34)*(Raw!$B$2:$FB$2=$H34), 0))</f>
        <v>4888000000</v>
      </c>
      <c r="M34" s="11" cm="1">
        <f t="array" ref="M34">INDEX(Raw!E:FE, MATCH(M$4, Raw!$A:$A, 0), MATCH(1, (Raw!$B$1:$FB$1=$I34)*(Raw!$B$2:$FB$2=$H34), 0))</f>
        <v>3057000000</v>
      </c>
      <c r="N34" s="11" cm="1">
        <f t="array" ref="N34">INDEX(Raw!F:FF, MATCH(N$4, Raw!$A:$A, 0), MATCH(1, (Raw!$B$1:$FB$1=$I34)*(Raw!$B$2:$FB$2=$H34), 0))</f>
        <v>-194000000</v>
      </c>
      <c r="O34" s="11" cm="1">
        <f t="array" ref="O34">INDEX(Raw!G:FG, MATCH(O$4, Raw!$A:$A, 0), MATCH(1, (Raw!$B$1:$FB$1=$I34)*(Raw!$B$2:$FB$2=$H34), 0))</f>
        <v>4006000000</v>
      </c>
      <c r="P34" s="11" cm="1">
        <f t="array" ref="P34">INDEX(Raw!H:FH, MATCH(P$4, Raw!$A:$A, 0), MATCH(1, (Raw!$B$1:$FB$1=$I34)*(Raw!$B$2:$FB$2=$H34), 0))</f>
        <v>1963000000</v>
      </c>
      <c r="Q34" s="11" cm="1">
        <f t="array" ref="Q34">INDEX(Raw!I:FI, MATCH(Q$4, Raw!$A:$A, 0), MATCH(1, (Raw!$B$1:$FB$1=$I34)*(Raw!$B$2:$FB$2=$H34), 0))</f>
        <v>-871000000</v>
      </c>
      <c r="R34" s="11" cm="1">
        <f t="array" ref="R34">INDEX(Raw!J:FJ, MATCH(R$4, Raw!$A:$A, 0), MATCH(1, (Raw!$B$1:$FB$1=$I34)*(Raw!$B$2:$FB$2=$H34), 0))</f>
        <v>1428000000</v>
      </c>
      <c r="S34" s="11" cm="1">
        <f t="array" ref="S34">INDEX(Raw!K:FK, MATCH(S$4, Raw!$A:$A, 0), MATCH(1, (Raw!$B$1:$FB$1=$I34)*(Raw!$B$2:$FB$2=$H34), 0))</f>
        <v>839000000</v>
      </c>
      <c r="T34" s="11" cm="1">
        <f t="array" ref="T34">INDEX(Raw!L:FL, MATCH(T$4, Raw!$A:$A, 0), MATCH(1, (Raw!$B$1:$FB$1=$I34)*(Raw!$B$2:$FB$2=$H34), 0))</f>
        <v>1493000000</v>
      </c>
      <c r="U34" s="11" cm="1">
        <f t="array" ref="U34">INDEX(Raw!M:FM, MATCH(U$4, Raw!$A:$A, 0), MATCH(1, (Raw!$B$1:$FB$1=$I34)*(Raw!$B$2:$FB$2=$H34), 0))</f>
        <v>0</v>
      </c>
      <c r="V34" s="11" cm="1">
        <f t="array" ref="V34">INDEX(Raw!N:FN, MATCH(V$4, Raw!$A:$A, 0), MATCH(1, (Raw!$B$1:$FB$1=$I34)*(Raw!$B$2:$FB$2=$H34), 0))</f>
        <v>1453000000</v>
      </c>
      <c r="W34" s="11" cm="1">
        <f t="array" ref="W34">INDEX(Raw!O:FO, MATCH(W$4, Raw!$A:$A, 0), MATCH(1, (Raw!$B$1:$FB$1=$I34)*(Raw!$B$2:$FB$2=$H34), 0))</f>
        <v>0</v>
      </c>
      <c r="X34" s="11" cm="1">
        <f t="array" ref="X34">INDEX(Raw!P:FP, MATCH(X$4, Raw!$A:$A, 0), MATCH(1, (Raw!$B$1:$FB$1=$I34)*(Raw!$B$2:$FB$2=$H34), 0))</f>
        <v>1557000000</v>
      </c>
      <c r="Y34" s="11" cm="1">
        <f t="array" ref="Y34">INDEX(Raw!Q:FQ, MATCH(Y$4, Raw!$A:$A, 0), MATCH(1, (Raw!$B$1:$FB$1=$I34)*(Raw!$B$2:$FB$2=$H34), 0))</f>
        <v>0</v>
      </c>
      <c r="Z34" s="11" cm="1">
        <f t="array" ref="Z34">INDEX(Raw!R:FR, MATCH(Z$4, Raw!$A:$A, 0), MATCH(1, (Raw!$B$1:$FB$1=$I34)*(Raw!$B$2:$FB$2=$H34), 0))</f>
        <v>0</v>
      </c>
      <c r="AA34" s="11" cm="1">
        <f t="array" ref="AA34">INDEX(Raw!S:FS, MATCH(AA$4, Raw!$A:$A, 0), MATCH(1, (Raw!$B$1:$FB$1=$I34)*(Raw!$B$2:$FB$2=$H34), 0))</f>
        <v>0</v>
      </c>
      <c r="AB34" s="11" cm="1">
        <f t="array" ref="AB34">INDEX(Raw!T:FT, MATCH(AB$4, Raw!$A:$A, 0), MATCH(1, (Raw!$B$1:$FB$1=$I34)*(Raw!$B$2:$FB$2=$H34), 0))</f>
        <v>0</v>
      </c>
      <c r="AC34" s="11" cm="1">
        <f t="array" ref="AC34">INDEX(Raw!U:FU, MATCH(AC$4, Raw!$A:$A, 0), MATCH(1, (Raw!$B$1:$FB$1=$I34)*(Raw!$B$2:$FB$2=$H34), 0))</f>
        <v>0.4</v>
      </c>
      <c r="AD34" s="11" cm="1">
        <f t="array" ref="AD34">INDEX(Raw!V:FV, MATCH(AD$4, Raw!$A:$A, 0), MATCH(1, (Raw!$B$1:$FB$1=$I34)*(Raw!$B$2:$FB$2=$H34), 0))</f>
        <v>0.54</v>
      </c>
    </row>
    <row r="35" spans="6:30" x14ac:dyDescent="0.25">
      <c r="F35" s="11" t="s">
        <v>28</v>
      </c>
      <c r="G35" s="15">
        <f t="shared" ca="1" si="0"/>
        <v>46088</v>
      </c>
      <c r="H35" s="11">
        <f>H34</f>
        <v>2018</v>
      </c>
      <c r="I35" s="11" t="s">
        <v>23</v>
      </c>
      <c r="J35" s="11" cm="1">
        <f t="array" ref="J35">INDEX(Raw!B:FB, MATCH(J$4, Raw!$A:$A, 0), MATCH(1, (Raw!$B$1:$FB$1=$I35)*(Raw!$B$2:$FB$2=$H35), 0))</f>
        <v>9421000000</v>
      </c>
      <c r="K35" s="11" cm="1">
        <f t="array" ref="K35">INDEX(Raw!C:FC, MATCH(K$4, Raw!$A:$A, 0), MATCH(1, (Raw!$B$1:$FB$1=$I35)*(Raw!$B$2:$FB$2=$H35), 0))</f>
        <v>2738000000</v>
      </c>
      <c r="L35" s="11" cm="1">
        <f t="array" ref="L35">INDEX(Raw!D:FD, MATCH(L$4, Raw!$A:$A, 0), MATCH(1, (Raw!$B$1:$FB$1=$I35)*(Raw!$B$2:$FB$2=$H35), 0))</f>
        <v>5159000000</v>
      </c>
      <c r="M35" s="11" cm="1">
        <f t="array" ref="M35">INDEX(Raw!E:FE, MATCH(M$4, Raw!$A:$A, 0), MATCH(1, (Raw!$B$1:$FB$1=$I35)*(Raw!$B$2:$FB$2=$H35), 0))</f>
        <v>3245000000</v>
      </c>
      <c r="N35" s="11" cm="1">
        <f t="array" ref="N35">INDEX(Raw!F:FF, MATCH(N$4, Raw!$A:$A, 0), MATCH(1, (Raw!$B$1:$FB$1=$I35)*(Raw!$B$2:$FB$2=$H35), 0))</f>
        <v>-826000000</v>
      </c>
      <c r="O35" s="11" cm="1">
        <f t="array" ref="O35">INDEX(Raw!G:FG, MATCH(O$4, Raw!$A:$A, 0), MATCH(1, (Raw!$B$1:$FB$1=$I35)*(Raw!$B$2:$FB$2=$H35), 0))</f>
        <v>3642000000</v>
      </c>
      <c r="P35" s="11" cm="1">
        <f t="array" ref="P35">INDEX(Raw!H:FH, MATCH(P$4, Raw!$A:$A, 0), MATCH(1, (Raw!$B$1:$FB$1=$I35)*(Raw!$B$2:$FB$2=$H35), 0))</f>
        <v>1386000000</v>
      </c>
      <c r="Q35" s="11" cm="1">
        <f t="array" ref="Q35">INDEX(Raw!I:FI, MATCH(Q$4, Raw!$A:$A, 0), MATCH(1, (Raw!$B$1:$FB$1=$I35)*(Raw!$B$2:$FB$2=$H35), 0))</f>
        <v>-843000000</v>
      </c>
      <c r="R35" s="11" cm="1">
        <f t="array" ref="R35">INDEX(Raw!J:FJ, MATCH(R$4, Raw!$A:$A, 0), MATCH(1, (Raw!$B$1:$FB$1=$I35)*(Raw!$B$2:$FB$2=$H35), 0))</f>
        <v>4299000000</v>
      </c>
      <c r="S35" s="11" cm="1">
        <f t="array" ref="S35">INDEX(Raw!K:FK, MATCH(S$4, Raw!$A:$A, 0), MATCH(1, (Raw!$B$1:$FB$1=$I35)*(Raw!$B$2:$FB$2=$H35), 0))</f>
        <v>401000000</v>
      </c>
      <c r="T35" s="11" cm="1">
        <f t="array" ref="T35">INDEX(Raw!L:FL, MATCH(T$4, Raw!$A:$A, 0), MATCH(1, (Raw!$B$1:$FB$1=$I35)*(Raw!$B$2:$FB$2=$H35), 0))</f>
        <v>1236000000</v>
      </c>
      <c r="U35" s="11" cm="1">
        <f t="array" ref="U35">INDEX(Raw!M:FM, MATCH(U$4, Raw!$A:$A, 0), MATCH(1, (Raw!$B$1:$FB$1=$I35)*(Raw!$B$2:$FB$2=$H35), 0))</f>
        <v>0</v>
      </c>
      <c r="V35" s="11" cm="1">
        <f t="array" ref="V35">INDEX(Raw!N:FN, MATCH(V$4, Raw!$A:$A, 0), MATCH(1, (Raw!$B$1:$FB$1=$I35)*(Raw!$B$2:$FB$2=$H35), 0))</f>
        <v>3111000000</v>
      </c>
      <c r="W35" s="11" cm="1">
        <f t="array" ref="W35">INDEX(Raw!O:FO, MATCH(W$4, Raw!$A:$A, 0), MATCH(1, (Raw!$B$1:$FB$1=$I35)*(Raw!$B$2:$FB$2=$H35), 0))</f>
        <v>0</v>
      </c>
      <c r="X35" s="11" cm="1">
        <f t="array" ref="X35">INDEX(Raw!P:FP, MATCH(X$4, Raw!$A:$A, 0), MATCH(1, (Raw!$B$1:$FB$1=$I35)*(Raw!$B$2:$FB$2=$H35), 0))</f>
        <v>770000000</v>
      </c>
      <c r="Y35" s="11" cm="1">
        <f t="array" ref="Y35">INDEX(Raw!Q:FQ, MATCH(Y$4, Raw!$A:$A, 0), MATCH(1, (Raw!$B$1:$FB$1=$I35)*(Raw!$B$2:$FB$2=$H35), 0))</f>
        <v>0</v>
      </c>
      <c r="Z35" s="11" cm="1">
        <f t="array" ref="Z35">INDEX(Raw!R:FR, MATCH(Z$4, Raw!$A:$A, 0), MATCH(1, (Raw!$B$1:$FB$1=$I35)*(Raw!$B$2:$FB$2=$H35), 0))</f>
        <v>0</v>
      </c>
      <c r="AA35" s="11" cm="1">
        <f t="array" ref="AA35">INDEX(Raw!S:FS, MATCH(AA$4, Raw!$A:$A, 0), MATCH(1, (Raw!$B$1:$FB$1=$I35)*(Raw!$B$2:$FB$2=$H35), 0))</f>
        <v>0</v>
      </c>
      <c r="AB35" s="11" cm="1">
        <f t="array" ref="AB35">INDEX(Raw!T:FT, MATCH(AB$4, Raw!$A:$A, 0), MATCH(1, (Raw!$B$1:$FB$1=$I35)*(Raw!$B$2:$FB$2=$H35), 0))</f>
        <v>0</v>
      </c>
      <c r="AC35" s="11" cm="1">
        <f t="array" ref="AC35">INDEX(Raw!U:FU, MATCH(AC$4, Raw!$A:$A, 0), MATCH(1, (Raw!$B$1:$FB$1=$I35)*(Raw!$B$2:$FB$2=$H35), 0))</f>
        <v>0.55000000000000004</v>
      </c>
      <c r="AD35" s="11" cm="1">
        <f t="array" ref="AD35">INDEX(Raw!V:FV, MATCH(AD$4, Raw!$A:$A, 0), MATCH(1, (Raw!$B$1:$FB$1=$I35)*(Raw!$B$2:$FB$2=$H35), 0))</f>
        <v>0.59</v>
      </c>
    </row>
    <row r="36" spans="6:30" x14ac:dyDescent="0.25">
      <c r="F36" s="11" t="s">
        <v>28</v>
      </c>
      <c r="G36" s="15">
        <f t="shared" ca="1" si="0"/>
        <v>46088</v>
      </c>
      <c r="H36" s="11">
        <f>H35</f>
        <v>2018</v>
      </c>
      <c r="I36" s="11" t="s">
        <v>24</v>
      </c>
      <c r="J36" s="11" cm="1">
        <f t="array" ref="J36">INDEX(Raw!B:FB, MATCH(J$4, Raw!$A:$A, 0), MATCH(1, (Raw!$B$1:$FB$1=$I36)*(Raw!$B$2:$FB$2=$H36), 0))</f>
        <v>7626000000</v>
      </c>
      <c r="K36" s="11" cm="1">
        <f t="array" ref="K36">INDEX(Raw!C:FC, MATCH(K$4, Raw!$A:$A, 0), MATCH(1, (Raw!$B$1:$FB$1=$I36)*(Raw!$B$2:$FB$2=$H36), 0))</f>
        <v>3155000000</v>
      </c>
      <c r="L36" s="11" cm="1">
        <f t="array" ref="L36">INDEX(Raw!D:FD, MATCH(L$4, Raw!$A:$A, 0), MATCH(1, (Raw!$B$1:$FB$1=$I36)*(Raw!$B$2:$FB$2=$H36), 0))</f>
        <v>5684000000</v>
      </c>
      <c r="M36" s="11" cm="1">
        <f t="array" ref="M36">INDEX(Raw!E:FE, MATCH(M$4, Raw!$A:$A, 0), MATCH(1, (Raw!$B$1:$FB$1=$I36)*(Raw!$B$2:$FB$2=$H36), 0))</f>
        <v>3180000000</v>
      </c>
      <c r="N36" s="11" cm="1">
        <f t="array" ref="N36">INDEX(Raw!F:FF, MATCH(N$4, Raw!$A:$A, 0), MATCH(1, (Raw!$B$1:$FB$1=$I36)*(Raw!$B$2:$FB$2=$H36), 0))</f>
        <v>-290000000</v>
      </c>
      <c r="O36" s="11" cm="1">
        <f t="array" ref="O36">INDEX(Raw!G:FG, MATCH(O$4, Raw!$A:$A, 0), MATCH(1, (Raw!$B$1:$FB$1=$I36)*(Raw!$B$2:$FB$2=$H36), 0))</f>
        <v>4229000000</v>
      </c>
      <c r="P36" s="11" cm="1">
        <f t="array" ref="P36">INDEX(Raw!H:FH, MATCH(P$4, Raw!$A:$A, 0), MATCH(1, (Raw!$B$1:$FB$1=$I36)*(Raw!$B$2:$FB$2=$H36), 0))</f>
        <v>2271000000</v>
      </c>
      <c r="Q36" s="11" cm="1">
        <f t="array" ref="Q36">INDEX(Raw!I:FI, MATCH(Q$4, Raw!$A:$A, 0), MATCH(1, (Raw!$B$1:$FB$1=$I36)*(Raw!$B$2:$FB$2=$H36), 0))</f>
        <v>1440000000</v>
      </c>
      <c r="R36" s="11" cm="1">
        <f t="array" ref="R36">INDEX(Raw!J:FJ, MATCH(R$4, Raw!$A:$A, 0), MATCH(1, (Raw!$B$1:$FB$1=$I36)*(Raw!$B$2:$FB$2=$H36), 0))</f>
        <v>1894000000</v>
      </c>
      <c r="S36" s="11" cm="1">
        <f t="array" ref="S36">INDEX(Raw!K:FK, MATCH(S$4, Raw!$A:$A, 0), MATCH(1, (Raw!$B$1:$FB$1=$I36)*(Raw!$B$2:$FB$2=$H36), 0))</f>
        <v>302000000</v>
      </c>
      <c r="T36" s="11" cm="1">
        <f t="array" ref="T36">INDEX(Raw!L:FL, MATCH(T$4, Raw!$A:$A, 0), MATCH(1, (Raw!$B$1:$FB$1=$I36)*(Raw!$B$2:$FB$2=$H36), 0))</f>
        <v>1453000000</v>
      </c>
      <c r="U36" s="11" cm="1">
        <f t="array" ref="U36">INDEX(Raw!M:FM, MATCH(U$4, Raw!$A:$A, 0), MATCH(1, (Raw!$B$1:$FB$1=$I36)*(Raw!$B$2:$FB$2=$H36), 0))</f>
        <v>0</v>
      </c>
      <c r="V36" s="11" cm="1">
        <f t="array" ref="V36">INDEX(Raw!N:FN, MATCH(V$4, Raw!$A:$A, 0), MATCH(1, (Raw!$B$1:$FB$1=$I36)*(Raw!$B$2:$FB$2=$H36), 0))</f>
        <v>1566000000</v>
      </c>
      <c r="W36" s="11" cm="1">
        <f t="array" ref="W36">INDEX(Raw!O:FO, MATCH(W$4, Raw!$A:$A, 0), MATCH(1, (Raw!$B$1:$FB$1=$I36)*(Raw!$B$2:$FB$2=$H36), 0))</f>
        <v>0</v>
      </c>
      <c r="X36" s="11" cm="1">
        <f t="array" ref="X36">INDEX(Raw!P:FP, MATCH(X$4, Raw!$A:$A, 0), MATCH(1, (Raw!$B$1:$FB$1=$I36)*(Raw!$B$2:$FB$2=$H36), 0))</f>
        <v>2114000000</v>
      </c>
      <c r="Y36" s="11" cm="1">
        <f t="array" ref="Y36">INDEX(Raw!Q:FQ, MATCH(Y$4, Raw!$A:$A, 0), MATCH(1, (Raw!$B$1:$FB$1=$I36)*(Raw!$B$2:$FB$2=$H36), 0))</f>
        <v>0</v>
      </c>
      <c r="Z36" s="11" cm="1">
        <f t="array" ref="Z36">INDEX(Raw!R:FR, MATCH(Z$4, Raw!$A:$A, 0), MATCH(1, (Raw!$B$1:$FB$1=$I36)*(Raw!$B$2:$FB$2=$H36), 0))</f>
        <v>0</v>
      </c>
      <c r="AA36" s="11" cm="1">
        <f t="array" ref="AA36">INDEX(Raw!S:FS, MATCH(AA$4, Raw!$A:$A, 0), MATCH(1, (Raw!$B$1:$FB$1=$I36)*(Raw!$B$2:$FB$2=$H36), 0))</f>
        <v>0</v>
      </c>
      <c r="AB36" s="11" cm="1">
        <f t="array" ref="AB36">INDEX(Raw!T:FT, MATCH(AB$4, Raw!$A:$A, 0), MATCH(1, (Raw!$B$1:$FB$1=$I36)*(Raw!$B$2:$FB$2=$H36), 0))</f>
        <v>0</v>
      </c>
      <c r="AC36" s="11" cm="1">
        <f t="array" ref="AC36">INDEX(Raw!U:FU, MATCH(AC$4, Raw!$A:$A, 0), MATCH(1, (Raw!$B$1:$FB$1=$I36)*(Raw!$B$2:$FB$2=$H36), 0))</f>
        <v>0.6</v>
      </c>
      <c r="AD36" s="11" cm="1">
        <f t="array" ref="AD36">INDEX(Raw!V:FV, MATCH(AD$4, Raw!$A:$A, 0), MATCH(1, (Raw!$B$1:$FB$1=$I36)*(Raw!$B$2:$FB$2=$H36), 0))</f>
        <v>0.39</v>
      </c>
    </row>
    <row r="37" spans="6:30" x14ac:dyDescent="0.25">
      <c r="F37" s="11" t="s">
        <v>28</v>
      </c>
      <c r="G37" s="15">
        <f t="shared" ref="G37:G68" ca="1" si="1">TODAY()</f>
        <v>46088</v>
      </c>
      <c r="H37" s="11">
        <f>H33-1</f>
        <v>2017</v>
      </c>
      <c r="I37" s="11" t="s">
        <v>21</v>
      </c>
      <c r="J37" s="11" cm="1">
        <f t="array" ref="J37">INDEX(Raw!B:FB, MATCH(J$4, Raw!$A:$A, 0), MATCH(1, (Raw!$B$1:$FB$1=$I37)*(Raw!$B$2:$FB$2=$H37), 0))</f>
        <v>8314000000</v>
      </c>
      <c r="K37" s="11" cm="1">
        <f t="array" ref="K37">INDEX(Raw!C:FC, MATCH(K$4, Raw!$A:$A, 0), MATCH(1, (Raw!$B$1:$FB$1=$I37)*(Raw!$B$2:$FB$2=$H37), 0))</f>
        <v>3394000000</v>
      </c>
      <c r="L37" s="11" cm="1">
        <f t="array" ref="L37">INDEX(Raw!D:FD, MATCH(L$4, Raw!$A:$A, 0), MATCH(1, (Raw!$B$1:$FB$1=$I37)*(Raw!$B$2:$FB$2=$H37), 0))</f>
        <v>6043000000</v>
      </c>
      <c r="M37" s="11" cm="1">
        <f t="array" ref="M37">INDEX(Raw!E:FE, MATCH(M$4, Raw!$A:$A, 0), MATCH(1, (Raw!$B$1:$FB$1=$I37)*(Raw!$B$2:$FB$2=$H37), 0))</f>
        <v>3352000000</v>
      </c>
      <c r="N37" s="11" cm="1">
        <f t="array" ref="N37">INDEX(Raw!F:FF, MATCH(N$4, Raw!$A:$A, 0), MATCH(1, (Raw!$B$1:$FB$1=$I37)*(Raw!$B$2:$FB$2=$H37), 0))</f>
        <v>-541000000</v>
      </c>
      <c r="O37" s="11" cm="1">
        <f t="array" ref="O37">INDEX(Raw!G:FG, MATCH(O$4, Raw!$A:$A, 0), MATCH(1, (Raw!$B$1:$FB$1=$I37)*(Raw!$B$2:$FB$2=$H37), 0))</f>
        <v>4231000000</v>
      </c>
      <c r="P37" s="11" cm="1">
        <f t="array" ref="P37">INDEX(Raw!H:FH, MATCH(P$4, Raw!$A:$A, 0), MATCH(1, (Raw!$B$1:$FB$1=$I37)*(Raw!$B$2:$FB$2=$H37), 0))</f>
        <v>2859000000</v>
      </c>
      <c r="Q37" s="11" cm="1">
        <f t="array" ref="Q37">INDEX(Raw!I:FI, MATCH(Q$4, Raw!$A:$A, 0), MATCH(1, (Raw!$B$1:$FB$1=$I37)*(Raw!$B$2:$FB$2=$H37), 0))</f>
        <v>-247000000</v>
      </c>
      <c r="R37" s="11" cm="1">
        <f t="array" ref="R37">INDEX(Raw!J:FJ, MATCH(R$4, Raw!$A:$A, 0), MATCH(1, (Raw!$B$1:$FB$1=$I37)*(Raw!$B$2:$FB$2=$H37), 0))</f>
        <v>1538000000</v>
      </c>
      <c r="S37" s="11" cm="1">
        <f t="array" ref="S37">INDEX(Raw!K:FK, MATCH(S$4, Raw!$A:$A, 0), MATCH(1, (Raw!$B$1:$FB$1=$I37)*(Raw!$B$2:$FB$2=$H37), 0))</f>
        <v>272000000</v>
      </c>
      <c r="T37" s="11" cm="1">
        <f t="array" ref="T37">INDEX(Raw!L:FL, MATCH(T$4, Raw!$A:$A, 0), MATCH(1, (Raw!$B$1:$FB$1=$I37)*(Raw!$B$2:$FB$2=$H37), 0))</f>
        <v>3111000000</v>
      </c>
      <c r="U37" s="11" cm="1">
        <f t="array" ref="U37">INDEX(Raw!M:FM, MATCH(U$4, Raw!$A:$A, 0), MATCH(1, (Raw!$B$1:$FB$1=$I37)*(Raw!$B$2:$FB$2=$H37), 0))</f>
        <v>0</v>
      </c>
      <c r="V37" s="11" cm="1">
        <f t="array" ref="V37">INDEX(Raw!N:FN, MATCH(V$4, Raw!$A:$A, 0), MATCH(1, (Raw!$B$1:$FB$1=$I37)*(Raw!$B$2:$FB$2=$H37), 0))</f>
        <v>771000000</v>
      </c>
      <c r="W37" s="11" cm="1">
        <f t="array" ref="W37">INDEX(Raw!O:FO, MATCH(W$4, Raw!$A:$A, 0), MATCH(1, (Raw!$B$1:$FB$1=$I37)*(Raw!$B$2:$FB$2=$H37), 0))</f>
        <v>0</v>
      </c>
      <c r="X37" s="11" cm="1">
        <f t="array" ref="X37">INDEX(Raw!P:FP, MATCH(X$4, Raw!$A:$A, 0), MATCH(1, (Raw!$B$1:$FB$1=$I37)*(Raw!$B$2:$FB$2=$H37), 0))</f>
        <v>2595000000</v>
      </c>
      <c r="Y37" s="11" cm="1">
        <f t="array" ref="Y37">INDEX(Raw!Q:FQ, MATCH(Y$4, Raw!$A:$A, 0), MATCH(1, (Raw!$B$1:$FB$1=$I37)*(Raw!$B$2:$FB$2=$H37), 0))</f>
        <v>0</v>
      </c>
      <c r="Z37" s="11" cm="1">
        <f t="array" ref="Z37">INDEX(Raw!R:FR, MATCH(Z$4, Raw!$A:$A, 0), MATCH(1, (Raw!$B$1:$FB$1=$I37)*(Raw!$B$2:$FB$2=$H37), 0))</f>
        <v>0</v>
      </c>
      <c r="AA37" s="11" cm="1">
        <f t="array" ref="AA37">INDEX(Raw!S:FS, MATCH(AA$4, Raw!$A:$A, 0), MATCH(1, (Raw!$B$1:$FB$1=$I37)*(Raw!$B$2:$FB$2=$H37), 0))</f>
        <v>0</v>
      </c>
      <c r="AB37" s="11" cm="1">
        <f t="array" ref="AB37">INDEX(Raw!T:FT, MATCH(AB$4, Raw!$A:$A, 0), MATCH(1, (Raw!$B$1:$FB$1=$I37)*(Raw!$B$2:$FB$2=$H37), 0))</f>
        <v>0</v>
      </c>
      <c r="AC37" s="11" cm="1">
        <f t="array" ref="AC37">INDEX(Raw!U:FU, MATCH(AC$4, Raw!$A:$A, 0), MATCH(1, (Raw!$B$1:$FB$1=$I37)*(Raw!$B$2:$FB$2=$H37), 0))</f>
        <v>0.39</v>
      </c>
      <c r="AD37" s="11" cm="1">
        <f t="array" ref="AD37">INDEX(Raw!V:FV, MATCH(AD$4, Raw!$A:$A, 0), MATCH(1, (Raw!$B$1:$FB$1=$I37)*(Raw!$B$2:$FB$2=$H37), 0))</f>
        <v>0.41</v>
      </c>
    </row>
    <row r="38" spans="6:30" x14ac:dyDescent="0.25">
      <c r="F38" s="11" t="s">
        <v>28</v>
      </c>
      <c r="G38" s="15">
        <f t="shared" ca="1" si="1"/>
        <v>46088</v>
      </c>
      <c r="H38" s="11">
        <f>H37</f>
        <v>2017</v>
      </c>
      <c r="I38" s="11" t="s">
        <v>22</v>
      </c>
      <c r="J38" s="11" cm="1">
        <f t="array" ref="J38">INDEX(Raw!B:FB, MATCH(J$4, Raw!$A:$A, 0), MATCH(1, (Raw!$B$1:$FB$1=$I38)*(Raw!$B$2:$FB$2=$H38), 0))</f>
        <v>9078000000</v>
      </c>
      <c r="K38" s="11" cm="1">
        <f t="array" ref="K38">INDEX(Raw!C:FC, MATCH(K$4, Raw!$A:$A, 0), MATCH(1, (Raw!$B$1:$FB$1=$I38)*(Raw!$B$2:$FB$2=$H38), 0))</f>
        <v>3659000000</v>
      </c>
      <c r="L38" s="11" cm="1">
        <f t="array" ref="L38">INDEX(Raw!D:FD, MATCH(L$4, Raw!$A:$A, 0), MATCH(1, (Raw!$B$1:$FB$1=$I38)*(Raw!$B$2:$FB$2=$H38), 0))</f>
        <v>5605000000</v>
      </c>
      <c r="M38" s="11" cm="1">
        <f t="array" ref="M38">INDEX(Raw!E:FE, MATCH(M$4, Raw!$A:$A, 0), MATCH(1, (Raw!$B$1:$FB$1=$I38)*(Raw!$B$2:$FB$2=$H38), 0))</f>
        <v>3688000000</v>
      </c>
      <c r="N38" s="11" cm="1">
        <f t="array" ref="N38">INDEX(Raw!F:FF, MATCH(N$4, Raw!$A:$A, 0), MATCH(1, (Raw!$B$1:$FB$1=$I38)*(Raw!$B$2:$FB$2=$H38), 0))</f>
        <v>-222000000</v>
      </c>
      <c r="O38" s="11" cm="1">
        <f t="array" ref="O38">INDEX(Raw!G:FG, MATCH(O$4, Raw!$A:$A, 0), MATCH(1, (Raw!$B$1:$FB$1=$I38)*(Raw!$B$2:$FB$2=$H38), 0))</f>
        <v>4209000000</v>
      </c>
      <c r="P38" s="11" cm="1">
        <f t="array" ref="P38">INDEX(Raw!H:FH, MATCH(P$4, Raw!$A:$A, 0), MATCH(1, (Raw!$B$1:$FB$1=$I38)*(Raw!$B$2:$FB$2=$H38), 0))</f>
        <v>2141000000</v>
      </c>
      <c r="Q38" s="11" cm="1">
        <f t="array" ref="Q38">INDEX(Raw!I:FI, MATCH(Q$4, Raw!$A:$A, 0), MATCH(1, (Raw!$B$1:$FB$1=$I38)*(Raw!$B$2:$FB$2=$H38), 0))</f>
        <v>20000000</v>
      </c>
      <c r="R38" s="11" cm="1">
        <f t="array" ref="R38">INDEX(Raw!J:FJ, MATCH(R$4, Raw!$A:$A, 0), MATCH(1, (Raw!$B$1:$FB$1=$I38)*(Raw!$B$2:$FB$2=$H38), 0))</f>
        <v>1725000000</v>
      </c>
      <c r="S38" s="11" cm="1">
        <f t="array" ref="S38">INDEX(Raw!K:FK, MATCH(S$4, Raw!$A:$A, 0), MATCH(1, (Raw!$B$1:$FB$1=$I38)*(Raw!$B$2:$FB$2=$H38), 0))</f>
        <v>1250000000</v>
      </c>
      <c r="T38" s="11" cm="1">
        <f t="array" ref="T38">INDEX(Raw!L:FL, MATCH(T$4, Raw!$A:$A, 0), MATCH(1, (Raw!$B$1:$FB$1=$I38)*(Raw!$B$2:$FB$2=$H38), 0))</f>
        <v>1566000000</v>
      </c>
      <c r="U38" s="11" cm="1">
        <f t="array" ref="U38">INDEX(Raw!M:FM, MATCH(U$4, Raw!$A:$A, 0), MATCH(1, (Raw!$B$1:$FB$1=$I38)*(Raw!$B$2:$FB$2=$H38), 0))</f>
        <v>0</v>
      </c>
      <c r="V38" s="11" cm="1">
        <f t="array" ref="V38">INDEX(Raw!N:FN, MATCH(V$4, Raw!$A:$A, 0), MATCH(1, (Raw!$B$1:$FB$1=$I38)*(Raw!$B$2:$FB$2=$H38), 0))</f>
        <v>2122000000</v>
      </c>
      <c r="W38" s="11" cm="1">
        <f t="array" ref="W38">INDEX(Raw!O:FO, MATCH(W$4, Raw!$A:$A, 0), MATCH(1, (Raw!$B$1:$FB$1=$I38)*(Raw!$B$2:$FB$2=$H38), 0))</f>
        <v>0</v>
      </c>
      <c r="X38" s="11" cm="1">
        <f t="array" ref="X38">INDEX(Raw!P:FP, MATCH(X$4, Raw!$A:$A, 0), MATCH(1, (Raw!$B$1:$FB$1=$I38)*(Raw!$B$2:$FB$2=$H38), 0))</f>
        <v>1619000000</v>
      </c>
      <c r="Y38" s="11" cm="1">
        <f t="array" ref="Y38">INDEX(Raw!Q:FQ, MATCH(Y$4, Raw!$A:$A, 0), MATCH(1, (Raw!$B$1:$FB$1=$I38)*(Raw!$B$2:$FB$2=$H38), 0))</f>
        <v>0</v>
      </c>
      <c r="Z38" s="11" cm="1">
        <f t="array" ref="Z38">INDEX(Raw!R:FR, MATCH(Z$4, Raw!$A:$A, 0), MATCH(1, (Raw!$B$1:$FB$1=$I38)*(Raw!$B$2:$FB$2=$H38), 0))</f>
        <v>0</v>
      </c>
      <c r="AA38" s="11" cm="1">
        <f t="array" ref="AA38">INDEX(Raw!S:FS, MATCH(AA$4, Raw!$A:$A, 0), MATCH(1, (Raw!$B$1:$FB$1=$I38)*(Raw!$B$2:$FB$2=$H38), 0))</f>
        <v>0</v>
      </c>
      <c r="AB38" s="11" cm="1">
        <f t="array" ref="AB38">INDEX(Raw!T:FT, MATCH(AB$4, Raw!$A:$A, 0), MATCH(1, (Raw!$B$1:$FB$1=$I38)*(Raw!$B$2:$FB$2=$H38), 0))</f>
        <v>0</v>
      </c>
      <c r="AC38" s="11" cm="1">
        <f t="array" ref="AC38">INDEX(Raw!U:FU, MATCH(AC$4, Raw!$A:$A, 0), MATCH(1, (Raw!$B$1:$FB$1=$I38)*(Raw!$B$2:$FB$2=$H38), 0))</f>
        <v>0.42</v>
      </c>
      <c r="AD38" s="11" cm="1">
        <f t="array" ref="AD38">INDEX(Raw!V:FV, MATCH(AD$4, Raw!$A:$A, 0), MATCH(1, (Raw!$B$1:$FB$1=$I38)*(Raw!$B$2:$FB$2=$H38), 0))</f>
        <v>0.5</v>
      </c>
    </row>
    <row r="39" spans="6:30" x14ac:dyDescent="0.25">
      <c r="F39" s="11" t="s">
        <v>28</v>
      </c>
      <c r="G39" s="15">
        <f t="shared" ca="1" si="1"/>
        <v>46088</v>
      </c>
      <c r="H39" s="11">
        <f>H38</f>
        <v>2017</v>
      </c>
      <c r="I39" s="11" t="s">
        <v>23</v>
      </c>
      <c r="J39" s="11" cm="1">
        <f t="array" ref="J39">INDEX(Raw!B:FB, MATCH(J$4, Raw!$A:$A, 0), MATCH(1, (Raw!$B$1:$FB$1=$I39)*(Raw!$B$2:$FB$2=$H39), 0))</f>
        <v>9702000000</v>
      </c>
      <c r="K39" s="11" cm="1">
        <f t="array" ref="K39">INDEX(Raw!C:FC, MATCH(K$4, Raw!$A:$A, 0), MATCH(1, (Raw!$B$1:$FB$1=$I39)*(Raw!$B$2:$FB$2=$H39), 0))</f>
        <v>3513000000</v>
      </c>
      <c r="L39" s="11" cm="1">
        <f t="array" ref="L39">INDEX(Raw!D:FD, MATCH(L$4, Raw!$A:$A, 0), MATCH(1, (Raw!$B$1:$FB$1=$I39)*(Raw!$B$2:$FB$2=$H39), 0))</f>
        <v>5615000000</v>
      </c>
      <c r="M39" s="11" cm="1">
        <f t="array" ref="M39">INDEX(Raw!E:FE, MATCH(M$4, Raw!$A:$A, 0), MATCH(1, (Raw!$B$1:$FB$1=$I39)*(Raw!$B$2:$FB$2=$H39), 0))</f>
        <v>4009000000</v>
      </c>
      <c r="N39" s="11" cm="1">
        <f t="array" ref="N39">INDEX(Raw!F:FF, MATCH(N$4, Raw!$A:$A, 0), MATCH(1, (Raw!$B$1:$FB$1=$I39)*(Raw!$B$2:$FB$2=$H39), 0))</f>
        <v>-297000000</v>
      </c>
      <c r="O39" s="11" cm="1">
        <f t="array" ref="O39">INDEX(Raw!G:FG, MATCH(O$4, Raw!$A:$A, 0), MATCH(1, (Raw!$B$1:$FB$1=$I39)*(Raw!$B$2:$FB$2=$H39), 0))</f>
        <v>4072000000</v>
      </c>
      <c r="P39" s="11" cm="1">
        <f t="array" ref="P39">INDEX(Raw!H:FH, MATCH(P$4, Raw!$A:$A, 0), MATCH(1, (Raw!$B$1:$FB$1=$I39)*(Raw!$B$2:$FB$2=$H39), 0))</f>
        <v>1518000000</v>
      </c>
      <c r="Q39" s="11" cm="1">
        <f t="array" ref="Q39">INDEX(Raw!I:FI, MATCH(Q$4, Raw!$A:$A, 0), MATCH(1, (Raw!$B$1:$FB$1=$I39)*(Raw!$B$2:$FB$2=$H39), 0))</f>
        <v>-654000000</v>
      </c>
      <c r="R39" s="11" cm="1">
        <f t="array" ref="R39">INDEX(Raw!J:FJ, MATCH(R$4, Raw!$A:$A, 0), MATCH(1, (Raw!$B$1:$FB$1=$I39)*(Raw!$B$2:$FB$2=$H39), 0))</f>
        <v>4361000000</v>
      </c>
      <c r="S39" s="11" cm="1">
        <f t="array" ref="S39">INDEX(Raw!K:FK, MATCH(S$4, Raw!$A:$A, 0), MATCH(1, (Raw!$B$1:$FB$1=$I39)*(Raw!$B$2:$FB$2=$H39), 0))</f>
        <v>415000000</v>
      </c>
      <c r="T39" s="11" cm="1">
        <f t="array" ref="T39">INDEX(Raw!L:FL, MATCH(T$4, Raw!$A:$A, 0), MATCH(1, (Raw!$B$1:$FB$1=$I39)*(Raw!$B$2:$FB$2=$H39), 0))</f>
        <v>771000000</v>
      </c>
      <c r="U39" s="11" cm="1">
        <f t="array" ref="U39">INDEX(Raw!M:FM, MATCH(U$4, Raw!$A:$A, 0), MATCH(1, (Raw!$B$1:$FB$1=$I39)*(Raw!$B$2:$FB$2=$H39), 0))</f>
        <v>0</v>
      </c>
      <c r="V39" s="11" cm="1">
        <f t="array" ref="V39">INDEX(Raw!N:FN, MATCH(V$4, Raw!$A:$A, 0), MATCH(1, (Raw!$B$1:$FB$1=$I39)*(Raw!$B$2:$FB$2=$H39), 0))</f>
        <v>2605000000</v>
      </c>
      <c r="W39" s="11" cm="1">
        <f t="array" ref="W39">INDEX(Raw!O:FO, MATCH(W$4, Raw!$A:$A, 0), MATCH(1, (Raw!$B$1:$FB$1=$I39)*(Raw!$B$2:$FB$2=$H39), 0))</f>
        <v>0</v>
      </c>
      <c r="X39" s="11" cm="1">
        <f t="array" ref="X39">INDEX(Raw!P:FP, MATCH(X$4, Raw!$A:$A, 0), MATCH(1, (Raw!$B$1:$FB$1=$I39)*(Raw!$B$2:$FB$2=$H39), 0))</f>
        <v>1710000000</v>
      </c>
      <c r="Y39" s="11" cm="1">
        <f t="array" ref="Y39">INDEX(Raw!Q:FQ, MATCH(Y$4, Raw!$A:$A, 0), MATCH(1, (Raw!$B$1:$FB$1=$I39)*(Raw!$B$2:$FB$2=$H39), 0))</f>
        <v>0</v>
      </c>
      <c r="Z39" s="11" cm="1">
        <f t="array" ref="Z39">INDEX(Raw!R:FR, MATCH(Z$4, Raw!$A:$A, 0), MATCH(1, (Raw!$B$1:$FB$1=$I39)*(Raw!$B$2:$FB$2=$H39), 0))</f>
        <v>0</v>
      </c>
      <c r="AA39" s="11" cm="1">
        <f t="array" ref="AA39">INDEX(Raw!S:FS, MATCH(AA$4, Raw!$A:$A, 0), MATCH(1, (Raw!$B$1:$FB$1=$I39)*(Raw!$B$2:$FB$2=$H39), 0))</f>
        <v>0</v>
      </c>
      <c r="AB39" s="11" cm="1">
        <f t="array" ref="AB39">INDEX(Raw!T:FT, MATCH(AB$4, Raw!$A:$A, 0), MATCH(1, (Raw!$B$1:$FB$1=$I39)*(Raw!$B$2:$FB$2=$H39), 0))</f>
        <v>0</v>
      </c>
      <c r="AC39" s="11" cm="1">
        <f t="array" ref="AC39">INDEX(Raw!U:FU, MATCH(AC$4, Raw!$A:$A, 0), MATCH(1, (Raw!$B$1:$FB$1=$I39)*(Raw!$B$2:$FB$2=$H39), 0))</f>
        <v>0.51</v>
      </c>
      <c r="AD39" s="11" cm="1">
        <f t="array" ref="AD39">INDEX(Raw!V:FV, MATCH(AD$4, Raw!$A:$A, 0), MATCH(1, (Raw!$B$1:$FB$1=$I39)*(Raw!$B$2:$FB$2=$H39), 0))</f>
        <v>0.61</v>
      </c>
    </row>
    <row r="40" spans="6:30" x14ac:dyDescent="0.25">
      <c r="F40" s="11" t="s">
        <v>28</v>
      </c>
      <c r="G40" s="15">
        <f t="shared" ca="1" si="1"/>
        <v>46088</v>
      </c>
      <c r="H40" s="11">
        <f>H39</f>
        <v>2017</v>
      </c>
      <c r="I40" s="11" t="s">
        <v>24</v>
      </c>
      <c r="J40" s="11" cm="1">
        <f t="array" ref="J40">INDEX(Raw!B:FB, MATCH(J$4, Raw!$A:$A, 0), MATCH(1, (Raw!$B$1:$FB$1=$I40)*(Raw!$B$2:$FB$2=$H40), 0))</f>
        <v>9118000000</v>
      </c>
      <c r="K40" s="11" cm="1">
        <f t="array" ref="K40">INDEX(Raw!C:FC, MATCH(K$4, Raw!$A:$A, 0), MATCH(1, (Raw!$B$1:$FB$1=$I40)*(Raw!$B$2:$FB$2=$H40), 0))</f>
        <v>3794000000</v>
      </c>
      <c r="L40" s="11" cm="1">
        <f t="array" ref="L40">INDEX(Raw!D:FD, MATCH(L$4, Raw!$A:$A, 0), MATCH(1, (Raw!$B$1:$FB$1=$I40)*(Raw!$B$2:$FB$2=$H40), 0))</f>
        <v>6502000000</v>
      </c>
      <c r="M40" s="11" cm="1">
        <f t="array" ref="M40">INDEX(Raw!E:FE, MATCH(M$4, Raw!$A:$A, 0), MATCH(1, (Raw!$B$1:$FB$1=$I40)*(Raw!$B$2:$FB$2=$H40), 0))</f>
        <v>3912000000</v>
      </c>
      <c r="N40" s="11" cm="1">
        <f t="array" ref="N40">INDEX(Raw!F:FF, MATCH(N$4, Raw!$A:$A, 0), MATCH(1, (Raw!$B$1:$FB$1=$I40)*(Raw!$B$2:$FB$2=$H40), 0))</f>
        <v>-311000000</v>
      </c>
      <c r="O40" s="11" cm="1">
        <f t="array" ref="O40">INDEX(Raw!G:FG, MATCH(O$4, Raw!$A:$A, 0), MATCH(1, (Raw!$B$1:$FB$1=$I40)*(Raw!$B$2:$FB$2=$H40), 0))</f>
        <v>4428000000</v>
      </c>
      <c r="P40" s="11" cm="1">
        <f t="array" ref="P40">INDEX(Raw!H:FH, MATCH(P$4, Raw!$A:$A, 0), MATCH(1, (Raw!$B$1:$FB$1=$I40)*(Raw!$B$2:$FB$2=$H40), 0))</f>
        <v>2379000000</v>
      </c>
      <c r="Q40" s="11" cm="1">
        <f t="array" ref="Q40">INDEX(Raw!I:FI, MATCH(Q$4, Raw!$A:$A, 0), MATCH(1, (Raw!$B$1:$FB$1=$I40)*(Raw!$B$2:$FB$2=$H40), 0))</f>
        <v>1826000000</v>
      </c>
      <c r="R40" s="11" cm="1">
        <f t="array" ref="R40">INDEX(Raw!J:FJ, MATCH(R$4, Raw!$A:$A, 0), MATCH(1, (Raw!$B$1:$FB$1=$I40)*(Raw!$B$2:$FB$2=$H40), 0))</f>
        <v>1981000000</v>
      </c>
      <c r="S40" s="11" cm="1">
        <f t="array" ref="S40">INDEX(Raw!K:FK, MATCH(S$4, Raw!$A:$A, 0), MATCH(1, (Raw!$B$1:$FB$1=$I40)*(Raw!$B$2:$FB$2=$H40), 0))</f>
        <v>305000000</v>
      </c>
      <c r="T40" s="11" cm="1">
        <f t="array" ref="T40">INDEX(Raw!L:FL, MATCH(T$4, Raw!$A:$A, 0), MATCH(1, (Raw!$B$1:$FB$1=$I40)*(Raw!$B$2:$FB$2=$H40), 0))</f>
        <v>2122000000</v>
      </c>
      <c r="U40" s="11" cm="1">
        <f t="array" ref="U40">INDEX(Raw!M:FM, MATCH(U$4, Raw!$A:$A, 0), MATCH(1, (Raw!$B$1:$FB$1=$I40)*(Raw!$B$2:$FB$2=$H40), 0))</f>
        <v>0</v>
      </c>
      <c r="V40" s="11" cm="1">
        <f t="array" ref="V40">INDEX(Raw!N:FN, MATCH(V$4, Raw!$A:$A, 0), MATCH(1, (Raw!$B$1:$FB$1=$I40)*(Raw!$B$2:$FB$2=$H40), 0))</f>
        <v>1626000000</v>
      </c>
      <c r="W40" s="11" cm="1">
        <f t="array" ref="W40">INDEX(Raw!O:FO, MATCH(W$4, Raw!$A:$A, 0), MATCH(1, (Raw!$B$1:$FB$1=$I40)*(Raw!$B$2:$FB$2=$H40), 0))</f>
        <v>0</v>
      </c>
      <c r="X40" s="11" cm="1">
        <f t="array" ref="X40">INDEX(Raw!P:FP, MATCH(X$4, Raw!$A:$A, 0), MATCH(1, (Raw!$B$1:$FB$1=$I40)*(Raw!$B$2:$FB$2=$H40), 0))</f>
        <v>2447000000</v>
      </c>
      <c r="Y40" s="11" cm="1">
        <f t="array" ref="Y40">INDEX(Raw!Q:FQ, MATCH(Y$4, Raw!$A:$A, 0), MATCH(1, (Raw!$B$1:$FB$1=$I40)*(Raw!$B$2:$FB$2=$H40), 0))</f>
        <v>0</v>
      </c>
      <c r="Z40" s="11" cm="1">
        <f t="array" ref="Z40">INDEX(Raw!R:FR, MATCH(Z$4, Raw!$A:$A, 0), MATCH(1, (Raw!$B$1:$FB$1=$I40)*(Raw!$B$2:$FB$2=$H40), 0))</f>
        <v>0</v>
      </c>
      <c r="AA40" s="11" cm="1">
        <f t="array" ref="AA40">INDEX(Raw!S:FS, MATCH(AA$4, Raw!$A:$A, 0), MATCH(1, (Raw!$B$1:$FB$1=$I40)*(Raw!$B$2:$FB$2=$H40), 0))</f>
        <v>0</v>
      </c>
      <c r="AB40" s="11" cm="1">
        <f t="array" ref="AB40">INDEX(Raw!T:FT, MATCH(AB$4, Raw!$A:$A, 0), MATCH(1, (Raw!$B$1:$FB$1=$I40)*(Raw!$B$2:$FB$2=$H40), 0))</f>
        <v>0</v>
      </c>
      <c r="AC40" s="11" cm="1">
        <f t="array" ref="AC40">INDEX(Raw!U:FU, MATCH(AC$4, Raw!$A:$A, 0), MATCH(1, (Raw!$B$1:$FB$1=$I40)*(Raw!$B$2:$FB$2=$H40), 0))</f>
        <v>0.62</v>
      </c>
      <c r="AD40" s="11" cm="1">
        <f t="array" ref="AD40">INDEX(Raw!V:FV, MATCH(AD$4, Raw!$A:$A, 0), MATCH(1, (Raw!$B$1:$FB$1=$I40)*(Raw!$B$2:$FB$2=$H40), 0))</f>
        <v>0.45</v>
      </c>
    </row>
    <row r="41" spans="6:30" x14ac:dyDescent="0.25">
      <c r="F41" s="11" t="s">
        <v>28</v>
      </c>
      <c r="G41" s="15">
        <f t="shared" ca="1" si="1"/>
        <v>46088</v>
      </c>
      <c r="H41" s="11">
        <f>H37-1</f>
        <v>2016</v>
      </c>
      <c r="I41" s="11" t="s">
        <v>21</v>
      </c>
      <c r="J41" s="11" cm="1">
        <f t="array" ref="J41">INDEX(Raw!B:FB, MATCH(J$4, Raw!$A:$A, 0), MATCH(1, (Raw!$B$1:$FB$1=$I41)*(Raw!$B$2:$FB$2=$H41), 0))</f>
        <v>9409000000</v>
      </c>
      <c r="K41" s="11" cm="1">
        <f t="array" ref="K41">INDEX(Raw!C:FC, MATCH(K$4, Raw!$A:$A, 0), MATCH(1, (Raw!$B$1:$FB$1=$I41)*(Raw!$B$2:$FB$2=$H41), 0))</f>
        <v>4131000000</v>
      </c>
      <c r="L41" s="11" cm="1">
        <f t="array" ref="L41">INDEX(Raw!D:FD, MATCH(L$4, Raw!$A:$A, 0), MATCH(1, (Raw!$B$1:$FB$1=$I41)*(Raw!$B$2:$FB$2=$H41), 0))</f>
        <v>7068000000</v>
      </c>
      <c r="M41" s="11" cm="1">
        <f t="array" ref="M41">INDEX(Raw!E:FE, MATCH(M$4, Raw!$A:$A, 0), MATCH(1, (Raw!$B$1:$FB$1=$I41)*(Raw!$B$2:$FB$2=$H41), 0))</f>
        <v>3761000000</v>
      </c>
      <c r="N41" s="11" cm="1">
        <f t="array" ref="N41">INDEX(Raw!F:FF, MATCH(N$4, Raw!$A:$A, 0), MATCH(1, (Raw!$B$1:$FB$1=$I41)*(Raw!$B$2:$FB$2=$H41), 0))</f>
        <v>-491000000</v>
      </c>
      <c r="O41" s="11" cm="1">
        <f t="array" ref="O41">INDEX(Raw!G:FG, MATCH(O$4, Raw!$A:$A, 0), MATCH(1, (Raw!$B$1:$FB$1=$I41)*(Raw!$B$2:$FB$2=$H41), 0))</f>
        <v>4471000000</v>
      </c>
      <c r="P41" s="11" cm="1">
        <f t="array" ref="P41">INDEX(Raw!H:FH, MATCH(P$4, Raw!$A:$A, 0), MATCH(1, (Raw!$B$1:$FB$1=$I41)*(Raw!$B$2:$FB$2=$H41), 0))</f>
        <v>2535000000</v>
      </c>
      <c r="Q41" s="11" cm="1">
        <f t="array" ref="Q41">INDEX(Raw!I:FI, MATCH(Q$4, Raw!$A:$A, 0), MATCH(1, (Raw!$B$1:$FB$1=$I41)*(Raw!$B$2:$FB$2=$H41), 0))</f>
        <v>-315000000</v>
      </c>
      <c r="R41" s="11" cm="1">
        <f t="array" ref="R41">INDEX(Raw!J:FJ, MATCH(R$4, Raw!$A:$A, 0), MATCH(1, (Raw!$B$1:$FB$1=$I41)*(Raw!$B$2:$FB$2=$H41), 0))</f>
        <v>1076000000</v>
      </c>
      <c r="S41" s="11" cm="1">
        <f t="array" ref="S41">INDEX(Raw!K:FK, MATCH(S$4, Raw!$A:$A, 0), MATCH(1, (Raw!$B$1:$FB$1=$I41)*(Raw!$B$2:$FB$2=$H41), 0))</f>
        <v>538000000</v>
      </c>
      <c r="T41" s="11" cm="1">
        <f t="array" ref="T41">INDEX(Raw!L:FL, MATCH(T$4, Raw!$A:$A, 0), MATCH(1, (Raw!$B$1:$FB$1=$I41)*(Raw!$B$2:$FB$2=$H41), 0))</f>
        <v>2605000000</v>
      </c>
      <c r="U41" s="11" cm="1">
        <f t="array" ref="U41">INDEX(Raw!M:FM, MATCH(U$4, Raw!$A:$A, 0), MATCH(1, (Raw!$B$1:$FB$1=$I41)*(Raw!$B$2:$FB$2=$H41), 0))</f>
        <v>0</v>
      </c>
      <c r="V41" s="11" cm="1">
        <f t="array" ref="V41">INDEX(Raw!N:FN, MATCH(V$4, Raw!$A:$A, 0), MATCH(1, (Raw!$B$1:$FB$1=$I41)*(Raw!$B$2:$FB$2=$H41), 0))</f>
        <v>1708000000</v>
      </c>
      <c r="W41" s="11" cm="1">
        <f t="array" ref="W41">INDEX(Raw!O:FO, MATCH(W$4, Raw!$A:$A, 0), MATCH(1, (Raw!$B$1:$FB$1=$I41)*(Raw!$B$2:$FB$2=$H41), 0))</f>
        <v>0</v>
      </c>
      <c r="X41" s="11" cm="1">
        <f t="array" ref="X41">INDEX(Raw!P:FP, MATCH(X$4, Raw!$A:$A, 0), MATCH(1, (Raw!$B$1:$FB$1=$I41)*(Raw!$B$2:$FB$2=$H41), 0))</f>
        <v>2676000000</v>
      </c>
      <c r="Y41" s="11" cm="1">
        <f t="array" ref="Y41">INDEX(Raw!Q:FQ, MATCH(Y$4, Raw!$A:$A, 0), MATCH(1, (Raw!$B$1:$FB$1=$I41)*(Raw!$B$2:$FB$2=$H41), 0))</f>
        <v>0</v>
      </c>
      <c r="Z41" s="11" cm="1">
        <f t="array" ref="Z41">INDEX(Raw!R:FR, MATCH(Z$4, Raw!$A:$A, 0), MATCH(1, (Raw!$B$1:$FB$1=$I41)*(Raw!$B$2:$FB$2=$H41), 0))</f>
        <v>0</v>
      </c>
      <c r="AA41" s="11" cm="1">
        <f t="array" ref="AA41">INDEX(Raw!S:FS, MATCH(AA$4, Raw!$A:$A, 0), MATCH(1, (Raw!$B$1:$FB$1=$I41)*(Raw!$B$2:$FB$2=$H41), 0))</f>
        <v>0</v>
      </c>
      <c r="AB41" s="11" cm="1">
        <f t="array" ref="AB41">INDEX(Raw!T:FT, MATCH(AB$4, Raw!$A:$A, 0), MATCH(1, (Raw!$B$1:$FB$1=$I41)*(Raw!$B$2:$FB$2=$H41), 0))</f>
        <v>0</v>
      </c>
      <c r="AC41" s="11" cm="1">
        <f t="array" ref="AC41">INDEX(Raw!U:FU, MATCH(AC$4, Raw!$A:$A, 0), MATCH(1, (Raw!$B$1:$FB$1=$I41)*(Raw!$B$2:$FB$2=$H41), 0))</f>
        <v>0.45</v>
      </c>
      <c r="AD41" s="11" cm="1">
        <f t="array" ref="AD41">INDEX(Raw!V:FV, MATCH(AD$4, Raw!$A:$A, 0), MATCH(1, (Raw!$B$1:$FB$1=$I41)*(Raw!$B$2:$FB$2=$H41), 0))</f>
        <v>0.36</v>
      </c>
    </row>
    <row r="42" spans="6:30" x14ac:dyDescent="0.25">
      <c r="F42" s="11" t="s">
        <v>28</v>
      </c>
      <c r="G42" s="15">
        <f t="shared" ca="1" si="1"/>
        <v>46088</v>
      </c>
      <c r="H42" s="11">
        <f>H41</f>
        <v>2016</v>
      </c>
      <c r="I42" s="11" t="s">
        <v>22</v>
      </c>
      <c r="J42" s="11" cm="1">
        <f t="array" ref="J42">INDEX(Raw!B:FB, MATCH(J$4, Raw!$A:$A, 0), MATCH(1, (Raw!$B$1:$FB$1=$I42)*(Raw!$B$2:$FB$2=$H42), 0))</f>
        <v>10633000000</v>
      </c>
      <c r="K42" s="11" cm="1">
        <f t="array" ref="K42">INDEX(Raw!C:FC, MATCH(K$4, Raw!$A:$A, 0), MATCH(1, (Raw!$B$1:$FB$1=$I42)*(Raw!$B$2:$FB$2=$H42), 0))</f>
        <v>4471000000</v>
      </c>
      <c r="L42" s="11" cm="1">
        <f t="array" ref="L42">INDEX(Raw!D:FD, MATCH(L$4, Raw!$A:$A, 0), MATCH(1, (Raw!$B$1:$FB$1=$I42)*(Raw!$B$2:$FB$2=$H42), 0))</f>
        <v>6213000000</v>
      </c>
      <c r="M42" s="11" cm="1">
        <f t="array" ref="M42">INDEX(Raw!E:FE, MATCH(M$4, Raw!$A:$A, 0), MATCH(1, (Raw!$B$1:$FB$1=$I42)*(Raw!$B$2:$FB$2=$H42), 0))</f>
        <v>3937000000</v>
      </c>
      <c r="N42" s="11" cm="1">
        <f t="array" ref="N42">INDEX(Raw!F:FF, MATCH(N$4, Raw!$A:$A, 0), MATCH(1, (Raw!$B$1:$FB$1=$I42)*(Raw!$B$2:$FB$2=$H42), 0))</f>
        <v>-264000000</v>
      </c>
      <c r="O42" s="11" cm="1">
        <f t="array" ref="O42">INDEX(Raw!G:FG, MATCH(O$4, Raw!$A:$A, 0), MATCH(1, (Raw!$B$1:$FB$1=$I42)*(Raw!$B$2:$FB$2=$H42), 0))</f>
        <v>4873000000</v>
      </c>
      <c r="P42" s="11" cm="1">
        <f t="array" ref="P42">INDEX(Raw!H:FH, MATCH(P$4, Raw!$A:$A, 0), MATCH(1, (Raw!$B$1:$FB$1=$I42)*(Raw!$B$2:$FB$2=$H42), 0))</f>
        <v>2296000000</v>
      </c>
      <c r="Q42" s="11" cm="1">
        <f t="array" ref="Q42">INDEX(Raw!I:FI, MATCH(Q$4, Raw!$A:$A, 0), MATCH(1, (Raw!$B$1:$FB$1=$I42)*(Raw!$B$2:$FB$2=$H42), 0))</f>
        <v>-375000000</v>
      </c>
      <c r="R42" s="11" cm="1">
        <f t="array" ref="R42">INDEX(Raw!J:FJ, MATCH(R$4, Raw!$A:$A, 0), MATCH(1, (Raw!$B$1:$FB$1=$I42)*(Raw!$B$2:$FB$2=$H42), 0))</f>
        <v>2660000000</v>
      </c>
      <c r="S42" s="11" cm="1">
        <f t="array" ref="S42">INDEX(Raw!K:FK, MATCH(S$4, Raw!$A:$A, 0), MATCH(1, (Raw!$B$1:$FB$1=$I42)*(Raw!$B$2:$FB$2=$H42), 0))</f>
        <v>779000000</v>
      </c>
      <c r="T42" s="11" cm="1">
        <f t="array" ref="T42">INDEX(Raw!L:FL, MATCH(T$4, Raw!$A:$A, 0), MATCH(1, (Raw!$B$1:$FB$1=$I42)*(Raw!$B$2:$FB$2=$H42), 0))</f>
        <v>1626000000</v>
      </c>
      <c r="U42" s="11" cm="1">
        <f t="array" ref="U42">INDEX(Raw!M:FM, MATCH(U$4, Raw!$A:$A, 0), MATCH(1, (Raw!$B$1:$FB$1=$I42)*(Raw!$B$2:$FB$2=$H42), 0))</f>
        <v>0</v>
      </c>
      <c r="V42" s="11" cm="1">
        <f t="array" ref="V42">INDEX(Raw!N:FN, MATCH(V$4, Raw!$A:$A, 0), MATCH(1, (Raw!$B$1:$FB$1=$I42)*(Raw!$B$2:$FB$2=$H42), 0))</f>
        <v>2455000000</v>
      </c>
      <c r="W42" s="11" cm="1">
        <f t="array" ref="W42">INDEX(Raw!O:FO, MATCH(W$4, Raw!$A:$A, 0), MATCH(1, (Raw!$B$1:$FB$1=$I42)*(Raw!$B$2:$FB$2=$H42), 0))</f>
        <v>0</v>
      </c>
      <c r="X42" s="11" cm="1">
        <f t="array" ref="X42">INDEX(Raw!P:FP, MATCH(X$4, Raw!$A:$A, 0), MATCH(1, (Raw!$B$1:$FB$1=$I42)*(Raw!$B$2:$FB$2=$H42), 0))</f>
        <v>1751000000</v>
      </c>
      <c r="Y42" s="11" cm="1">
        <f t="array" ref="Y42">INDEX(Raw!Q:FQ, MATCH(Y$4, Raw!$A:$A, 0), MATCH(1, (Raw!$B$1:$FB$1=$I42)*(Raw!$B$2:$FB$2=$H42), 0))</f>
        <v>0</v>
      </c>
      <c r="Z42" s="11" cm="1">
        <f t="array" ref="Z42">INDEX(Raw!R:FR, MATCH(Z$4, Raw!$A:$A, 0), MATCH(1, (Raw!$B$1:$FB$1=$I42)*(Raw!$B$2:$FB$2=$H42), 0))</f>
        <v>0</v>
      </c>
      <c r="AA42" s="11" cm="1">
        <f t="array" ref="AA42">INDEX(Raw!S:FS, MATCH(AA$4, Raw!$A:$A, 0), MATCH(1, (Raw!$B$1:$FB$1=$I42)*(Raw!$B$2:$FB$2=$H42), 0))</f>
        <v>0</v>
      </c>
      <c r="AB42" s="11" cm="1">
        <f t="array" ref="AB42">INDEX(Raw!T:FT, MATCH(AB$4, Raw!$A:$A, 0), MATCH(1, (Raw!$B$1:$FB$1=$I42)*(Raw!$B$2:$FB$2=$H42), 0))</f>
        <v>0</v>
      </c>
      <c r="AC42" s="11" cm="1">
        <f t="array" ref="AC42">INDEX(Raw!U:FU, MATCH(AC$4, Raw!$A:$A, 0), MATCH(1, (Raw!$B$1:$FB$1=$I42)*(Raw!$B$2:$FB$2=$H42), 0))</f>
        <v>0.36499999999999999</v>
      </c>
      <c r="AD42" s="11" cm="1">
        <f t="array" ref="AD42">INDEX(Raw!V:FV, MATCH(AD$4, Raw!$A:$A, 0), MATCH(1, (Raw!$B$1:$FB$1=$I42)*(Raw!$B$2:$FB$2=$H42), 0))</f>
        <v>0.48</v>
      </c>
    </row>
    <row r="43" spans="6:30" x14ac:dyDescent="0.25">
      <c r="F43" s="11" t="s">
        <v>28</v>
      </c>
      <c r="G43" s="15">
        <f t="shared" ca="1" si="1"/>
        <v>46088</v>
      </c>
      <c r="H43" s="11">
        <f>H42</f>
        <v>2016</v>
      </c>
      <c r="I43" s="11" t="s">
        <v>23</v>
      </c>
      <c r="J43" s="11" cm="1">
        <f t="array" ref="J43">INDEX(Raw!B:FB, MATCH(J$4, Raw!$A:$A, 0), MATCH(1, (Raw!$B$1:$FB$1=$I43)*(Raw!$B$2:$FB$2=$H43), 0))</f>
        <v>11539000000</v>
      </c>
      <c r="K43" s="11" cm="1">
        <f t="array" ref="K43">INDEX(Raw!C:FC, MATCH(K$4, Raw!$A:$A, 0), MATCH(1, (Raw!$B$1:$FB$1=$I43)*(Raw!$B$2:$FB$2=$H43), 0))</f>
        <v>4069000000</v>
      </c>
      <c r="L43" s="11" cm="1">
        <f t="array" ref="L43">INDEX(Raw!D:FD, MATCH(L$4, Raw!$A:$A, 0), MATCH(1, (Raw!$B$1:$FB$1=$I43)*(Raw!$B$2:$FB$2=$H43), 0))</f>
        <v>5946000000</v>
      </c>
      <c r="M43" s="11" cm="1">
        <f t="array" ref="M43">INDEX(Raw!E:FE, MATCH(M$4, Raw!$A:$A, 0), MATCH(1, (Raw!$B$1:$FB$1=$I43)*(Raw!$B$2:$FB$2=$H43), 0))</f>
        <v>4207000000</v>
      </c>
      <c r="N43" s="11" cm="1">
        <f t="array" ref="N43">INDEX(Raw!F:FF, MATCH(N$4, Raw!$A:$A, 0), MATCH(1, (Raw!$B$1:$FB$1=$I43)*(Raw!$B$2:$FB$2=$H43), 0))</f>
        <v>-669000000</v>
      </c>
      <c r="O43" s="11" cm="1">
        <f t="array" ref="O43">INDEX(Raw!G:FG, MATCH(O$4, Raw!$A:$A, 0), MATCH(1, (Raw!$B$1:$FB$1=$I43)*(Raw!$B$2:$FB$2=$H43), 0))</f>
        <v>4312000000</v>
      </c>
      <c r="P43" s="11" cm="1">
        <f t="array" ref="P43">INDEX(Raw!H:FH, MATCH(P$4, Raw!$A:$A, 0), MATCH(1, (Raw!$B$1:$FB$1=$I43)*(Raw!$B$2:$FB$2=$H43), 0))</f>
        <v>1451000000</v>
      </c>
      <c r="Q43" s="11" cm="1">
        <f t="array" ref="Q43">INDEX(Raw!I:FI, MATCH(Q$4, Raw!$A:$A, 0), MATCH(1, (Raw!$B$1:$FB$1=$I43)*(Raw!$B$2:$FB$2=$H43), 0))</f>
        <v>-51000000</v>
      </c>
      <c r="R43" s="11" cm="1">
        <f t="array" ref="R43">INDEX(Raw!J:FJ, MATCH(R$4, Raw!$A:$A, 0), MATCH(1, (Raw!$B$1:$FB$1=$I43)*(Raw!$B$2:$FB$2=$H43), 0))</f>
        <v>3384000000</v>
      </c>
      <c r="S43" s="11" cm="1">
        <f t="array" ref="S43">INDEX(Raw!K:FK, MATCH(S$4, Raw!$A:$A, 0), MATCH(1, (Raw!$B$1:$FB$1=$I43)*(Raw!$B$2:$FB$2=$H43), 0))</f>
        <v>579000000</v>
      </c>
      <c r="T43" s="11" cm="1">
        <f t="array" ref="T43">INDEX(Raw!L:FL, MATCH(T$4, Raw!$A:$A, 0), MATCH(1, (Raw!$B$1:$FB$1=$I43)*(Raw!$B$2:$FB$2=$H43), 0))</f>
        <v>1708000000</v>
      </c>
      <c r="U43" s="11" cm="1">
        <f t="array" ref="U43">INDEX(Raw!M:FM, MATCH(U$4, Raw!$A:$A, 0), MATCH(1, (Raw!$B$1:$FB$1=$I43)*(Raw!$B$2:$FB$2=$H43), 0))</f>
        <v>0</v>
      </c>
      <c r="V43" s="11" cm="1">
        <f t="array" ref="V43">INDEX(Raw!N:FN, MATCH(V$4, Raw!$A:$A, 0), MATCH(1, (Raw!$B$1:$FB$1=$I43)*(Raw!$B$2:$FB$2=$H43), 0))</f>
        <v>2694000000</v>
      </c>
      <c r="W43" s="11" cm="1">
        <f t="array" ref="W43">INDEX(Raw!O:FO, MATCH(W$4, Raw!$A:$A, 0), MATCH(1, (Raw!$B$1:$FB$1=$I43)*(Raw!$B$2:$FB$2=$H43), 0))</f>
        <v>0</v>
      </c>
      <c r="X43" s="11" cm="1">
        <f t="array" ref="X43">INDEX(Raw!P:FP, MATCH(X$4, Raw!$A:$A, 0), MATCH(1, (Raw!$B$1:$FB$1=$I43)*(Raw!$B$2:$FB$2=$H43), 0))</f>
        <v>1866000000</v>
      </c>
      <c r="Y43" s="11" cm="1">
        <f t="array" ref="Y43">INDEX(Raw!Q:FQ, MATCH(Y$4, Raw!$A:$A, 0), MATCH(1, (Raw!$B$1:$FB$1=$I43)*(Raw!$B$2:$FB$2=$H43), 0))</f>
        <v>0</v>
      </c>
      <c r="Z43" s="11" cm="1">
        <f t="array" ref="Z43">INDEX(Raw!R:FR, MATCH(Z$4, Raw!$A:$A, 0), MATCH(1, (Raw!$B$1:$FB$1=$I43)*(Raw!$B$2:$FB$2=$H43), 0))</f>
        <v>0</v>
      </c>
      <c r="AA43" s="11" cm="1">
        <f t="array" ref="AA43">INDEX(Raw!S:FS, MATCH(AA$4, Raw!$A:$A, 0), MATCH(1, (Raw!$B$1:$FB$1=$I43)*(Raw!$B$2:$FB$2=$H43), 0))</f>
        <v>0</v>
      </c>
      <c r="AB43" s="11" cm="1">
        <f t="array" ref="AB43">INDEX(Raw!T:FT, MATCH(AB$4, Raw!$A:$A, 0), MATCH(1, (Raw!$B$1:$FB$1=$I43)*(Raw!$B$2:$FB$2=$H43), 0))</f>
        <v>0</v>
      </c>
      <c r="AC43" s="11" cm="1">
        <f t="array" ref="AC43">INDEX(Raw!U:FU, MATCH(AC$4, Raw!$A:$A, 0), MATCH(1, (Raw!$B$1:$FB$1=$I43)*(Raw!$B$2:$FB$2=$H43), 0))</f>
        <v>0.49</v>
      </c>
      <c r="AD43" s="11" cm="1">
        <f t="array" ref="AD43">INDEX(Raw!V:FV, MATCH(AD$4, Raw!$A:$A, 0), MATCH(1, (Raw!$B$1:$FB$1=$I43)*(Raw!$B$2:$FB$2=$H43), 0))</f>
        <v>0.6</v>
      </c>
    </row>
    <row r="44" spans="6:30" x14ac:dyDescent="0.25">
      <c r="F44" s="11" t="s">
        <v>28</v>
      </c>
      <c r="G44" s="15">
        <f t="shared" ca="1" si="1"/>
        <v>46088</v>
      </c>
      <c r="H44" s="11">
        <f>H43</f>
        <v>2016</v>
      </c>
      <c r="I44" s="11" t="s">
        <v>24</v>
      </c>
      <c r="J44" s="11" cm="1">
        <f t="array" ref="J44">INDEX(Raw!B:FB, MATCH(J$4, Raw!$A:$A, 0), MATCH(1, (Raw!$B$1:$FB$1=$I44)*(Raw!$B$2:$FB$2=$H44), 0))</f>
        <v>10282000000</v>
      </c>
      <c r="K44" s="11" cm="1">
        <f t="array" ref="K44">INDEX(Raw!C:FC, MATCH(K$4, Raw!$A:$A, 0), MATCH(1, (Raw!$B$1:$FB$1=$I44)*(Raw!$B$2:$FB$2=$H44), 0))</f>
        <v>4054000000</v>
      </c>
      <c r="L44" s="11" cm="1">
        <f t="array" ref="L44">INDEX(Raw!D:FD, MATCH(L$4, Raw!$A:$A, 0), MATCH(1, (Raw!$B$1:$FB$1=$I44)*(Raw!$B$2:$FB$2=$H44), 0))</f>
        <v>6850000000</v>
      </c>
      <c r="M44" s="11" cm="1">
        <f t="array" ref="M44">INDEX(Raw!E:FE, MATCH(M$4, Raw!$A:$A, 0), MATCH(1, (Raw!$B$1:$FB$1=$I44)*(Raw!$B$2:$FB$2=$H44), 0))</f>
        <v>4204000000</v>
      </c>
      <c r="N44" s="11" cm="1">
        <f t="array" ref="N44">INDEX(Raw!F:FF, MATCH(N$4, Raw!$A:$A, 0), MATCH(1, (Raw!$B$1:$FB$1=$I44)*(Raw!$B$2:$FB$2=$H44), 0))</f>
        <v>-233000000</v>
      </c>
      <c r="O44" s="11" cm="1">
        <f t="array" ref="O44">INDEX(Raw!G:FG, MATCH(O$4, Raw!$A:$A, 0), MATCH(1, (Raw!$B$1:$FB$1=$I44)*(Raw!$B$2:$FB$2=$H44), 0))</f>
        <v>5064000000</v>
      </c>
      <c r="P44" s="11" cm="1">
        <f t="array" ref="P44">INDEX(Raw!H:FH, MATCH(P$4, Raw!$A:$A, 0), MATCH(1, (Raw!$B$1:$FB$1=$I44)*(Raw!$B$2:$FB$2=$H44), 0))</f>
        <v>2711000000</v>
      </c>
      <c r="Q44" s="11" cm="1">
        <f t="array" ref="Q44">INDEX(Raw!I:FI, MATCH(Q$4, Raw!$A:$A, 0), MATCH(1, (Raw!$B$1:$FB$1=$I44)*(Raw!$B$2:$FB$2=$H44), 0))</f>
        <v>214000000</v>
      </c>
      <c r="R44" s="11" cm="1">
        <f t="array" ref="R44">INDEX(Raw!J:FJ, MATCH(R$4, Raw!$A:$A, 0), MATCH(1, (Raw!$B$1:$FB$1=$I44)*(Raw!$B$2:$FB$2=$H44), 0))</f>
        <v>2205000000</v>
      </c>
      <c r="S44" s="11" cm="1">
        <f t="array" ref="S44">INDEX(Raw!K:FK, MATCH(S$4, Raw!$A:$A, 0), MATCH(1, (Raw!$B$1:$FB$1=$I44)*(Raw!$B$2:$FB$2=$H44), 0))</f>
        <v>520000000</v>
      </c>
      <c r="T44" s="11" cm="1">
        <f t="array" ref="T44">INDEX(Raw!L:FL, MATCH(T$4, Raw!$A:$A, 0), MATCH(1, (Raw!$B$1:$FB$1=$I44)*(Raw!$B$2:$FB$2=$H44), 0))</f>
        <v>2455000000</v>
      </c>
      <c r="U44" s="11" cm="1">
        <f t="array" ref="U44">INDEX(Raw!M:FM, MATCH(U$4, Raw!$A:$A, 0), MATCH(1, (Raw!$B$1:$FB$1=$I44)*(Raw!$B$2:$FB$2=$H44), 0))</f>
        <v>0</v>
      </c>
      <c r="V44" s="11" cm="1">
        <f t="array" ref="V44">INDEX(Raw!N:FN, MATCH(V$4, Raw!$A:$A, 0), MATCH(1, (Raw!$B$1:$FB$1=$I44)*(Raw!$B$2:$FB$2=$H44), 0))</f>
        <v>1769000000</v>
      </c>
      <c r="W44" s="11" cm="1">
        <f t="array" ref="W44">INDEX(Raw!O:FO, MATCH(W$4, Raw!$A:$A, 0), MATCH(1, (Raw!$B$1:$FB$1=$I44)*(Raw!$B$2:$FB$2=$H44), 0))</f>
        <v>0</v>
      </c>
      <c r="X44" s="11" cm="1">
        <f t="array" ref="X44">INDEX(Raw!P:FP, MATCH(X$4, Raw!$A:$A, 0), MATCH(1, (Raw!$B$1:$FB$1=$I44)*(Raw!$B$2:$FB$2=$H44), 0))</f>
        <v>2311000000</v>
      </c>
      <c r="Y44" s="11" cm="1">
        <f t="array" ref="Y44">INDEX(Raw!Q:FQ, MATCH(Y$4, Raw!$A:$A, 0), MATCH(1, (Raw!$B$1:$FB$1=$I44)*(Raw!$B$2:$FB$2=$H44), 0))</f>
        <v>0</v>
      </c>
      <c r="Z44" s="11" cm="1">
        <f t="array" ref="Z44">INDEX(Raw!R:FR, MATCH(Z$4, Raw!$A:$A, 0), MATCH(1, (Raw!$B$1:$FB$1=$I44)*(Raw!$B$2:$FB$2=$H44), 0))</f>
        <v>0</v>
      </c>
      <c r="AA44" s="11" cm="1">
        <f t="array" ref="AA44">INDEX(Raw!S:FS, MATCH(AA$4, Raw!$A:$A, 0), MATCH(1, (Raw!$B$1:$FB$1=$I44)*(Raw!$B$2:$FB$2=$H44), 0))</f>
        <v>0</v>
      </c>
      <c r="AB44" s="11" cm="1">
        <f t="array" ref="AB44">INDEX(Raw!T:FT, MATCH(AB$4, Raw!$A:$A, 0), MATCH(1, (Raw!$B$1:$FB$1=$I44)*(Raw!$B$2:$FB$2=$H44), 0))</f>
        <v>0</v>
      </c>
      <c r="AC44" s="11" cm="1">
        <f t="array" ref="AC44">INDEX(Raw!U:FU, MATCH(AC$4, Raw!$A:$A, 0), MATCH(1, (Raw!$B$1:$FB$1=$I44)*(Raw!$B$2:$FB$2=$H44), 0))</f>
        <v>0.61</v>
      </c>
      <c r="AD44" s="11" cm="1">
        <f t="array" ref="AD44">INDEX(Raw!V:FV, MATCH(AD$4, Raw!$A:$A, 0), MATCH(1, (Raw!$B$1:$FB$1=$I44)*(Raw!$B$2:$FB$2=$H44), 0))</f>
        <v>0.41</v>
      </c>
    </row>
    <row r="45" spans="6:30" x14ac:dyDescent="0.25">
      <c r="F45" s="11" t="s">
        <v>28</v>
      </c>
      <c r="G45" s="15">
        <f t="shared" ca="1" si="1"/>
        <v>46088</v>
      </c>
      <c r="H45" s="11">
        <f>H41-1</f>
        <v>2015</v>
      </c>
      <c r="I45" s="11" t="s">
        <v>21</v>
      </c>
      <c r="J45" s="11" cm="1">
        <f t="array" ref="J45">INDEX(Raw!B:FB, MATCH(J$4, Raw!$A:$A, 0), MATCH(1, (Raw!$B$1:$FB$1=$I45)*(Raw!$B$2:$FB$2=$H45), 0))</f>
        <v>10000000000</v>
      </c>
      <c r="K45" s="11" cm="1">
        <f t="array" ref="K45">INDEX(Raw!C:FC, MATCH(K$4, Raw!$A:$A, 0), MATCH(1, (Raw!$B$1:$FB$1=$I45)*(Raw!$B$2:$FB$2=$H45), 0))</f>
        <v>4577000000</v>
      </c>
      <c r="L45" s="11" cm="1">
        <f t="array" ref="L45">INDEX(Raw!D:FD, MATCH(L$4, Raw!$A:$A, 0), MATCH(1, (Raw!$B$1:$FB$1=$I45)*(Raw!$B$2:$FB$2=$H45), 0))</f>
        <v>7408000000</v>
      </c>
      <c r="M45" s="11" cm="1">
        <f t="array" ref="M45">INDEX(Raw!E:FE, MATCH(M$4, Raw!$A:$A, 0), MATCH(1, (Raw!$B$1:$FB$1=$I45)*(Raw!$B$2:$FB$2=$H45), 0))</f>
        <v>4079000000</v>
      </c>
      <c r="N45" s="11" cm="1">
        <f t="array" ref="N45">INDEX(Raw!F:FF, MATCH(N$4, Raw!$A:$A, 0), MATCH(1, (Raw!$B$1:$FB$1=$I45)*(Raw!$B$2:$FB$2=$H45), 0))</f>
        <v>-726000000</v>
      </c>
      <c r="O45" s="11" cm="1">
        <f t="array" ref="O45">INDEX(Raw!G:FG, MATCH(O$4, Raw!$A:$A, 0), MATCH(1, (Raw!$B$1:$FB$1=$I45)*(Raw!$B$2:$FB$2=$H45), 0))</f>
        <v>4635000000</v>
      </c>
      <c r="P45" s="11" cm="1">
        <f t="array" ref="P45">INDEX(Raw!H:FH, MATCH(P$4, Raw!$A:$A, 0), MATCH(1, (Raw!$B$1:$FB$1=$I45)*(Raw!$B$2:$FB$2=$H45), 0))</f>
        <v>3170000000</v>
      </c>
      <c r="Q45" s="11" cm="1">
        <f t="array" ref="Q45">INDEX(Raw!I:FI, MATCH(Q$4, Raw!$A:$A, 0), MATCH(1, (Raw!$B$1:$FB$1=$I45)*(Raw!$B$2:$FB$2=$H45), 0))</f>
        <v>-171000000</v>
      </c>
      <c r="R45" s="11" cm="1">
        <f t="array" ref="R45">INDEX(Raw!J:FJ, MATCH(R$4, Raw!$A:$A, 0), MATCH(1, (Raw!$B$1:$FB$1=$I45)*(Raw!$B$2:$FB$2=$H45), 0))</f>
        <v>2228000000</v>
      </c>
      <c r="S45" s="11" cm="1">
        <f t="array" ref="S45">INDEX(Raw!K:FK, MATCH(S$4, Raw!$A:$A, 0), MATCH(1, (Raw!$B$1:$FB$1=$I45)*(Raw!$B$2:$FB$2=$H45), 0))</f>
        <v>925000000</v>
      </c>
      <c r="T45" s="11" cm="1">
        <f t="array" ref="T45">INDEX(Raw!L:FL, MATCH(T$4, Raw!$A:$A, 0), MATCH(1, (Raw!$B$1:$FB$1=$I45)*(Raw!$B$2:$FB$2=$H45), 0))</f>
        <v>2694000000</v>
      </c>
      <c r="U45" s="11" cm="1">
        <f t="array" ref="U45">INDEX(Raw!M:FM, MATCH(U$4, Raw!$A:$A, 0), MATCH(1, (Raw!$B$1:$FB$1=$I45)*(Raw!$B$2:$FB$2=$H45), 0))</f>
        <v>0</v>
      </c>
      <c r="V45" s="11" cm="1">
        <f t="array" ref="V45">INDEX(Raw!N:FN, MATCH(V$4, Raw!$A:$A, 0), MATCH(1, (Raw!$B$1:$FB$1=$I45)*(Raw!$B$2:$FB$2=$H45), 0))</f>
        <v>1890000000</v>
      </c>
      <c r="W45" s="11" cm="1">
        <f t="array" ref="W45">INDEX(Raw!O:FO, MATCH(W$4, Raw!$A:$A, 0), MATCH(1, (Raw!$B$1:$FB$1=$I45)*(Raw!$B$2:$FB$2=$H45), 0))</f>
        <v>0</v>
      </c>
      <c r="X45" s="11" cm="1">
        <f t="array" ref="X45">INDEX(Raw!P:FP, MATCH(X$4, Raw!$A:$A, 0), MATCH(1, (Raw!$B$1:$FB$1=$I45)*(Raw!$B$2:$FB$2=$H45), 0))</f>
        <v>2788000000</v>
      </c>
      <c r="Y45" s="11" cm="1">
        <f t="array" ref="Y45">INDEX(Raw!Q:FQ, MATCH(Y$4, Raw!$A:$A, 0), MATCH(1, (Raw!$B$1:$FB$1=$I45)*(Raw!$B$2:$FB$2=$H45), 0))</f>
        <v>0</v>
      </c>
      <c r="Z45" s="11" cm="1">
        <f t="array" ref="Z45">INDEX(Raw!R:FR, MATCH(Z$4, Raw!$A:$A, 0), MATCH(1, (Raw!$B$1:$FB$1=$I45)*(Raw!$B$2:$FB$2=$H45), 0))</f>
        <v>0</v>
      </c>
      <c r="AA45" s="11" cm="1">
        <f t="array" ref="AA45">INDEX(Raw!S:FS, MATCH(AA$4, Raw!$A:$A, 0), MATCH(1, (Raw!$B$1:$FB$1=$I45)*(Raw!$B$2:$FB$2=$H45), 0))</f>
        <v>0</v>
      </c>
      <c r="AB45" s="11" cm="1">
        <f t="array" ref="AB45">INDEX(Raw!T:FT, MATCH(AB$4, Raw!$A:$A, 0), MATCH(1, (Raw!$B$1:$FB$1=$I45)*(Raw!$B$2:$FB$2=$H45), 0))</f>
        <v>0</v>
      </c>
      <c r="AC45" s="11" cm="1">
        <f t="array" ref="AC45">INDEX(Raw!U:FU, MATCH(AC$4, Raw!$A:$A, 0), MATCH(1, (Raw!$B$1:$FB$1=$I45)*(Raw!$B$2:$FB$2=$H45), 0))</f>
        <v>0.41499999999999998</v>
      </c>
      <c r="AD45" s="11" cm="1">
        <f t="array" ref="AD45">INDEX(Raw!V:FV, MATCH(AD$4, Raw!$A:$A, 0), MATCH(1, (Raw!$B$1:$FB$1=$I45)*(Raw!$B$2:$FB$2=$H45), 0))</f>
        <v>1.2350000000000001</v>
      </c>
    </row>
    <row r="46" spans="6:30" x14ac:dyDescent="0.25">
      <c r="F46" s="11" t="s">
        <v>28</v>
      </c>
      <c r="G46" s="15">
        <f t="shared" ca="1" si="1"/>
        <v>46088</v>
      </c>
      <c r="H46" s="11">
        <f>H45</f>
        <v>2015</v>
      </c>
      <c r="I46" s="11" t="s">
        <v>22</v>
      </c>
      <c r="J46" s="11" cm="1">
        <f t="array" ref="J46">INDEX(Raw!B:FB, MATCH(J$4, Raw!$A:$A, 0), MATCH(1, (Raw!$B$1:$FB$1=$I46)*(Raw!$B$2:$FB$2=$H46), 0))</f>
        <v>11427000000</v>
      </c>
      <c r="K46" s="11" cm="1">
        <f t="array" ref="K46">INDEX(Raw!C:FC, MATCH(K$4, Raw!$A:$A, 0), MATCH(1, (Raw!$B$1:$FB$1=$I46)*(Raw!$B$2:$FB$2=$H46), 0))</f>
        <v>4748000000</v>
      </c>
      <c r="L46" s="11" cm="1">
        <f t="array" ref="L46">INDEX(Raw!D:FD, MATCH(L$4, Raw!$A:$A, 0), MATCH(1, (Raw!$B$1:$FB$1=$I46)*(Raw!$B$2:$FB$2=$H46), 0))</f>
        <v>6608000000</v>
      </c>
      <c r="M46" s="11" cm="1">
        <f t="array" ref="M46">INDEX(Raw!E:FE, MATCH(M$4, Raw!$A:$A, 0), MATCH(1, (Raw!$B$1:$FB$1=$I46)*(Raw!$B$2:$FB$2=$H46), 0))</f>
        <v>4338000000</v>
      </c>
      <c r="N46" s="11" cm="1">
        <f t="array" ref="N46">INDEX(Raw!F:FF, MATCH(N$4, Raw!$A:$A, 0), MATCH(1, (Raw!$B$1:$FB$1=$I46)*(Raw!$B$2:$FB$2=$H46), 0))</f>
        <v>-128000000</v>
      </c>
      <c r="O46" s="11" cm="1">
        <f t="array" ref="O46">INDEX(Raw!G:FG, MATCH(O$4, Raw!$A:$A, 0), MATCH(1, (Raw!$B$1:$FB$1=$I46)*(Raw!$B$2:$FB$2=$H46), 0))</f>
        <v>4585000000</v>
      </c>
      <c r="P46" s="11" cm="1">
        <f t="array" ref="P46">INDEX(Raw!H:FH, MATCH(P$4, Raw!$A:$A, 0), MATCH(1, (Raw!$B$1:$FB$1=$I46)*(Raw!$B$2:$FB$2=$H46), 0))</f>
        <v>2376000000</v>
      </c>
      <c r="Q46" s="11" cm="1">
        <f t="array" ref="Q46">INDEX(Raw!I:FI, MATCH(Q$4, Raw!$A:$A, 0), MATCH(1, (Raw!$B$1:$FB$1=$I46)*(Raw!$B$2:$FB$2=$H46), 0))</f>
        <v>123000000</v>
      </c>
      <c r="R46" s="11" cm="1">
        <f t="array" ref="R46">INDEX(Raw!J:FJ, MATCH(R$4, Raw!$A:$A, 0), MATCH(1, (Raw!$B$1:$FB$1=$I46)*(Raw!$B$2:$FB$2=$H46), 0))</f>
        <v>3380000000</v>
      </c>
      <c r="S46" s="11" cm="1">
        <f t="array" ref="S46">INDEX(Raw!K:FK, MATCH(S$4, Raw!$A:$A, 0), MATCH(1, (Raw!$B$1:$FB$1=$I46)*(Raw!$B$2:$FB$2=$H46), 0))</f>
        <v>831000000</v>
      </c>
      <c r="T46" s="11" cm="1">
        <f t="array" ref="T46">INDEX(Raw!L:FL, MATCH(T$4, Raw!$A:$A, 0), MATCH(1, (Raw!$B$1:$FB$1=$I46)*(Raw!$B$2:$FB$2=$H46), 0))</f>
        <v>1769000000</v>
      </c>
      <c r="U46" s="11" cm="1">
        <f t="array" ref="U46">INDEX(Raw!M:FM, MATCH(U$4, Raw!$A:$A, 0), MATCH(1, (Raw!$B$1:$FB$1=$I46)*(Raw!$B$2:$FB$2=$H46), 0))</f>
        <v>0</v>
      </c>
      <c r="V46" s="11" cm="1">
        <f t="array" ref="V46">INDEX(Raw!N:FN, MATCH(V$4, Raw!$A:$A, 0), MATCH(1, (Raw!$B$1:$FB$1=$I46)*(Raw!$B$2:$FB$2=$H46), 0))</f>
        <v>2329000000</v>
      </c>
      <c r="W46" s="11" cm="1">
        <f t="array" ref="W46">INDEX(Raw!O:FO, MATCH(W$4, Raw!$A:$A, 0), MATCH(1, (Raw!$B$1:$FB$1=$I46)*(Raw!$B$2:$FB$2=$H46), 0))</f>
        <v>0</v>
      </c>
      <c r="X46" s="11" cm="1">
        <f t="array" ref="X46">INDEX(Raw!P:FP, MATCH(X$4, Raw!$A:$A, 0), MATCH(1, (Raw!$B$1:$FB$1=$I46)*(Raw!$B$2:$FB$2=$H46), 0))</f>
        <v>2054000000</v>
      </c>
      <c r="Y46" s="11" cm="1">
        <f t="array" ref="Y46">INDEX(Raw!Q:FQ, MATCH(Y$4, Raw!$A:$A, 0), MATCH(1, (Raw!$B$1:$FB$1=$I46)*(Raw!$B$2:$FB$2=$H46), 0))</f>
        <v>0</v>
      </c>
      <c r="Z46" s="11" cm="1">
        <f t="array" ref="Z46">INDEX(Raw!R:FR, MATCH(Z$4, Raw!$A:$A, 0), MATCH(1, (Raw!$B$1:$FB$1=$I46)*(Raw!$B$2:$FB$2=$H46), 0))</f>
        <v>0</v>
      </c>
      <c r="AA46" s="11" cm="1">
        <f t="array" ref="AA46">INDEX(Raw!S:FS, MATCH(AA$4, Raw!$A:$A, 0), MATCH(1, (Raw!$B$1:$FB$1=$I46)*(Raw!$B$2:$FB$2=$H46), 0))</f>
        <v>0</v>
      </c>
      <c r="AB46" s="11" cm="1">
        <f t="array" ref="AB46">INDEX(Raw!T:FT, MATCH(AB$4, Raw!$A:$A, 0), MATCH(1, (Raw!$B$1:$FB$1=$I46)*(Raw!$B$2:$FB$2=$H46), 0))</f>
        <v>0</v>
      </c>
      <c r="AC46" s="11" cm="1">
        <f t="array" ref="AC46">INDEX(Raw!U:FU, MATCH(AC$4, Raw!$A:$A, 0), MATCH(1, (Raw!$B$1:$FB$1=$I46)*(Raw!$B$2:$FB$2=$H46), 0))</f>
        <v>1.24</v>
      </c>
      <c r="AD46" s="11" cm="1">
        <f t="array" ref="AD46">INDEX(Raw!V:FV, MATCH(AD$4, Raw!$A:$A, 0), MATCH(1, (Raw!$B$1:$FB$1=$I46)*(Raw!$B$2:$FB$2=$H46), 0))</f>
        <v>0.44</v>
      </c>
    </row>
    <row r="47" spans="6:30" x14ac:dyDescent="0.25">
      <c r="F47" s="11" t="s">
        <v>28</v>
      </c>
      <c r="G47" s="15">
        <f t="shared" ca="1" si="1"/>
        <v>46088</v>
      </c>
      <c r="H47" s="11">
        <f>H46</f>
        <v>2015</v>
      </c>
      <c r="I47" s="11" t="s">
        <v>23</v>
      </c>
      <c r="J47" s="11" cm="1">
        <f t="array" ref="J47">INDEX(Raw!B:FB, MATCH(J$4, Raw!$A:$A, 0), MATCH(1, (Raw!$B$1:$FB$1=$I47)*(Raw!$B$2:$FB$2=$H47), 0))</f>
        <v>12156000000</v>
      </c>
      <c r="K47" s="11" cm="1">
        <f t="array" ref="K47">INDEX(Raw!C:FC, MATCH(K$4, Raw!$A:$A, 0), MATCH(1, (Raw!$B$1:$FB$1=$I47)*(Raw!$B$2:$FB$2=$H47), 0))</f>
        <v>4103000000</v>
      </c>
      <c r="L47" s="11" cm="1">
        <f t="array" ref="L47">INDEX(Raw!D:FD, MATCH(L$4, Raw!$A:$A, 0), MATCH(1, (Raw!$B$1:$FB$1=$I47)*(Raw!$B$2:$FB$2=$H47), 0))</f>
        <v>6515000000</v>
      </c>
      <c r="M47" s="11" cm="1">
        <f t="array" ref="M47">INDEX(Raw!E:FE, MATCH(M$4, Raw!$A:$A, 0), MATCH(1, (Raw!$B$1:$FB$1=$I47)*(Raw!$B$2:$FB$2=$H47), 0))</f>
        <v>4507000000</v>
      </c>
      <c r="N47" s="11" cm="1">
        <f t="array" ref="N47">INDEX(Raw!F:FF, MATCH(N$4, Raw!$A:$A, 0), MATCH(1, (Raw!$B$1:$FB$1=$I47)*(Raw!$B$2:$FB$2=$H47), 0))</f>
        <v>-201000000</v>
      </c>
      <c r="O47" s="11" cm="1">
        <f t="array" ref="O47">INDEX(Raw!G:FG, MATCH(O$4, Raw!$A:$A, 0), MATCH(1, (Raw!$B$1:$FB$1=$I47)*(Raw!$B$2:$FB$2=$H47), 0))</f>
        <v>4117000000</v>
      </c>
      <c r="P47" s="11" cm="1">
        <f t="array" ref="P47">INDEX(Raw!H:FH, MATCH(P$4, Raw!$A:$A, 0), MATCH(1, (Raw!$B$1:$FB$1=$I47)*(Raw!$B$2:$FB$2=$H47), 0))</f>
        <v>2105000000</v>
      </c>
      <c r="Q47" s="11" cm="1">
        <f t="array" ref="Q47">INDEX(Raw!I:FI, MATCH(Q$4, Raw!$A:$A, 0), MATCH(1, (Raw!$B$1:$FB$1=$I47)*(Raw!$B$2:$FB$2=$H47), 0))</f>
        <v>908000000</v>
      </c>
      <c r="R47" s="11" cm="1">
        <f t="array" ref="R47">INDEX(Raw!J:FJ, MATCH(R$4, Raw!$A:$A, 0), MATCH(1, (Raw!$B$1:$FB$1=$I47)*(Raw!$B$2:$FB$2=$H47), 0))</f>
        <v>3525000000</v>
      </c>
      <c r="S47" s="11" cm="1">
        <f t="array" ref="S47">INDEX(Raw!K:FK, MATCH(S$4, Raw!$A:$A, 0), MATCH(1, (Raw!$B$1:$FB$1=$I47)*(Raw!$B$2:$FB$2=$H47), 0))</f>
        <v>575000000</v>
      </c>
      <c r="T47" s="11" cm="1">
        <f t="array" ref="T47">INDEX(Raw!L:FL, MATCH(T$4, Raw!$A:$A, 0), MATCH(1, (Raw!$B$1:$FB$1=$I47)*(Raw!$B$2:$FB$2=$H47), 0))</f>
        <v>1890000000</v>
      </c>
      <c r="U47" s="11" cm="1">
        <f t="array" ref="U47">INDEX(Raw!M:FM, MATCH(U$4, Raw!$A:$A, 0), MATCH(1, (Raw!$B$1:$FB$1=$I47)*(Raw!$B$2:$FB$2=$H47), 0))</f>
        <v>0</v>
      </c>
      <c r="V47" s="11" cm="1">
        <f t="array" ref="V47">INDEX(Raw!N:FN, MATCH(V$4, Raw!$A:$A, 0), MATCH(1, (Raw!$B$1:$FB$1=$I47)*(Raw!$B$2:$FB$2=$H47), 0))</f>
        <v>2800000000</v>
      </c>
      <c r="W47" s="11" cm="1">
        <f t="array" ref="W47">INDEX(Raw!O:FO, MATCH(W$4, Raw!$A:$A, 0), MATCH(1, (Raw!$B$1:$FB$1=$I47)*(Raw!$B$2:$FB$2=$H47), 0))</f>
        <v>0</v>
      </c>
      <c r="X47" s="11" cm="1">
        <f t="array" ref="X47">INDEX(Raw!P:FP, MATCH(X$4, Raw!$A:$A, 0), MATCH(1, (Raw!$B$1:$FB$1=$I47)*(Raw!$B$2:$FB$2=$H47), 0))</f>
        <v>1657000000</v>
      </c>
      <c r="Y47" s="11" cm="1">
        <f t="array" ref="Y47">INDEX(Raw!Q:FQ, MATCH(Y$4, Raw!$A:$A, 0), MATCH(1, (Raw!$B$1:$FB$1=$I47)*(Raw!$B$2:$FB$2=$H47), 0))</f>
        <v>0</v>
      </c>
      <c r="Z47" s="11" cm="1">
        <f t="array" ref="Z47">INDEX(Raw!R:FR, MATCH(Z$4, Raw!$A:$A, 0), MATCH(1, (Raw!$B$1:$FB$1=$I47)*(Raw!$B$2:$FB$2=$H47), 0))</f>
        <v>0</v>
      </c>
      <c r="AA47" s="11" cm="1">
        <f t="array" ref="AA47">INDEX(Raw!S:FS, MATCH(AA$4, Raw!$A:$A, 0), MATCH(1, (Raw!$B$1:$FB$1=$I47)*(Raw!$B$2:$FB$2=$H47), 0))</f>
        <v>0</v>
      </c>
      <c r="AB47" s="11" cm="1">
        <f t="array" ref="AB47">INDEX(Raw!T:FT, MATCH(AB$4, Raw!$A:$A, 0), MATCH(1, (Raw!$B$1:$FB$1=$I47)*(Raw!$B$2:$FB$2=$H47), 0))</f>
        <v>0</v>
      </c>
      <c r="AC47" s="11" cm="1">
        <f t="array" ref="AC47">INDEX(Raw!U:FU, MATCH(AC$4, Raw!$A:$A, 0), MATCH(1, (Raw!$B$1:$FB$1=$I47)*(Raw!$B$2:$FB$2=$H47), 0))</f>
        <v>0.44500000000000001</v>
      </c>
      <c r="AD47" s="11" cm="1">
        <f t="array" ref="AD47">INDEX(Raw!V:FV, MATCH(AD$4, Raw!$A:$A, 0), MATCH(1, (Raw!$B$1:$FB$1=$I47)*(Raw!$B$2:$FB$2=$H47), 0))</f>
        <v>0.51</v>
      </c>
    </row>
    <row r="48" spans="6:30" x14ac:dyDescent="0.25">
      <c r="F48" s="11" t="s">
        <v>28</v>
      </c>
      <c r="G48" s="15">
        <f t="shared" ca="1" si="1"/>
        <v>46088</v>
      </c>
      <c r="H48" s="11">
        <f>H47</f>
        <v>2015</v>
      </c>
      <c r="I48" s="11" t="s">
        <v>24</v>
      </c>
      <c r="J48" s="11" cm="1">
        <f t="array" ref="J48">INDEX(Raw!B:FB, MATCH(J$4, Raw!$A:$A, 0), MATCH(1, (Raw!$B$1:$FB$1=$I48)*(Raw!$B$2:$FB$2=$H48), 0))</f>
        <v>10711000000</v>
      </c>
      <c r="K48" s="11" cm="1">
        <f t="array" ref="K48">INDEX(Raw!C:FC, MATCH(K$4, Raw!$A:$A, 0), MATCH(1, (Raw!$B$1:$FB$1=$I48)*(Raw!$B$2:$FB$2=$H48), 0))</f>
        <v>4357000000</v>
      </c>
      <c r="L48" s="11" cm="1">
        <f t="array" ref="L48">INDEX(Raw!D:FD, MATCH(L$4, Raw!$A:$A, 0), MATCH(1, (Raw!$B$1:$FB$1=$I48)*(Raw!$B$2:$FB$2=$H48), 0))</f>
        <v>7346000000</v>
      </c>
      <c r="M48" s="11" cm="1">
        <f t="array" ref="M48">INDEX(Raw!E:FE, MATCH(M$4, Raw!$A:$A, 0), MATCH(1, (Raw!$B$1:$FB$1=$I48)*(Raw!$B$2:$FB$2=$H48), 0))</f>
        <v>4384000000</v>
      </c>
      <c r="N48" s="11" cm="1">
        <f t="array" ref="N48">INDEX(Raw!F:FF, MATCH(N$4, Raw!$A:$A, 0), MATCH(1, (Raw!$B$1:$FB$1=$I48)*(Raw!$B$2:$FB$2=$H48), 0))</f>
        <v>-128000000</v>
      </c>
      <c r="O48" s="11" cm="1">
        <f t="array" ref="O48">INDEX(Raw!G:FG, MATCH(O$4, Raw!$A:$A, 0), MATCH(1, (Raw!$B$1:$FB$1=$I48)*(Raw!$B$2:$FB$2=$H48), 0))</f>
        <v>4620000000</v>
      </c>
      <c r="P48" s="11" cm="1">
        <f t="array" ref="P48">INDEX(Raw!H:FH, MATCH(P$4, Raw!$A:$A, 0), MATCH(1, (Raw!$B$1:$FB$1=$I48)*(Raw!$B$2:$FB$2=$H48), 0))</f>
        <v>2472000000</v>
      </c>
      <c r="Q48" s="11" cm="1">
        <f t="array" ref="Q48">INDEX(Raw!I:FI, MATCH(Q$4, Raw!$A:$A, 0), MATCH(1, (Raw!$B$1:$FB$1=$I48)*(Raw!$B$2:$FB$2=$H48), 0))</f>
        <v>282000000</v>
      </c>
      <c r="R48" s="11" cm="1">
        <f t="array" ref="R48">INDEX(Raw!J:FJ, MATCH(R$4, Raw!$A:$A, 0), MATCH(1, (Raw!$B$1:$FB$1=$I48)*(Raw!$B$2:$FB$2=$H48), 0))</f>
        <v>2344000000</v>
      </c>
      <c r="S48" s="11" cm="1">
        <f t="array" ref="S48">INDEX(Raw!K:FK, MATCH(S$4, Raw!$A:$A, 0), MATCH(1, (Raw!$B$1:$FB$1=$I48)*(Raw!$B$2:$FB$2=$H48), 0))</f>
        <v>487000000</v>
      </c>
      <c r="T48" s="11" cm="1">
        <f t="array" ref="T48">INDEX(Raw!L:FL, MATCH(T$4, Raw!$A:$A, 0), MATCH(1, (Raw!$B$1:$FB$1=$I48)*(Raw!$B$2:$FB$2=$H48), 0))</f>
        <v>2329000000</v>
      </c>
      <c r="U48" s="11" cm="1">
        <f t="array" ref="U48">INDEX(Raw!M:FM, MATCH(U$4, Raw!$A:$A, 0), MATCH(1, (Raw!$B$1:$FB$1=$I48)*(Raw!$B$2:$FB$2=$H48), 0))</f>
        <v>0</v>
      </c>
      <c r="V48" s="11" cm="1">
        <f t="array" ref="V48">INDEX(Raw!N:FN, MATCH(V$4, Raw!$A:$A, 0), MATCH(1, (Raw!$B$1:$FB$1=$I48)*(Raw!$B$2:$FB$2=$H48), 0))</f>
        <v>2067000000</v>
      </c>
      <c r="W48" s="11" cm="1">
        <f t="array" ref="W48">INDEX(Raw!O:FO, MATCH(W$4, Raw!$A:$A, 0), MATCH(1, (Raw!$B$1:$FB$1=$I48)*(Raw!$B$2:$FB$2=$H48), 0))</f>
        <v>0</v>
      </c>
      <c r="X48" s="11" cm="1">
        <f t="array" ref="X48">INDEX(Raw!P:FP, MATCH(X$4, Raw!$A:$A, 0), MATCH(1, (Raw!$B$1:$FB$1=$I48)*(Raw!$B$2:$FB$2=$H48), 0))</f>
        <v>2224000000</v>
      </c>
      <c r="Y48" s="11" cm="1">
        <f t="array" ref="Y48">INDEX(Raw!Q:FQ, MATCH(Y$4, Raw!$A:$A, 0), MATCH(1, (Raw!$B$1:$FB$1=$I48)*(Raw!$B$2:$FB$2=$H48), 0))</f>
        <v>0</v>
      </c>
      <c r="Z48" s="11" cm="1">
        <f t="array" ref="Z48">INDEX(Raw!R:FR, MATCH(Z$4, Raw!$A:$A, 0), MATCH(1, (Raw!$B$1:$FB$1=$I48)*(Raw!$B$2:$FB$2=$H48), 0))</f>
        <v>0</v>
      </c>
      <c r="AA48" s="11" cm="1">
        <f t="array" ref="AA48">INDEX(Raw!S:FS, MATCH(AA$4, Raw!$A:$A, 0), MATCH(1, (Raw!$B$1:$FB$1=$I48)*(Raw!$B$2:$FB$2=$H48), 0))</f>
        <v>0</v>
      </c>
      <c r="AB48" s="11" cm="1">
        <f t="array" ref="AB48">INDEX(Raw!T:FT, MATCH(AB$4, Raw!$A:$A, 0), MATCH(1, (Raw!$B$1:$FB$1=$I48)*(Raw!$B$2:$FB$2=$H48), 0))</f>
        <v>0</v>
      </c>
      <c r="AC48" s="11" cm="1">
        <f t="array" ref="AC48">INDEX(Raw!U:FU, MATCH(AC$4, Raw!$A:$A, 0), MATCH(1, (Raw!$B$1:$FB$1=$I48)*(Raw!$B$2:$FB$2=$H48), 0))</f>
        <v>0.51500000000000001</v>
      </c>
      <c r="AD48" s="11" cm="1">
        <f t="array" ref="AD48">INDEX(Raw!V:FV, MATCH(AD$4, Raw!$A:$A, 0), MATCH(1, (Raw!$B$1:$FB$1=$I48)*(Raw!$B$2:$FB$2=$H48), 0))</f>
        <v>0.34499999999999997</v>
      </c>
    </row>
    <row r="49" spans="6:30" x14ac:dyDescent="0.25">
      <c r="F49" s="11" t="s">
        <v>28</v>
      </c>
      <c r="G49" s="15">
        <f t="shared" ca="1" si="1"/>
        <v>46088</v>
      </c>
      <c r="H49" s="11">
        <f>H45-1</f>
        <v>2014</v>
      </c>
      <c r="I49" s="11" t="s">
        <v>21</v>
      </c>
      <c r="J49" s="11" cm="1">
        <f t="array" ref="J49">INDEX(Raw!B:FB, MATCH(J$4, Raw!$A:$A, 0), MATCH(1, (Raw!$B$1:$FB$1=$I49)*(Raw!$B$2:$FB$2=$H49), 0))</f>
        <v>10872000000</v>
      </c>
      <c r="K49" s="11" cm="1">
        <f t="array" ref="K49">INDEX(Raw!C:FC, MATCH(K$4, Raw!$A:$A, 0), MATCH(1, (Raw!$B$1:$FB$1=$I49)*(Raw!$B$2:$FB$2=$H49), 0))</f>
        <v>4630000000</v>
      </c>
      <c r="L49" s="11" cm="1">
        <f t="array" ref="L49">INDEX(Raw!D:FD, MATCH(L$4, Raw!$A:$A, 0), MATCH(1, (Raw!$B$1:$FB$1=$I49)*(Raw!$B$2:$FB$2=$H49), 0))</f>
        <v>7755000000</v>
      </c>
      <c r="M49" s="11" cm="1">
        <f t="array" ref="M49">INDEX(Raw!E:FE, MATCH(M$4, Raw!$A:$A, 0), MATCH(1, (Raw!$B$1:$FB$1=$I49)*(Raw!$B$2:$FB$2=$H49), 0))</f>
        <v>3989000000</v>
      </c>
      <c r="N49" s="11" cm="1">
        <f t="array" ref="N49">INDEX(Raw!F:FF, MATCH(N$4, Raw!$A:$A, 0), MATCH(1, (Raw!$B$1:$FB$1=$I49)*(Raw!$B$2:$FB$2=$H49), 0))</f>
        <v>-301000000</v>
      </c>
      <c r="O49" s="11" cm="1">
        <f t="array" ref="O49">INDEX(Raw!G:FG, MATCH(O$4, Raw!$A:$A, 0), MATCH(1, (Raw!$B$1:$FB$1=$I49)*(Raw!$B$2:$FB$2=$H49), 0))</f>
        <v>4765000000</v>
      </c>
      <c r="P49" s="11" cm="1">
        <f t="array" ref="P49">INDEX(Raw!H:FH, MATCH(P$4, Raw!$A:$A, 0), MATCH(1, (Raw!$B$1:$FB$1=$I49)*(Raw!$B$2:$FB$2=$H49), 0))</f>
        <v>3243000000</v>
      </c>
      <c r="Q49" s="11" cm="1">
        <f t="array" ref="Q49">INDEX(Raw!I:FI, MATCH(Q$4, Raw!$A:$A, 0), MATCH(1, (Raw!$B$1:$FB$1=$I49)*(Raw!$B$2:$FB$2=$H49), 0))</f>
        <v>-64000000</v>
      </c>
      <c r="R49" s="11" cm="1">
        <f t="array" ref="R49">INDEX(Raw!J:FJ, MATCH(R$4, Raw!$A:$A, 0), MATCH(1, (Raw!$B$1:$FB$1=$I49)*(Raw!$B$2:$FB$2=$H49), 0))</f>
        <v>2377000000</v>
      </c>
      <c r="S49" s="11" cm="1">
        <f t="array" ref="S49">INDEX(Raw!K:FK, MATCH(S$4, Raw!$A:$A, 0), MATCH(1, (Raw!$B$1:$FB$1=$I49)*(Raw!$B$2:$FB$2=$H49), 0))</f>
        <v>755000000</v>
      </c>
      <c r="T49" s="11" cm="1">
        <f t="array" ref="T49">INDEX(Raw!L:FL, MATCH(T$4, Raw!$A:$A, 0), MATCH(1, (Raw!$B$1:$FB$1=$I49)*(Raw!$B$2:$FB$2=$H49), 0))</f>
        <v>2800000000</v>
      </c>
      <c r="U49" s="11" cm="1">
        <f t="array" ref="U49">INDEX(Raw!M:FM, MATCH(U$4, Raw!$A:$A, 0), MATCH(1, (Raw!$B$1:$FB$1=$I49)*(Raw!$B$2:$FB$2=$H49), 0))</f>
        <v>0</v>
      </c>
      <c r="V49" s="11" cm="1">
        <f t="array" ref="V49">INDEX(Raw!N:FN, MATCH(V$4, Raw!$A:$A, 0), MATCH(1, (Raw!$B$1:$FB$1=$I49)*(Raw!$B$2:$FB$2=$H49), 0))</f>
        <v>1677000000</v>
      </c>
      <c r="W49" s="11" cm="1">
        <f t="array" ref="W49">INDEX(Raw!O:FO, MATCH(W$4, Raw!$A:$A, 0), MATCH(1, (Raw!$B$1:$FB$1=$I49)*(Raw!$B$2:$FB$2=$H49), 0))</f>
        <v>0</v>
      </c>
      <c r="X49" s="11" cm="1">
        <f t="array" ref="X49">INDEX(Raw!P:FP, MATCH(X$4, Raw!$A:$A, 0), MATCH(1, (Raw!$B$1:$FB$1=$I49)*(Raw!$B$2:$FB$2=$H49), 0))</f>
        <v>2800000000</v>
      </c>
      <c r="Y49" s="11" cm="1">
        <f t="array" ref="Y49">INDEX(Raw!Q:FQ, MATCH(Y$4, Raw!$A:$A, 0), MATCH(1, (Raw!$B$1:$FB$1=$I49)*(Raw!$B$2:$FB$2=$H49), 0))</f>
        <v>0</v>
      </c>
      <c r="Z49" s="11" cm="1">
        <f t="array" ref="Z49">INDEX(Raw!R:FR, MATCH(Z$4, Raw!$A:$A, 0), MATCH(1, (Raw!$B$1:$FB$1=$I49)*(Raw!$B$2:$FB$2=$H49), 0))</f>
        <v>0</v>
      </c>
      <c r="AA49" s="11" cm="1">
        <f t="array" ref="AA49">INDEX(Raw!S:FS, MATCH(AA$4, Raw!$A:$A, 0), MATCH(1, (Raw!$B$1:$FB$1=$I49)*(Raw!$B$2:$FB$2=$H49), 0))</f>
        <v>0</v>
      </c>
      <c r="AB49" s="11" cm="1">
        <f t="array" ref="AB49">INDEX(Raw!T:FT, MATCH(AB$4, Raw!$A:$A, 0), MATCH(1, (Raw!$B$1:$FB$1=$I49)*(Raw!$B$2:$FB$2=$H49), 0))</f>
        <v>0</v>
      </c>
      <c r="AC49" s="11" cm="1">
        <f t="array" ref="AC49">INDEX(Raw!U:FU, MATCH(AC$4, Raw!$A:$A, 0), MATCH(1, (Raw!$B$1:$FB$1=$I49)*(Raw!$B$2:$FB$2=$H49), 0))</f>
        <v>0.35</v>
      </c>
      <c r="AD49" s="11" cm="1">
        <f t="array" ref="AD49">INDEX(Raw!V:FV, MATCH(AD$4, Raw!$A:$A, 0), MATCH(1, (Raw!$B$1:$FB$1=$I49)*(Raw!$B$2:$FB$2=$H49), 0))</f>
        <v>0.33</v>
      </c>
    </row>
    <row r="50" spans="6:30" x14ac:dyDescent="0.25">
      <c r="F50" s="11" t="s">
        <v>28</v>
      </c>
      <c r="G50" s="15">
        <f t="shared" ca="1" si="1"/>
        <v>46088</v>
      </c>
      <c r="H50" s="11">
        <f>H49</f>
        <v>2014</v>
      </c>
      <c r="I50" s="11" t="s">
        <v>22</v>
      </c>
      <c r="J50" s="11" cm="1">
        <f t="array" ref="J50">INDEX(Raw!B:FB, MATCH(J$4, Raw!$A:$A, 0), MATCH(1, (Raw!$B$1:$FB$1=$I50)*(Raw!$B$2:$FB$2=$H50), 0))</f>
        <v>11976000000</v>
      </c>
      <c r="K50" s="11" cm="1">
        <f t="array" ref="K50">INDEX(Raw!C:FC, MATCH(K$4, Raw!$A:$A, 0), MATCH(1, (Raw!$B$1:$FB$1=$I50)*(Raw!$B$2:$FB$2=$H50), 0))</f>
        <v>4819000000</v>
      </c>
      <c r="L50" s="11" cm="1">
        <f t="array" ref="L50">INDEX(Raw!D:FD, MATCH(L$4, Raw!$A:$A, 0), MATCH(1, (Raw!$B$1:$FB$1=$I50)*(Raw!$B$2:$FB$2=$H50), 0))</f>
        <v>6493000000</v>
      </c>
      <c r="M50" s="11" cm="1">
        <f t="array" ref="M50">INDEX(Raw!E:FE, MATCH(M$4, Raw!$A:$A, 0), MATCH(1, (Raw!$B$1:$FB$1=$I50)*(Raw!$B$2:$FB$2=$H50), 0))</f>
        <v>4319000000</v>
      </c>
      <c r="N50" s="11" cm="1">
        <f t="array" ref="N50">INDEX(Raw!F:FF, MATCH(N$4, Raw!$A:$A, 0), MATCH(1, (Raw!$B$1:$FB$1=$I50)*(Raw!$B$2:$FB$2=$H50), 0))</f>
        <v>-341000000</v>
      </c>
      <c r="O50" s="11" cm="1">
        <f t="array" ref="O50">INDEX(Raw!G:FG, MATCH(O$4, Raw!$A:$A, 0), MATCH(1, (Raw!$B$1:$FB$1=$I50)*(Raw!$B$2:$FB$2=$H50), 0))</f>
        <v>4517000000</v>
      </c>
      <c r="P50" s="11" cm="1">
        <f t="array" ref="P50">INDEX(Raw!H:FH, MATCH(P$4, Raw!$A:$A, 0), MATCH(1, (Raw!$B$1:$FB$1=$I50)*(Raw!$B$2:$FB$2=$H50), 0))</f>
        <v>2408000000</v>
      </c>
      <c r="Q50" s="11" cm="1">
        <f t="array" ref="Q50">INDEX(Raw!I:FI, MATCH(Q$4, Raw!$A:$A, 0), MATCH(1, (Raw!$B$1:$FB$1=$I50)*(Raw!$B$2:$FB$2=$H50), 0))</f>
        <v>194000000</v>
      </c>
      <c r="R50" s="11" cm="1">
        <f t="array" ref="R50">INDEX(Raw!J:FJ, MATCH(R$4, Raw!$A:$A, 0), MATCH(1, (Raw!$B$1:$FB$1=$I50)*(Raw!$B$2:$FB$2=$H50), 0))</f>
        <v>3084000000</v>
      </c>
      <c r="S50" s="11" cm="1">
        <f t="array" ref="S50">INDEX(Raw!K:FK, MATCH(S$4, Raw!$A:$A, 0), MATCH(1, (Raw!$B$1:$FB$1=$I50)*(Raw!$B$2:$FB$2=$H50), 0))</f>
        <v>823000000</v>
      </c>
      <c r="T50" s="11" cm="1">
        <f t="array" ref="T50">INDEX(Raw!L:FL, MATCH(T$4, Raw!$A:$A, 0), MATCH(1, (Raw!$B$1:$FB$1=$I50)*(Raw!$B$2:$FB$2=$H50), 0))</f>
        <v>2067000000</v>
      </c>
      <c r="U50" s="11" cm="1">
        <f t="array" ref="U50">INDEX(Raw!M:FM, MATCH(U$4, Raw!$A:$A, 0), MATCH(1, (Raw!$B$1:$FB$1=$I50)*(Raw!$B$2:$FB$2=$H50), 0))</f>
        <v>0</v>
      </c>
      <c r="V50" s="11" cm="1">
        <f t="array" ref="V50">INDEX(Raw!N:FN, MATCH(V$4, Raw!$A:$A, 0), MATCH(1, (Raw!$B$1:$FB$1=$I50)*(Raw!$B$2:$FB$2=$H50), 0))</f>
        <v>2246000000</v>
      </c>
      <c r="W50" s="11" cm="1">
        <f t="array" ref="W50">INDEX(Raw!O:FO, MATCH(W$4, Raw!$A:$A, 0), MATCH(1, (Raw!$B$1:$FB$1=$I50)*(Raw!$B$2:$FB$2=$H50), 0))</f>
        <v>0</v>
      </c>
      <c r="X50" s="11" cm="1">
        <f t="array" ref="X50">INDEX(Raw!P:FP, MATCH(X$4, Raw!$A:$A, 0), MATCH(1, (Raw!$B$1:$FB$1=$I50)*(Raw!$B$2:$FB$2=$H50), 0))</f>
        <v>1903000000</v>
      </c>
      <c r="Y50" s="11" cm="1">
        <f t="array" ref="Y50">INDEX(Raw!Q:FQ, MATCH(Y$4, Raw!$A:$A, 0), MATCH(1, (Raw!$B$1:$FB$1=$I50)*(Raw!$B$2:$FB$2=$H50), 0))</f>
        <v>0</v>
      </c>
      <c r="Z50" s="11" cm="1">
        <f t="array" ref="Z50">INDEX(Raw!R:FR, MATCH(Z$4, Raw!$A:$A, 0), MATCH(1, (Raw!$B$1:$FB$1=$I50)*(Raw!$B$2:$FB$2=$H50), 0))</f>
        <v>0</v>
      </c>
      <c r="AA50" s="11" cm="1">
        <f t="array" ref="AA50">INDEX(Raw!S:FS, MATCH(AA$4, Raw!$A:$A, 0), MATCH(1, (Raw!$B$1:$FB$1=$I50)*(Raw!$B$2:$FB$2=$H50), 0))</f>
        <v>0</v>
      </c>
      <c r="AB50" s="11" cm="1">
        <f t="array" ref="AB50">INDEX(Raw!T:FT, MATCH(AB$4, Raw!$A:$A, 0), MATCH(1, (Raw!$B$1:$FB$1=$I50)*(Raw!$B$2:$FB$2=$H50), 0))</f>
        <v>0</v>
      </c>
      <c r="AC50" s="11" cm="1">
        <f t="array" ref="AC50">INDEX(Raw!U:FU, MATCH(AC$4, Raw!$A:$A, 0), MATCH(1, (Raw!$B$1:$FB$1=$I50)*(Raw!$B$2:$FB$2=$H50), 0))</f>
        <v>0.33500000000000002</v>
      </c>
      <c r="AD50" s="11" cm="1">
        <f t="array" ref="AD50">INDEX(Raw!V:FV, MATCH(AD$4, Raw!$A:$A, 0), MATCH(1, (Raw!$B$1:$FB$1=$I50)*(Raw!$B$2:$FB$2=$H50), 0))</f>
        <v>0.40500000000000003</v>
      </c>
    </row>
    <row r="51" spans="6:30" x14ac:dyDescent="0.25">
      <c r="F51" s="11" t="s">
        <v>28</v>
      </c>
      <c r="G51" s="15">
        <f t="shared" ca="1" si="1"/>
        <v>46088</v>
      </c>
      <c r="H51" s="11">
        <f>H50</f>
        <v>2014</v>
      </c>
      <c r="I51" s="11" t="s">
        <v>23</v>
      </c>
      <c r="J51" s="11" cm="1">
        <f t="array" ref="J51">INDEX(Raw!B:FB, MATCH(J$4, Raw!$A:$A, 0), MATCH(1, (Raw!$B$1:$FB$1=$I51)*(Raw!$B$2:$FB$2=$H51), 0))</f>
        <v>12574000000</v>
      </c>
      <c r="K51" s="11" cm="1">
        <f t="array" ref="K51">INDEX(Raw!C:FC, MATCH(K$4, Raw!$A:$A, 0), MATCH(1, (Raw!$B$1:$FB$1=$I51)*(Raw!$B$2:$FB$2=$H51), 0))</f>
        <v>4083000000</v>
      </c>
      <c r="L51" s="11" cm="1">
        <f t="array" ref="L51">INDEX(Raw!D:FD, MATCH(L$4, Raw!$A:$A, 0), MATCH(1, (Raw!$B$1:$FB$1=$I51)*(Raw!$B$2:$FB$2=$H51), 0))</f>
        <v>6725000000</v>
      </c>
      <c r="M51" s="11" cm="1">
        <f t="array" ref="M51">INDEX(Raw!E:FE, MATCH(M$4, Raw!$A:$A, 0), MATCH(1, (Raw!$B$1:$FB$1=$I51)*(Raw!$B$2:$FB$2=$H51), 0))</f>
        <v>4424000000</v>
      </c>
      <c r="N51" s="11" cm="1">
        <f t="array" ref="N51">INDEX(Raw!F:FF, MATCH(N$4, Raw!$A:$A, 0), MATCH(1, (Raw!$B$1:$FB$1=$I51)*(Raw!$B$2:$FB$2=$H51), 0))</f>
        <v>-132000000</v>
      </c>
      <c r="O51" s="11" cm="1">
        <f t="array" ref="O51">INDEX(Raw!G:FG, MATCH(O$4, Raw!$A:$A, 0), MATCH(1, (Raw!$B$1:$FB$1=$I51)*(Raw!$B$2:$FB$2=$H51), 0))</f>
        <v>4303000000</v>
      </c>
      <c r="P51" s="11" cm="1">
        <f t="array" ref="P51">INDEX(Raw!H:FH, MATCH(P$4, Raw!$A:$A, 0), MATCH(1, (Raw!$B$1:$FB$1=$I51)*(Raw!$B$2:$FB$2=$H51), 0))</f>
        <v>2183000000</v>
      </c>
      <c r="Q51" s="11" cm="1">
        <f t="array" ref="Q51">INDEX(Raw!I:FI, MATCH(Q$4, Raw!$A:$A, 0), MATCH(1, (Raw!$B$1:$FB$1=$I51)*(Raw!$B$2:$FB$2=$H51), 0))</f>
        <v>291000000</v>
      </c>
      <c r="R51" s="11" cm="1">
        <f t="array" ref="R51">INDEX(Raw!J:FJ, MATCH(R$4, Raw!$A:$A, 0), MATCH(1, (Raw!$B$1:$FB$1=$I51)*(Raw!$B$2:$FB$2=$H51), 0))</f>
        <v>3623000000</v>
      </c>
      <c r="S51" s="11" cm="1">
        <f t="array" ref="S51">INDEX(Raw!K:FK, MATCH(S$4, Raw!$A:$A, 0), MATCH(1, (Raw!$B$1:$FB$1=$I51)*(Raw!$B$2:$FB$2=$H51), 0))</f>
        <v>658000000</v>
      </c>
      <c r="T51" s="11" cm="1">
        <f t="array" ref="T51">INDEX(Raw!L:FL, MATCH(T$4, Raw!$A:$A, 0), MATCH(1, (Raw!$B$1:$FB$1=$I51)*(Raw!$B$2:$FB$2=$H51), 0))</f>
        <v>1677000000</v>
      </c>
      <c r="U51" s="11" cm="1">
        <f t="array" ref="U51">INDEX(Raw!M:FM, MATCH(U$4, Raw!$A:$A, 0), MATCH(1, (Raw!$B$1:$FB$1=$I51)*(Raw!$B$2:$FB$2=$H51), 0))</f>
        <v>0</v>
      </c>
      <c r="V51" s="11" cm="1">
        <f t="array" ref="V51">INDEX(Raw!N:FN, MATCH(V$4, Raw!$A:$A, 0), MATCH(1, (Raw!$B$1:$FB$1=$I51)*(Raw!$B$2:$FB$2=$H51), 0))</f>
        <v>2807000000</v>
      </c>
      <c r="W51" s="11" cm="1">
        <f t="array" ref="W51">INDEX(Raw!O:FO, MATCH(W$4, Raw!$A:$A, 0), MATCH(1, (Raw!$B$1:$FB$1=$I51)*(Raw!$B$2:$FB$2=$H51), 0))</f>
        <v>0</v>
      </c>
      <c r="X51" s="11" cm="1">
        <f t="array" ref="X51">INDEX(Raw!P:FP, MATCH(X$4, Raw!$A:$A, 0), MATCH(1, (Raw!$B$1:$FB$1=$I51)*(Raw!$B$2:$FB$2=$H51), 0))</f>
        <v>5749000000</v>
      </c>
      <c r="Y51" s="11" cm="1">
        <f t="array" ref="Y51">INDEX(Raw!Q:FQ, MATCH(Y$4, Raw!$A:$A, 0), MATCH(1, (Raw!$B$1:$FB$1=$I51)*(Raw!$B$2:$FB$2=$H51), 0))</f>
        <v>0</v>
      </c>
      <c r="Z51" s="11" cm="1">
        <f t="array" ref="Z51">INDEX(Raw!R:FR, MATCH(Z$4, Raw!$A:$A, 0), MATCH(1, (Raw!$B$1:$FB$1=$I51)*(Raw!$B$2:$FB$2=$H51), 0))</f>
        <v>0</v>
      </c>
      <c r="AA51" s="11" cm="1">
        <f t="array" ref="AA51">INDEX(Raw!S:FS, MATCH(AA$4, Raw!$A:$A, 0), MATCH(1, (Raw!$B$1:$FB$1=$I51)*(Raw!$B$2:$FB$2=$H51), 0))</f>
        <v>0</v>
      </c>
      <c r="AB51" s="11" cm="1">
        <f t="array" ref="AB51">INDEX(Raw!T:FT, MATCH(AB$4, Raw!$A:$A, 0), MATCH(1, (Raw!$B$1:$FB$1=$I51)*(Raw!$B$2:$FB$2=$H51), 0))</f>
        <v>0</v>
      </c>
      <c r="AC51" s="11" cm="1">
        <f t="array" ref="AC51">INDEX(Raw!U:FU, MATCH(AC$4, Raw!$A:$A, 0), MATCH(1, (Raw!$B$1:$FB$1=$I51)*(Raw!$B$2:$FB$2=$H51), 0))</f>
        <v>0.41</v>
      </c>
      <c r="AD51" s="11" cm="1">
        <f t="array" ref="AD51">INDEX(Raw!V:FV, MATCH(AD$4, Raw!$A:$A, 0), MATCH(1, (Raw!$B$1:$FB$1=$I51)*(Raw!$B$2:$FB$2=$H51), 0))</f>
        <v>0.44</v>
      </c>
    </row>
    <row r="52" spans="6:30" x14ac:dyDescent="0.25">
      <c r="F52" s="11" t="s">
        <v>28</v>
      </c>
      <c r="G52" s="15">
        <f t="shared" ca="1" si="1"/>
        <v>46088</v>
      </c>
      <c r="H52" s="11">
        <f>H51</f>
        <v>2014</v>
      </c>
      <c r="I52" s="11" t="s">
        <v>24</v>
      </c>
      <c r="J52" s="11" cm="1">
        <f t="array" ref="J52">INDEX(Raw!B:FB, MATCH(J$4, Raw!$A:$A, 0), MATCH(1, (Raw!$B$1:$FB$1=$I52)*(Raw!$B$2:$FB$2=$H52), 0))</f>
        <v>10576000000</v>
      </c>
      <c r="K52" s="11" cm="1">
        <f t="array" ref="K52">INDEX(Raw!C:FC, MATCH(K$4, Raw!$A:$A, 0), MATCH(1, (Raw!$B$1:$FB$1=$I52)*(Raw!$B$2:$FB$2=$H52), 0))</f>
        <v>4315000000</v>
      </c>
      <c r="L52" s="11" cm="1">
        <f t="array" ref="L52">INDEX(Raw!D:FD, MATCH(L$4, Raw!$A:$A, 0), MATCH(1, (Raw!$B$1:$FB$1=$I52)*(Raw!$B$2:$FB$2=$H52), 0))</f>
        <v>7237000000</v>
      </c>
      <c r="M52" s="11" cm="1">
        <f t="array" ref="M52">INDEX(Raw!E:FE, MATCH(M$4, Raw!$A:$A, 0), MATCH(1, (Raw!$B$1:$FB$1=$I52)*(Raw!$B$2:$FB$2=$H52), 0))</f>
        <v>4385000000</v>
      </c>
      <c r="N52" s="11" cm="1">
        <f t="array" ref="N52">INDEX(Raw!F:FF, MATCH(N$4, Raw!$A:$A, 0), MATCH(1, (Raw!$B$1:$FB$1=$I52)*(Raw!$B$2:$FB$2=$H52), 0))</f>
        <v>-121000000</v>
      </c>
      <c r="O52" s="11" cm="1">
        <f t="array" ref="O52">INDEX(Raw!G:FG, MATCH(O$4, Raw!$A:$A, 0), MATCH(1, (Raw!$B$1:$FB$1=$I52)*(Raw!$B$2:$FB$2=$H52), 0))</f>
        <v>4644000000</v>
      </c>
      <c r="P52" s="11" cm="1">
        <f t="array" ref="P52">INDEX(Raw!H:FH, MATCH(P$4, Raw!$A:$A, 0), MATCH(1, (Raw!$B$1:$FB$1=$I52)*(Raw!$B$2:$FB$2=$H52), 0))</f>
        <v>2793000000</v>
      </c>
      <c r="Q52" s="11" cm="1">
        <f t="array" ref="Q52">INDEX(Raw!I:FI, MATCH(Q$4, Raw!$A:$A, 0), MATCH(1, (Raw!$B$1:$FB$1=$I52)*(Raw!$B$2:$FB$2=$H52), 0))</f>
        <v>329000000</v>
      </c>
      <c r="R52" s="11" cm="1">
        <f t="array" ref="R52">INDEX(Raw!J:FJ, MATCH(R$4, Raw!$A:$A, 0), MATCH(1, (Raw!$B$1:$FB$1=$I52)*(Raw!$B$2:$FB$2=$H52), 0))</f>
        <v>2725000000</v>
      </c>
      <c r="S52" s="11" cm="1">
        <f t="array" ref="S52">INDEX(Raw!K:FK, MATCH(S$4, Raw!$A:$A, 0), MATCH(1, (Raw!$B$1:$FB$1=$I52)*(Raw!$B$2:$FB$2=$H52), 0))</f>
        <v>539000000</v>
      </c>
      <c r="T52" s="11" cm="1">
        <f t="array" ref="T52">INDEX(Raw!L:FL, MATCH(T$4, Raw!$A:$A, 0), MATCH(1, (Raw!$B$1:$FB$1=$I52)*(Raw!$B$2:$FB$2=$H52), 0))</f>
        <v>2246000000</v>
      </c>
      <c r="U52" s="11" cm="1">
        <f t="array" ref="U52">INDEX(Raw!M:FM, MATCH(U$4, Raw!$A:$A, 0), MATCH(1, (Raw!$B$1:$FB$1=$I52)*(Raw!$B$2:$FB$2=$H52), 0))</f>
        <v>0</v>
      </c>
      <c r="V52" s="11" cm="1">
        <f t="array" ref="V52">INDEX(Raw!N:FN, MATCH(V$4, Raw!$A:$A, 0), MATCH(1, (Raw!$B$1:$FB$1=$I52)*(Raw!$B$2:$FB$2=$H52), 0))</f>
        <v>1916000000</v>
      </c>
      <c r="W52" s="11" cm="1">
        <f t="array" ref="W52">INDEX(Raw!O:FO, MATCH(W$4, Raw!$A:$A, 0), MATCH(1, (Raw!$B$1:$FB$1=$I52)*(Raw!$B$2:$FB$2=$H52), 0))</f>
        <v>0</v>
      </c>
      <c r="X52" s="11" cm="1">
        <f t="array" ref="X52">INDEX(Raw!P:FP, MATCH(X$4, Raw!$A:$A, 0), MATCH(1, (Raw!$B$1:$FB$1=$I52)*(Raw!$B$2:$FB$2=$H52), 0))</f>
        <v>2055000000</v>
      </c>
      <c r="Y52" s="11" cm="1">
        <f t="array" ref="Y52">INDEX(Raw!Q:FQ, MATCH(Y$4, Raw!$A:$A, 0), MATCH(1, (Raw!$B$1:$FB$1=$I52)*(Raw!$B$2:$FB$2=$H52), 0))</f>
        <v>0</v>
      </c>
      <c r="Z52" s="11" cm="1">
        <f t="array" ref="Z52">INDEX(Raw!R:FR, MATCH(Z$4, Raw!$A:$A, 0), MATCH(1, (Raw!$B$1:$FB$1=$I52)*(Raw!$B$2:$FB$2=$H52), 0))</f>
        <v>0</v>
      </c>
      <c r="AA52" s="11" cm="1">
        <f t="array" ref="AA52">INDEX(Raw!S:FS, MATCH(AA$4, Raw!$A:$A, 0), MATCH(1, (Raw!$B$1:$FB$1=$I52)*(Raw!$B$2:$FB$2=$H52), 0))</f>
        <v>0</v>
      </c>
      <c r="AB52" s="11" cm="1">
        <f t="array" ref="AB52">INDEX(Raw!T:FT, MATCH(AB$4, Raw!$A:$A, 0), MATCH(1, (Raw!$B$1:$FB$1=$I52)*(Raw!$B$2:$FB$2=$H52), 0))</f>
        <v>0</v>
      </c>
      <c r="AC52" s="11" cm="1">
        <f t="array" ref="AC52">INDEX(Raw!U:FU, MATCH(AC$4, Raw!$A:$A, 0), MATCH(1, (Raw!$B$1:$FB$1=$I52)*(Raw!$B$2:$FB$2=$H52), 0))</f>
        <v>0.44</v>
      </c>
      <c r="AD52" s="11" cm="1">
        <f t="array" ref="AD52">INDEX(Raw!V:FV, MATCH(AD$4, Raw!$A:$A, 0), MATCH(1, (Raw!$B$1:$FB$1=$I52)*(Raw!$B$2:$FB$2=$H52), 0))</f>
        <v>0.28999999999999998</v>
      </c>
    </row>
    <row r="53" spans="6:30" x14ac:dyDescent="0.25">
      <c r="F53" s="11" t="s">
        <v>28</v>
      </c>
      <c r="G53" s="15">
        <f t="shared" ca="1" si="1"/>
        <v>46088</v>
      </c>
      <c r="H53" s="11">
        <f>H49-1</f>
        <v>2013</v>
      </c>
      <c r="I53" s="11" t="s">
        <v>21</v>
      </c>
      <c r="J53" s="11" cm="1">
        <f t="array" ref="J53">INDEX(Raw!B:FB, MATCH(J$4, Raw!$A:$A, 0), MATCH(1, (Raw!$B$1:$FB$1=$I53)*(Raw!$B$2:$FB$2=$H53), 0))</f>
        <v>11040000000</v>
      </c>
      <c r="K53" s="11" cm="1">
        <f t="array" ref="K53">INDEX(Raw!C:FC, MATCH(K$4, Raw!$A:$A, 0), MATCH(1, (Raw!$B$1:$FB$1=$I53)*(Raw!$B$2:$FB$2=$H53), 0))</f>
        <v>4793000000</v>
      </c>
      <c r="L53" s="11" cm="1">
        <f t="array" ref="L53">INDEX(Raw!D:FD, MATCH(L$4, Raw!$A:$A, 0), MATCH(1, (Raw!$B$1:$FB$1=$I53)*(Raw!$B$2:$FB$2=$H53), 0))</f>
        <v>7760000000</v>
      </c>
      <c r="M53" s="11" cm="1">
        <f t="array" ref="M53">INDEX(Raw!E:FE, MATCH(M$4, Raw!$A:$A, 0), MATCH(1, (Raw!$B$1:$FB$1=$I53)*(Raw!$B$2:$FB$2=$H53), 0))</f>
        <v>4182000000</v>
      </c>
      <c r="N53" s="11" cm="1">
        <f t="array" ref="N53">INDEX(Raw!F:FF, MATCH(N$4, Raw!$A:$A, 0), MATCH(1, (Raw!$B$1:$FB$1=$I53)*(Raw!$B$2:$FB$2=$H53), 0))</f>
        <v>-214000000</v>
      </c>
      <c r="O53" s="11" cm="1">
        <f t="array" ref="O53">INDEX(Raw!G:FG, MATCH(O$4, Raw!$A:$A, 0), MATCH(1, (Raw!$B$1:$FB$1=$I53)*(Raw!$B$2:$FB$2=$H53), 0))</f>
        <v>4694000000</v>
      </c>
      <c r="P53" s="11" cm="1">
        <f t="array" ref="P53">INDEX(Raw!H:FH, MATCH(P$4, Raw!$A:$A, 0), MATCH(1, (Raw!$B$1:$FB$1=$I53)*(Raw!$B$2:$FB$2=$H53), 0))</f>
        <v>3294000000</v>
      </c>
      <c r="Q53" s="11" cm="1">
        <f t="array" ref="Q53">INDEX(Raw!I:FI, MATCH(Q$4, Raw!$A:$A, 0), MATCH(1, (Raw!$B$1:$FB$1=$I53)*(Raw!$B$2:$FB$2=$H53), 0))</f>
        <v>216000000</v>
      </c>
      <c r="R53" s="11" cm="1">
        <f t="array" ref="R53">INDEX(Raw!J:FJ, MATCH(R$4, Raw!$A:$A, 0), MATCH(1, (Raw!$B$1:$FB$1=$I53)*(Raw!$B$2:$FB$2=$H53), 0))</f>
        <v>2216000000</v>
      </c>
      <c r="S53" s="11" cm="1">
        <f t="array" ref="S53">INDEX(Raw!K:FK, MATCH(S$4, Raw!$A:$A, 0), MATCH(1, (Raw!$B$1:$FB$1=$I53)*(Raw!$B$2:$FB$2=$H53), 0))</f>
        <v>681000000</v>
      </c>
      <c r="T53" s="11" cm="1">
        <f t="array" ref="T53">INDEX(Raw!L:FL, MATCH(T$4, Raw!$A:$A, 0), MATCH(1, (Raw!$B$1:$FB$1=$I53)*(Raw!$B$2:$FB$2=$H53), 0))</f>
        <v>2807000000</v>
      </c>
      <c r="U53" s="11" cm="1">
        <f t="array" ref="U53">INDEX(Raw!M:FM, MATCH(U$4, Raw!$A:$A, 0), MATCH(1, (Raw!$B$1:$FB$1=$I53)*(Raw!$B$2:$FB$2=$H53), 0))</f>
        <v>0</v>
      </c>
      <c r="V53" s="11" cm="1">
        <f t="array" ref="V53">INDEX(Raw!N:FN, MATCH(V$4, Raw!$A:$A, 0), MATCH(1, (Raw!$B$1:$FB$1=$I53)*(Raw!$B$2:$FB$2=$H53), 0))</f>
        <v>5762000000</v>
      </c>
      <c r="W53" s="11" cm="1">
        <f t="array" ref="W53">INDEX(Raw!O:FO, MATCH(W$4, Raw!$A:$A, 0), MATCH(1, (Raw!$B$1:$FB$1=$I53)*(Raw!$B$2:$FB$2=$H53), 0))</f>
        <v>0</v>
      </c>
      <c r="X53" s="11" cm="1">
        <f t="array" ref="X53">INDEX(Raw!P:FP, MATCH(X$4, Raw!$A:$A, 0), MATCH(1, (Raw!$B$1:$FB$1=$I53)*(Raw!$B$2:$FB$2=$H53), 0))</f>
        <v>2369000000</v>
      </c>
      <c r="Y53" s="11" cm="1">
        <f t="array" ref="Y53">INDEX(Raw!Q:FQ, MATCH(Y$4, Raw!$A:$A, 0), MATCH(1, (Raw!$B$1:$FB$1=$I53)*(Raw!$B$2:$FB$2=$H53), 0))</f>
        <v>0</v>
      </c>
      <c r="Z53" s="11" cm="1">
        <f t="array" ref="Z53">INDEX(Raw!R:FR, MATCH(Z$4, Raw!$A:$A, 0), MATCH(1, (Raw!$B$1:$FB$1=$I53)*(Raw!$B$2:$FB$2=$H53), 0))</f>
        <v>0</v>
      </c>
      <c r="AA53" s="11" cm="1">
        <f t="array" ref="AA53">INDEX(Raw!S:FS, MATCH(AA$4, Raw!$A:$A, 0), MATCH(1, (Raw!$B$1:$FB$1=$I53)*(Raw!$B$2:$FB$2=$H53), 0))</f>
        <v>0</v>
      </c>
      <c r="AB53" s="11" cm="1">
        <f t="array" ref="AB53">INDEX(Raw!T:FT, MATCH(AB$4, Raw!$A:$A, 0), MATCH(1, (Raw!$B$1:$FB$1=$I53)*(Raw!$B$2:$FB$2=$H53), 0))</f>
        <v>0</v>
      </c>
      <c r="AC53" s="11" cm="1">
        <f t="array" ref="AC53">INDEX(Raw!U:FU, MATCH(AC$4, Raw!$A:$A, 0), MATCH(1, (Raw!$B$1:$FB$1=$I53)*(Raw!$B$2:$FB$2=$H53), 0))</f>
        <v>0.28999999999999998</v>
      </c>
      <c r="AD53" s="11" cm="1">
        <f t="array" ref="AD53">INDEX(Raw!V:FV, MATCH(AD$4, Raw!$A:$A, 0), MATCH(1, (Raw!$B$1:$FB$1=$I53)*(Raw!$B$2:$FB$2=$H53), 0))</f>
        <v>0.215</v>
      </c>
    </row>
    <row r="54" spans="6:30" x14ac:dyDescent="0.25">
      <c r="F54" s="11" t="s">
        <v>28</v>
      </c>
      <c r="G54" s="15">
        <f t="shared" ca="1" si="1"/>
        <v>46088</v>
      </c>
      <c r="H54" s="11">
        <f>H53</f>
        <v>2013</v>
      </c>
      <c r="I54" s="11" t="s">
        <v>22</v>
      </c>
      <c r="J54" s="11" cm="1">
        <f t="array" ref="J54">INDEX(Raw!B:FB, MATCH(J$4, Raw!$A:$A, 0), MATCH(1, (Raw!$B$1:$FB$1=$I54)*(Raw!$B$2:$FB$2=$H54), 0))</f>
        <v>12030000000</v>
      </c>
      <c r="K54" s="11" cm="1">
        <f t="array" ref="K54">INDEX(Raw!C:FC, MATCH(K$4, Raw!$A:$A, 0), MATCH(1, (Raw!$B$1:$FB$1=$I54)*(Raw!$B$2:$FB$2=$H54), 0))</f>
        <v>4989000000</v>
      </c>
      <c r="L54" s="11" cm="1">
        <f t="array" ref="L54">INDEX(Raw!D:FD, MATCH(L$4, Raw!$A:$A, 0), MATCH(1, (Raw!$B$1:$FB$1=$I54)*(Raw!$B$2:$FB$2=$H54), 0))</f>
        <v>6711000000</v>
      </c>
      <c r="M54" s="11" cm="1">
        <f t="array" ref="M54">INDEX(Raw!E:FE, MATCH(M$4, Raw!$A:$A, 0), MATCH(1, (Raw!$B$1:$FB$1=$I54)*(Raw!$B$2:$FB$2=$H54), 0))</f>
        <v>4430000000</v>
      </c>
      <c r="N54" s="11" cm="1">
        <f t="array" ref="N54">INDEX(Raw!F:FF, MATCH(N$4, Raw!$A:$A, 0), MATCH(1, (Raw!$B$1:$FB$1=$I54)*(Raw!$B$2:$FB$2=$H54), 0))</f>
        <v>-64000000</v>
      </c>
      <c r="O54" s="11" cm="1">
        <f t="array" ref="O54">INDEX(Raw!G:FG, MATCH(O$4, Raw!$A:$A, 0), MATCH(1, (Raw!$B$1:$FB$1=$I54)*(Raw!$B$2:$FB$2=$H54), 0))</f>
        <v>4567000000</v>
      </c>
      <c r="P54" s="11" cm="1">
        <f t="array" ref="P54">INDEX(Raw!H:FH, MATCH(P$4, Raw!$A:$A, 0), MATCH(1, (Raw!$B$1:$FB$1=$I54)*(Raw!$B$2:$FB$2=$H54), 0))</f>
        <v>2509000000</v>
      </c>
      <c r="Q54" s="11" cm="1">
        <f t="array" ref="Q54">INDEX(Raw!I:FI, MATCH(Q$4, Raw!$A:$A, 0), MATCH(1, (Raw!$B$1:$FB$1=$I54)*(Raw!$B$2:$FB$2=$H54), 0))</f>
        <v>260000000</v>
      </c>
      <c r="R54" s="11" cm="1">
        <f t="array" ref="R54">INDEX(Raw!J:FJ, MATCH(R$4, Raw!$A:$A, 0), MATCH(1, (Raw!$B$1:$FB$1=$I54)*(Raw!$B$2:$FB$2=$H54), 0))</f>
        <v>2927000000</v>
      </c>
      <c r="S54" s="11" cm="1">
        <f t="array" ref="S54">INDEX(Raw!K:FK, MATCH(S$4, Raw!$A:$A, 0), MATCH(1, (Raw!$B$1:$FB$1=$I54)*(Raw!$B$2:$FB$2=$H54), 0))</f>
        <v>992000000</v>
      </c>
      <c r="T54" s="11" cm="1">
        <f t="array" ref="T54">INDEX(Raw!L:FL, MATCH(T$4, Raw!$A:$A, 0), MATCH(1, (Raw!$B$1:$FB$1=$I54)*(Raw!$B$2:$FB$2=$H54), 0))</f>
        <v>1916000000</v>
      </c>
      <c r="U54" s="11" cm="1">
        <f t="array" ref="U54">INDEX(Raw!M:FM, MATCH(U$4, Raw!$A:$A, 0), MATCH(1, (Raw!$B$1:$FB$1=$I54)*(Raw!$B$2:$FB$2=$H54), 0))</f>
        <v>0</v>
      </c>
      <c r="V54" s="11" cm="1">
        <f t="array" ref="V54">INDEX(Raw!N:FN, MATCH(V$4, Raw!$A:$A, 0), MATCH(1, (Raw!$B$1:$FB$1=$I54)*(Raw!$B$2:$FB$2=$H54), 0))</f>
        <v>2067000000</v>
      </c>
      <c r="W54" s="11" cm="1">
        <f t="array" ref="W54">INDEX(Raw!O:FO, MATCH(W$4, Raw!$A:$A, 0), MATCH(1, (Raw!$B$1:$FB$1=$I54)*(Raw!$B$2:$FB$2=$H54), 0))</f>
        <v>0</v>
      </c>
      <c r="X54" s="11" cm="1">
        <f t="array" ref="X54">INDEX(Raw!P:FP, MATCH(X$4, Raw!$A:$A, 0), MATCH(1, (Raw!$B$1:$FB$1=$I54)*(Raw!$B$2:$FB$2=$H54), 0))</f>
        <v>1614000000</v>
      </c>
      <c r="Y54" s="11" cm="1">
        <f t="array" ref="Y54">INDEX(Raw!Q:FQ, MATCH(Y$4, Raw!$A:$A, 0), MATCH(1, (Raw!$B$1:$FB$1=$I54)*(Raw!$B$2:$FB$2=$H54), 0))</f>
        <v>0</v>
      </c>
      <c r="Z54" s="11" cm="1">
        <f t="array" ref="Z54">INDEX(Raw!R:FR, MATCH(Z$4, Raw!$A:$A, 0), MATCH(1, (Raw!$B$1:$FB$1=$I54)*(Raw!$B$2:$FB$2=$H54), 0))</f>
        <v>0</v>
      </c>
      <c r="AA54" s="11" cm="1">
        <f t="array" ref="AA54">INDEX(Raw!S:FS, MATCH(AA$4, Raw!$A:$A, 0), MATCH(1, (Raw!$B$1:$FB$1=$I54)*(Raw!$B$2:$FB$2=$H54), 0))</f>
        <v>0</v>
      </c>
      <c r="AB54" s="11" cm="1">
        <f t="array" ref="AB54">INDEX(Raw!T:FT, MATCH(AB$4, Raw!$A:$A, 0), MATCH(1, (Raw!$B$1:$FB$1=$I54)*(Raw!$B$2:$FB$2=$H54), 0))</f>
        <v>0</v>
      </c>
      <c r="AC54" s="11" cm="1">
        <f t="array" ref="AC54">INDEX(Raw!U:FU, MATCH(AC$4, Raw!$A:$A, 0), MATCH(1, (Raw!$B$1:$FB$1=$I54)*(Raw!$B$2:$FB$2=$H54), 0))</f>
        <v>0.215</v>
      </c>
      <c r="AD54" s="11" cm="1">
        <f t="array" ref="AD54">INDEX(Raw!V:FV, MATCH(AD$4, Raw!$A:$A, 0), MATCH(1, (Raw!$B$1:$FB$1=$I54)*(Raw!$B$2:$FB$2=$H54), 0))</f>
        <v>0.40500000000000003</v>
      </c>
    </row>
    <row r="55" spans="6:30" x14ac:dyDescent="0.25">
      <c r="F55" s="11" t="s">
        <v>28</v>
      </c>
      <c r="G55" s="15">
        <f t="shared" ca="1" si="1"/>
        <v>46088</v>
      </c>
      <c r="H55" s="11">
        <f>H54</f>
        <v>2013</v>
      </c>
      <c r="I55" s="11" t="s">
        <v>23</v>
      </c>
      <c r="J55" s="11" cm="1">
        <f t="array" ref="J55">INDEX(Raw!B:FB, MATCH(J$4, Raw!$A:$A, 0), MATCH(1, (Raw!$B$1:$FB$1=$I55)*(Raw!$B$2:$FB$2=$H55), 0))</f>
        <v>12749000000</v>
      </c>
      <c r="K55" s="11" cm="1">
        <f t="array" ref="K55">INDEX(Raw!C:FC, MATCH(K$4, Raw!$A:$A, 0), MATCH(1, (Raw!$B$1:$FB$1=$I55)*(Raw!$B$2:$FB$2=$H55), 0))</f>
        <v>4324000000</v>
      </c>
      <c r="L55" s="11" cm="1">
        <f t="array" ref="L55">INDEX(Raw!D:FD, MATCH(L$4, Raw!$A:$A, 0), MATCH(1, (Raw!$B$1:$FB$1=$I55)*(Raw!$B$2:$FB$2=$H55), 0))</f>
        <v>6827000000</v>
      </c>
      <c r="M55" s="11" cm="1">
        <f t="array" ref="M55">INDEX(Raw!E:FE, MATCH(M$4, Raw!$A:$A, 0), MATCH(1, (Raw!$B$1:$FB$1=$I55)*(Raw!$B$2:$FB$2=$H55), 0))</f>
        <v>4630000000</v>
      </c>
      <c r="N55" s="11" cm="1">
        <f t="array" ref="N55">INDEX(Raw!F:FF, MATCH(N$4, Raw!$A:$A, 0), MATCH(1, (Raw!$B$1:$FB$1=$I55)*(Raw!$B$2:$FB$2=$H55), 0))</f>
        <v>-70000000</v>
      </c>
      <c r="O55" s="11" cm="1">
        <f t="array" ref="O55">INDEX(Raw!G:FG, MATCH(O$4, Raw!$A:$A, 0), MATCH(1, (Raw!$B$1:$FB$1=$I55)*(Raw!$B$2:$FB$2=$H55), 0))</f>
        <v>4280000000</v>
      </c>
      <c r="P55" s="11" cm="1">
        <f t="array" ref="P55">INDEX(Raw!H:FH, MATCH(P$4, Raw!$A:$A, 0), MATCH(1, (Raw!$B$1:$FB$1=$I55)*(Raw!$B$2:$FB$2=$H55), 0))</f>
        <v>1956000000</v>
      </c>
      <c r="Q55" s="11" cm="1">
        <f t="array" ref="Q55">INDEX(Raw!I:FI, MATCH(Q$4, Raw!$A:$A, 0), MATCH(1, (Raw!$B$1:$FB$1=$I55)*(Raw!$B$2:$FB$2=$H55), 0))</f>
        <v>173000000</v>
      </c>
      <c r="R55" s="11" cm="1">
        <f t="array" ref="R55">INDEX(Raw!J:FJ, MATCH(R$4, Raw!$A:$A, 0), MATCH(1, (Raw!$B$1:$FB$1=$I55)*(Raw!$B$2:$FB$2=$H55), 0))</f>
        <v>3799000000</v>
      </c>
      <c r="S55" s="11" cm="1">
        <f t="array" ref="S55">INDEX(Raw!K:FK, MATCH(S$4, Raw!$A:$A, 0), MATCH(1, (Raw!$B$1:$FB$1=$I55)*(Raw!$B$2:$FB$2=$H55), 0))</f>
        <v>600000000</v>
      </c>
      <c r="T55" s="11" cm="1">
        <f t="array" ref="T55">INDEX(Raw!L:FL, MATCH(T$4, Raw!$A:$A, 0), MATCH(1, (Raw!$B$1:$FB$1=$I55)*(Raw!$B$2:$FB$2=$H55), 0))</f>
        <v>5762000000</v>
      </c>
      <c r="U55" s="11" cm="1">
        <f t="array" ref="U55">INDEX(Raw!M:FM, MATCH(U$4, Raw!$A:$A, 0), MATCH(1, (Raw!$B$1:$FB$1=$I55)*(Raw!$B$2:$FB$2=$H55), 0))</f>
        <v>0</v>
      </c>
      <c r="V55" s="11" cm="1">
        <f t="array" ref="V55">INDEX(Raw!N:FN, MATCH(V$4, Raw!$A:$A, 0), MATCH(1, (Raw!$B$1:$FB$1=$I55)*(Raw!$B$2:$FB$2=$H55), 0))</f>
        <v>2382000000</v>
      </c>
      <c r="W55" s="11" cm="1">
        <f t="array" ref="W55">INDEX(Raw!O:FO, MATCH(W$4, Raw!$A:$A, 0), MATCH(1, (Raw!$B$1:$FB$1=$I55)*(Raw!$B$2:$FB$2=$H55), 0))</f>
        <v>0</v>
      </c>
      <c r="X55" s="11" cm="1">
        <f t="array" ref="X55">INDEX(Raw!P:FP, MATCH(X$4, Raw!$A:$A, 0), MATCH(1, (Raw!$B$1:$FB$1=$I55)*(Raw!$B$2:$FB$2=$H55), 0))</f>
        <v>1543000000</v>
      </c>
      <c r="Y55" s="11" cm="1">
        <f t="array" ref="Y55">INDEX(Raw!Q:FQ, MATCH(Y$4, Raw!$A:$A, 0), MATCH(1, (Raw!$B$1:$FB$1=$I55)*(Raw!$B$2:$FB$2=$H55), 0))</f>
        <v>0</v>
      </c>
      <c r="Z55" s="11" cm="1">
        <f t="array" ref="Z55">INDEX(Raw!R:FR, MATCH(Z$4, Raw!$A:$A, 0), MATCH(1, (Raw!$B$1:$FB$1=$I55)*(Raw!$B$2:$FB$2=$H55), 0))</f>
        <v>0</v>
      </c>
      <c r="AA55" s="11" cm="1">
        <f t="array" ref="AA55">INDEX(Raw!S:FS, MATCH(AA$4, Raw!$A:$A, 0), MATCH(1, (Raw!$B$1:$FB$1=$I55)*(Raw!$B$2:$FB$2=$H55), 0))</f>
        <v>0</v>
      </c>
      <c r="AB55" s="11" cm="1">
        <f t="array" ref="AB55">INDEX(Raw!T:FT, MATCH(AB$4, Raw!$A:$A, 0), MATCH(1, (Raw!$B$1:$FB$1=$I55)*(Raw!$B$2:$FB$2=$H55), 0))</f>
        <v>0</v>
      </c>
      <c r="AC55" s="11" cm="1">
        <f t="array" ref="AC55">INDEX(Raw!U:FU, MATCH(AC$4, Raw!$A:$A, 0), MATCH(1, (Raw!$B$1:$FB$1=$I55)*(Raw!$B$2:$FB$2=$H55), 0))</f>
        <v>0.41</v>
      </c>
      <c r="AD55" s="11" cm="1">
        <f t="array" ref="AD55">INDEX(Raw!V:FV, MATCH(AD$4, Raw!$A:$A, 0), MATCH(1, (Raw!$B$1:$FB$1=$I55)*(Raw!$B$2:$FB$2=$H55), 0))</f>
        <v>0.30499999999999999</v>
      </c>
    </row>
    <row r="56" spans="6:30" x14ac:dyDescent="0.25">
      <c r="F56" s="11" t="s">
        <v>28</v>
      </c>
      <c r="G56" s="15">
        <f t="shared" ca="1" si="1"/>
        <v>46088</v>
      </c>
      <c r="H56" s="11">
        <f>H55</f>
        <v>2013</v>
      </c>
      <c r="I56" s="11" t="s">
        <v>24</v>
      </c>
      <c r="J56" s="11" cm="1">
        <f t="array" ref="J56">INDEX(Raw!B:FB, MATCH(J$4, Raw!$A:$A, 0), MATCH(1, (Raw!$B$1:$FB$1=$I56)*(Raw!$B$2:$FB$2=$H56), 0))</f>
        <v>11035000000</v>
      </c>
      <c r="K56" s="11" cm="1">
        <f t="array" ref="K56">INDEX(Raw!C:FC, MATCH(K$4, Raw!$A:$A, 0), MATCH(1, (Raw!$B$1:$FB$1=$I56)*(Raw!$B$2:$FB$2=$H56), 0))</f>
        <v>4628000000</v>
      </c>
      <c r="L56" s="11" cm="1">
        <f t="array" ref="L56">INDEX(Raw!D:FD, MATCH(L$4, Raw!$A:$A, 0), MATCH(1, (Raw!$B$1:$FB$1=$I56)*(Raw!$B$2:$FB$2=$H56), 0))</f>
        <v>7487000000</v>
      </c>
      <c r="M56" s="11" cm="1">
        <f t="array" ref="M56">INDEX(Raw!E:FE, MATCH(M$4, Raw!$A:$A, 0), MATCH(1, (Raw!$B$1:$FB$1=$I56)*(Raw!$B$2:$FB$2=$H56), 0))</f>
        <v>4497000000</v>
      </c>
      <c r="N56" s="11" cm="1">
        <f t="array" ref="N56">INDEX(Raw!F:FF, MATCH(N$4, Raw!$A:$A, 0), MATCH(1, (Raw!$B$1:$FB$1=$I56)*(Raw!$B$2:$FB$2=$H56), 0))</f>
        <v>-99000000</v>
      </c>
      <c r="O56" s="11" cm="1">
        <f t="array" ref="O56">INDEX(Raw!G:FG, MATCH(O$4, Raw!$A:$A, 0), MATCH(1, (Raw!$B$1:$FB$1=$I56)*(Raw!$B$2:$FB$2=$H56), 0))</f>
        <v>4681000000</v>
      </c>
      <c r="P56" s="11" cm="1">
        <f t="array" ref="P56">INDEX(Raw!H:FH, MATCH(P$4, Raw!$A:$A, 0), MATCH(1, (Raw!$B$1:$FB$1=$I56)*(Raw!$B$2:$FB$2=$H56), 0))</f>
        <v>2754000000</v>
      </c>
      <c r="Q56" s="11" cm="1">
        <f t="array" ref="Q56">INDEX(Raw!I:FI, MATCH(Q$4, Raw!$A:$A, 0), MATCH(1, (Raw!$B$1:$FB$1=$I56)*(Raw!$B$2:$FB$2=$H56), 0))</f>
        <v>620000000</v>
      </c>
      <c r="R56" s="11" cm="1">
        <f t="array" ref="R56">INDEX(Raw!J:FJ, MATCH(R$4, Raw!$A:$A, 0), MATCH(1, (Raw!$B$1:$FB$1=$I56)*(Raw!$B$2:$FB$2=$H56), 0))</f>
        <v>2516000000</v>
      </c>
      <c r="S56" s="11" cm="1">
        <f t="array" ref="S56">INDEX(Raw!K:FK, MATCH(S$4, Raw!$A:$A, 0), MATCH(1, (Raw!$B$1:$FB$1=$I56)*(Raw!$B$2:$FB$2=$H56), 0))</f>
        <v>443000000</v>
      </c>
      <c r="T56" s="11" cm="1">
        <f t="array" ref="T56">INDEX(Raw!L:FL, MATCH(T$4, Raw!$A:$A, 0), MATCH(1, (Raw!$B$1:$FB$1=$I56)*(Raw!$B$2:$FB$2=$H56), 0))</f>
        <v>2067000000</v>
      </c>
      <c r="U56" s="11" cm="1">
        <f t="array" ref="U56">INDEX(Raw!M:FM, MATCH(U$4, Raw!$A:$A, 0), MATCH(1, (Raw!$B$1:$FB$1=$I56)*(Raw!$B$2:$FB$2=$H56), 0))</f>
        <v>0</v>
      </c>
      <c r="V56" s="11" cm="1">
        <f t="array" ref="V56">INDEX(Raw!N:FN, MATCH(V$4, Raw!$A:$A, 0), MATCH(1, (Raw!$B$1:$FB$1=$I56)*(Raw!$B$2:$FB$2=$H56), 0))</f>
        <v>1626000000</v>
      </c>
      <c r="W56" s="11" cm="1">
        <f t="array" ref="W56">INDEX(Raw!O:FO, MATCH(W$4, Raw!$A:$A, 0), MATCH(1, (Raw!$B$1:$FB$1=$I56)*(Raw!$B$2:$FB$2=$H56), 0))</f>
        <v>0</v>
      </c>
      <c r="X56" s="11" cm="1">
        <f t="array" ref="X56">INDEX(Raw!P:FP, MATCH(X$4, Raw!$A:$A, 0), MATCH(1, (Raw!$B$1:$FB$1=$I56)*(Raw!$B$2:$FB$2=$H56), 0))</f>
        <v>1896000000</v>
      </c>
      <c r="Y56" s="11" cm="1">
        <f t="array" ref="Y56">INDEX(Raw!Q:FQ, MATCH(Y$4, Raw!$A:$A, 0), MATCH(1, (Raw!$B$1:$FB$1=$I56)*(Raw!$B$2:$FB$2=$H56), 0))</f>
        <v>0</v>
      </c>
      <c r="Z56" s="11" cm="1">
        <f t="array" ref="Z56">INDEX(Raw!R:FR, MATCH(Z$4, Raw!$A:$A, 0), MATCH(1, (Raw!$B$1:$FB$1=$I56)*(Raw!$B$2:$FB$2=$H56), 0))</f>
        <v>0</v>
      </c>
      <c r="AA56" s="11" cm="1">
        <f t="array" ref="AA56">INDEX(Raw!S:FS, MATCH(AA$4, Raw!$A:$A, 0), MATCH(1, (Raw!$B$1:$FB$1=$I56)*(Raw!$B$2:$FB$2=$H56), 0))</f>
        <v>0</v>
      </c>
      <c r="AB56" s="11" cm="1">
        <f t="array" ref="AB56">INDEX(Raw!T:FT, MATCH(AB$4, Raw!$A:$A, 0), MATCH(1, (Raw!$B$1:$FB$1=$I56)*(Raw!$B$2:$FB$2=$H56), 0))</f>
        <v>0</v>
      </c>
      <c r="AC56" s="11" cm="1">
        <f t="array" ref="AC56">INDEX(Raw!U:FU, MATCH(AC$4, Raw!$A:$A, 0), MATCH(1, (Raw!$B$1:$FB$1=$I56)*(Raw!$B$2:$FB$2=$H56), 0))</f>
        <v>0.30499999999999999</v>
      </c>
      <c r="AD56" s="11" cm="1">
        <f t="array" ref="AD56">INDEX(Raw!V:FV, MATCH(AD$4, Raw!$A:$A, 0), MATCH(1, (Raw!$B$1:$FB$1=$I56)*(Raw!$B$2:$FB$2=$H56), 0))</f>
        <v>0.32</v>
      </c>
    </row>
    <row r="57" spans="6:30" x14ac:dyDescent="0.25">
      <c r="F57" s="11" t="s">
        <v>28</v>
      </c>
      <c r="G57" s="15">
        <f t="shared" ca="1" si="1"/>
        <v>46088</v>
      </c>
      <c r="H57" s="11">
        <f>H53-1</f>
        <v>2012</v>
      </c>
      <c r="I57" s="11" t="s">
        <v>21</v>
      </c>
      <c r="J57" s="11" cm="1">
        <f t="array" ref="J57">INDEX(Raw!B:FB, MATCH(J$4, Raw!$A:$A, 0), MATCH(1, (Raw!$B$1:$FB$1=$I57)*(Raw!$B$2:$FB$2=$H57), 0))</f>
        <v>11455000000</v>
      </c>
      <c r="K57" s="11" cm="1">
        <f t="array" ref="K57">INDEX(Raw!C:FC, MATCH(K$4, Raw!$A:$A, 0), MATCH(1, (Raw!$B$1:$FB$1=$I57)*(Raw!$B$2:$FB$2=$H57), 0))</f>
        <v>4853000000</v>
      </c>
      <c r="L57" s="11" cm="1">
        <f t="array" ref="L57">INDEX(Raw!D:FD, MATCH(L$4, Raw!$A:$A, 0), MATCH(1, (Raw!$B$1:$FB$1=$I57)*(Raw!$B$2:$FB$2=$H57), 0))</f>
        <v>7861000000</v>
      </c>
      <c r="M57" s="11" cm="1">
        <f t="array" ref="M57">INDEX(Raw!E:FE, MATCH(M$4, Raw!$A:$A, 0), MATCH(1, (Raw!$B$1:$FB$1=$I57)*(Raw!$B$2:$FB$2=$H57), 0))</f>
        <v>4181000000</v>
      </c>
      <c r="N57" s="11" cm="1">
        <f t="array" ref="N57">INDEX(Raw!F:FF, MATCH(N$4, Raw!$A:$A, 0), MATCH(1, (Raw!$B$1:$FB$1=$I57)*(Raw!$B$2:$FB$2=$H57), 0))</f>
        <v>-275000000</v>
      </c>
      <c r="O57" s="11" cm="1">
        <f t="array" ref="O57">INDEX(Raw!G:FG, MATCH(O$4, Raw!$A:$A, 0), MATCH(1, (Raw!$B$1:$FB$1=$I57)*(Raw!$B$2:$FB$2=$H57), 0))</f>
        <v>4619000000</v>
      </c>
      <c r="P57" s="11" cm="1">
        <f t="array" ref="P57">INDEX(Raw!H:FH, MATCH(P$4, Raw!$A:$A, 0), MATCH(1, (Raw!$B$1:$FB$1=$I57)*(Raw!$B$2:$FB$2=$H57), 0))</f>
        <v>3179000000</v>
      </c>
      <c r="Q57" s="11" cm="1">
        <f t="array" ref="Q57">INDEX(Raw!I:FI, MATCH(Q$4, Raw!$A:$A, 0), MATCH(1, (Raw!$B$1:$FB$1=$I57)*(Raw!$B$2:$FB$2=$H57), 0))</f>
        <v>232000000</v>
      </c>
      <c r="R57" s="11" cm="1">
        <f t="array" ref="R57">INDEX(Raw!J:FJ, MATCH(R$4, Raw!$A:$A, 0), MATCH(1, (Raw!$B$1:$FB$1=$I57)*(Raw!$B$2:$FB$2=$H57), 0))</f>
        <v>6205000000</v>
      </c>
      <c r="S57" s="11" cm="1">
        <f t="array" ref="S57">INDEX(Raw!K:FK, MATCH(S$4, Raw!$A:$A, 0), MATCH(1, (Raw!$B$1:$FB$1=$I57)*(Raw!$B$2:$FB$2=$H57), 0))</f>
        <v>633000000</v>
      </c>
      <c r="T57" s="11" cm="1">
        <f t="array" ref="T57">INDEX(Raw!L:FL, MATCH(T$4, Raw!$A:$A, 0), MATCH(1, (Raw!$B$1:$FB$1=$I57)*(Raw!$B$2:$FB$2=$H57), 0))</f>
        <v>2382000000</v>
      </c>
      <c r="U57" s="11" cm="1">
        <f t="array" ref="U57">INDEX(Raw!M:FM, MATCH(U$4, Raw!$A:$A, 0), MATCH(1, (Raw!$B$1:$FB$1=$I57)*(Raw!$B$2:$FB$2=$H57), 0))</f>
        <v>0</v>
      </c>
      <c r="V57" s="11" cm="1">
        <f t="array" ref="V57">INDEX(Raw!N:FN, MATCH(V$4, Raw!$A:$A, 0), MATCH(1, (Raw!$B$1:$FB$1=$I57)*(Raw!$B$2:$FB$2=$H57), 0))</f>
        <v>1578000000</v>
      </c>
      <c r="W57" s="11" cm="1">
        <f t="array" ref="W57">INDEX(Raw!O:FO, MATCH(W$4, Raw!$A:$A, 0), MATCH(1, (Raw!$B$1:$FB$1=$I57)*(Raw!$B$2:$FB$2=$H57), 0))</f>
        <v>0</v>
      </c>
      <c r="X57" s="11" cm="1">
        <f t="array" ref="X57">INDEX(Raw!P:FP, MATCH(X$4, Raw!$A:$A, 0), MATCH(1, (Raw!$B$1:$FB$1=$I57)*(Raw!$B$2:$FB$2=$H57), 0))</f>
        <v>2037000000</v>
      </c>
      <c r="Y57" s="11" cm="1">
        <f t="array" ref="Y57">INDEX(Raw!Q:FQ, MATCH(Y$4, Raw!$A:$A, 0), MATCH(1, (Raw!$B$1:$FB$1=$I57)*(Raw!$B$2:$FB$2=$H57), 0))</f>
        <v>0</v>
      </c>
      <c r="Z57" s="11" cm="1">
        <f t="array" ref="Z57">INDEX(Raw!R:FR, MATCH(Z$4, Raw!$A:$A, 0), MATCH(1, (Raw!$B$1:$FB$1=$I57)*(Raw!$B$2:$FB$2=$H57), 0))</f>
        <v>0</v>
      </c>
      <c r="AA57" s="11" cm="1">
        <f t="array" ref="AA57">INDEX(Raw!S:FS, MATCH(AA$4, Raw!$A:$A, 0), MATCH(1, (Raw!$B$1:$FB$1=$I57)*(Raw!$B$2:$FB$2=$H57), 0))</f>
        <v>0</v>
      </c>
      <c r="AB57" s="11" cm="1">
        <f t="array" ref="AB57">INDEX(Raw!T:FT, MATCH(AB$4, Raw!$A:$A, 0), MATCH(1, (Raw!$B$1:$FB$1=$I57)*(Raw!$B$2:$FB$2=$H57), 0))</f>
        <v>0</v>
      </c>
      <c r="AC57" s="11" cm="1">
        <f t="array" ref="AC57">INDEX(Raw!U:FU, MATCH(AC$4, Raw!$A:$A, 0), MATCH(1, (Raw!$B$1:$FB$1=$I57)*(Raw!$B$2:$FB$2=$H57), 0))</f>
        <v>0.32500000000000001</v>
      </c>
      <c r="AD57" s="11" cm="1">
        <f t="array" ref="AD57">INDEX(Raw!V:FV, MATCH(AD$4, Raw!$A:$A, 0), MATCH(1, (Raw!$B$1:$FB$1=$I57)*(Raw!$B$2:$FB$2=$H57), 0))</f>
        <v>0.26</v>
      </c>
    </row>
    <row r="58" spans="6:30" x14ac:dyDescent="0.25">
      <c r="F58" s="11" t="s">
        <v>28</v>
      </c>
      <c r="G58" s="15">
        <f t="shared" ca="1" si="1"/>
        <v>46088</v>
      </c>
      <c r="H58" s="11">
        <f>H57</f>
        <v>2012</v>
      </c>
      <c r="I58" s="11" t="s">
        <v>22</v>
      </c>
      <c r="J58" s="11" cm="1">
        <f t="array" ref="J58">INDEX(Raw!B:FB, MATCH(J$4, Raw!$A:$A, 0), MATCH(1, (Raw!$B$1:$FB$1=$I58)*(Raw!$B$2:$FB$2=$H58), 0))</f>
        <v>12340000000</v>
      </c>
      <c r="K58" s="11" cm="1">
        <f t="array" ref="K58">INDEX(Raw!C:FC, MATCH(K$4, Raw!$A:$A, 0), MATCH(1, (Raw!$B$1:$FB$1=$I58)*(Raw!$B$2:$FB$2=$H58), 0))</f>
        <v>5224000000</v>
      </c>
      <c r="L58" s="11" cm="1">
        <f t="array" ref="L58">INDEX(Raw!D:FD, MATCH(L$4, Raw!$A:$A, 0), MATCH(1, (Raw!$B$1:$FB$1=$I58)*(Raw!$B$2:$FB$2=$H58), 0))</f>
        <v>6789000000</v>
      </c>
      <c r="M58" s="11" cm="1">
        <f t="array" ref="M58">INDEX(Raw!E:FE, MATCH(M$4, Raw!$A:$A, 0), MATCH(1, (Raw!$B$1:$FB$1=$I58)*(Raw!$B$2:$FB$2=$H58), 0))</f>
        <v>4406000000</v>
      </c>
      <c r="N58" s="11" cm="1">
        <f t="array" ref="N58">INDEX(Raw!F:FF, MATCH(N$4, Raw!$A:$A, 0), MATCH(1, (Raw!$B$1:$FB$1=$I58)*(Raw!$B$2:$FB$2=$H58), 0))</f>
        <v>-96000000</v>
      </c>
      <c r="O58" s="11" cm="1">
        <f t="array" ref="O58">INDEX(Raw!G:FG, MATCH(O$4, Raw!$A:$A, 0), MATCH(1, (Raw!$B$1:$FB$1=$I58)*(Raw!$B$2:$FB$2=$H58), 0))</f>
        <v>4569000000</v>
      </c>
      <c r="P58" s="11" cm="1">
        <f t="array" ref="P58">INDEX(Raw!H:FH, MATCH(P$4, Raw!$A:$A, 0), MATCH(1, (Raw!$B$1:$FB$1=$I58)*(Raw!$B$2:$FB$2=$H58), 0))</f>
        <v>2284000000</v>
      </c>
      <c r="Q58" s="11" cm="1">
        <f t="array" ref="Q58">INDEX(Raw!I:FI, MATCH(Q$4, Raw!$A:$A, 0), MATCH(1, (Raw!$B$1:$FB$1=$I58)*(Raw!$B$2:$FB$2=$H58), 0))</f>
        <v>5082000000</v>
      </c>
      <c r="R58" s="11" cm="1">
        <f t="array" ref="R58">INDEX(Raw!J:FJ, MATCH(R$4, Raw!$A:$A, 0), MATCH(1, (Raw!$B$1:$FB$1=$I58)*(Raw!$B$2:$FB$2=$H58), 0))</f>
        <v>2700000000</v>
      </c>
      <c r="S58" s="11" cm="1">
        <f t="array" ref="S58">INDEX(Raw!K:FK, MATCH(S$4, Raw!$A:$A, 0), MATCH(1, (Raw!$B$1:$FB$1=$I58)*(Raw!$B$2:$FB$2=$H58), 0))</f>
        <v>741000000</v>
      </c>
      <c r="T58" s="11" cm="1">
        <f t="array" ref="T58">INDEX(Raw!L:FL, MATCH(T$4, Raw!$A:$A, 0), MATCH(1, (Raw!$B$1:$FB$1=$I58)*(Raw!$B$2:$FB$2=$H58), 0))</f>
        <v>1626000000</v>
      </c>
      <c r="U58" s="11" cm="1">
        <f t="array" ref="U58">INDEX(Raw!M:FM, MATCH(U$4, Raw!$A:$A, 0), MATCH(1, (Raw!$B$1:$FB$1=$I58)*(Raw!$B$2:$FB$2=$H58), 0))</f>
        <v>0</v>
      </c>
      <c r="V58" s="11" cm="1">
        <f t="array" ref="V58">INDEX(Raw!N:FN, MATCH(V$4, Raw!$A:$A, 0), MATCH(1, (Raw!$B$1:$FB$1=$I58)*(Raw!$B$2:$FB$2=$H58), 0))</f>
        <v>1920000000</v>
      </c>
      <c r="W58" s="11" cm="1">
        <f t="array" ref="W58">INDEX(Raw!O:FO, MATCH(W$4, Raw!$A:$A, 0), MATCH(1, (Raw!$B$1:$FB$1=$I58)*(Raw!$B$2:$FB$2=$H58), 0))</f>
        <v>0</v>
      </c>
      <c r="X58" s="11" cm="1">
        <f t="array" ref="X58">INDEX(Raw!P:FP, MATCH(X$4, Raw!$A:$A, 0), MATCH(1, (Raw!$B$1:$FB$1=$I58)*(Raw!$B$2:$FB$2=$H58), 0))</f>
        <v>1348000000</v>
      </c>
      <c r="Y58" s="11" cm="1">
        <f t="array" ref="Y58">INDEX(Raw!Q:FQ, MATCH(Y$4, Raw!$A:$A, 0), MATCH(1, (Raw!$B$1:$FB$1=$I58)*(Raw!$B$2:$FB$2=$H58), 0))</f>
        <v>0</v>
      </c>
      <c r="Z58" s="11" cm="1">
        <f t="array" ref="Z58">INDEX(Raw!R:FR, MATCH(Z$4, Raw!$A:$A, 0), MATCH(1, (Raw!$B$1:$FB$1=$I58)*(Raw!$B$2:$FB$2=$H58), 0))</f>
        <v>0</v>
      </c>
      <c r="AA58" s="11" cm="1">
        <f t="array" ref="AA58">INDEX(Raw!S:FS, MATCH(AA$4, Raw!$A:$A, 0), MATCH(1, (Raw!$B$1:$FB$1=$I58)*(Raw!$B$2:$FB$2=$H58), 0))</f>
        <v>0</v>
      </c>
      <c r="AB58" s="11" cm="1">
        <f t="array" ref="AB58">INDEX(Raw!T:FT, MATCH(AB$4, Raw!$A:$A, 0), MATCH(1, (Raw!$B$1:$FB$1=$I58)*(Raw!$B$2:$FB$2=$H58), 0))</f>
        <v>0</v>
      </c>
      <c r="AC58" s="11" cm="1">
        <f t="array" ref="AC58">INDEX(Raw!U:FU, MATCH(AC$4, Raw!$A:$A, 0), MATCH(1, (Raw!$B$1:$FB$1=$I58)*(Raw!$B$2:$FB$2=$H58), 0))</f>
        <v>0.26</v>
      </c>
      <c r="AD58" s="11" cm="1">
        <f t="array" ref="AD58">INDEX(Raw!V:FV, MATCH(AD$4, Raw!$A:$A, 0), MATCH(1, (Raw!$B$1:$FB$1=$I58)*(Raw!$B$2:$FB$2=$H58), 0))</f>
        <v>0.35499999999999998</v>
      </c>
    </row>
    <row r="59" spans="6:30" x14ac:dyDescent="0.25">
      <c r="F59" s="11" t="s">
        <v>28</v>
      </c>
      <c r="G59" s="15">
        <f t="shared" ca="1" si="1"/>
        <v>46088</v>
      </c>
      <c r="H59" s="11">
        <f>H58</f>
        <v>2012</v>
      </c>
      <c r="I59" s="11" t="s">
        <v>23</v>
      </c>
      <c r="J59" s="11" cm="1">
        <f t="array" ref="J59">INDEX(Raw!B:FB, MATCH(J$4, Raw!$A:$A, 0), MATCH(1, (Raw!$B$1:$FB$1=$I59)*(Raw!$B$2:$FB$2=$H59), 0))</f>
        <v>13085000000</v>
      </c>
      <c r="K59" s="11" cm="1">
        <f t="array" ref="K59">INDEX(Raw!C:FC, MATCH(K$4, Raw!$A:$A, 0), MATCH(1, (Raw!$B$1:$FB$1=$I59)*(Raw!$B$2:$FB$2=$H59), 0))</f>
        <v>4348000000</v>
      </c>
      <c r="L59" s="11" cm="1">
        <f t="array" ref="L59">INDEX(Raw!D:FD, MATCH(L$4, Raw!$A:$A, 0), MATCH(1, (Raw!$B$1:$FB$1=$I59)*(Raw!$B$2:$FB$2=$H59), 0))</f>
        <v>6637000000</v>
      </c>
      <c r="M59" s="11" cm="1">
        <f t="array" ref="M59">INDEX(Raw!E:FE, MATCH(M$4, Raw!$A:$A, 0), MATCH(1, (Raw!$B$1:$FB$1=$I59)*(Raw!$B$2:$FB$2=$H59), 0))</f>
        <v>4523000000</v>
      </c>
      <c r="N59" s="11" cm="1">
        <f t="array" ref="N59">INDEX(Raw!F:FF, MATCH(N$4, Raw!$A:$A, 0), MATCH(1, (Raw!$B$1:$FB$1=$I59)*(Raw!$B$2:$FB$2=$H59), 0))</f>
        <v>-152000000</v>
      </c>
      <c r="O59" s="11" cm="1">
        <f t="array" ref="O59">INDEX(Raw!G:FG, MATCH(O$4, Raw!$A:$A, 0), MATCH(1, (Raw!$B$1:$FB$1=$I59)*(Raw!$B$2:$FB$2=$H59), 0))</f>
        <v>4285000000</v>
      </c>
      <c r="P59" s="11" cm="1">
        <f t="array" ref="P59">INDEX(Raw!H:FH, MATCH(P$4, Raw!$A:$A, 0), MATCH(1, (Raw!$B$1:$FB$1=$I59)*(Raw!$B$2:$FB$2=$H59), 0))</f>
        <v>1123000000</v>
      </c>
      <c r="Q59" s="11" cm="1">
        <f t="array" ref="Q59">INDEX(Raw!I:FI, MATCH(Q$4, Raw!$A:$A, 0), MATCH(1, (Raw!$B$1:$FB$1=$I59)*(Raw!$B$2:$FB$2=$H59), 0))</f>
        <v>356000000</v>
      </c>
      <c r="R59" s="11" cm="1">
        <f t="array" ref="R59">INDEX(Raw!J:FJ, MATCH(R$4, Raw!$A:$A, 0), MATCH(1, (Raw!$B$1:$FB$1=$I59)*(Raw!$B$2:$FB$2=$H59), 0))</f>
        <v>3123000000</v>
      </c>
      <c r="S59" s="11" cm="1">
        <f t="array" ref="S59">INDEX(Raw!K:FK, MATCH(S$4, Raw!$A:$A, 0), MATCH(1, (Raw!$B$1:$FB$1=$I59)*(Raw!$B$2:$FB$2=$H59), 0))</f>
        <v>553000000</v>
      </c>
      <c r="T59" s="11" cm="1">
        <f t="array" ref="T59">INDEX(Raw!L:FL, MATCH(T$4, Raw!$A:$A, 0), MATCH(1, (Raw!$B$1:$FB$1=$I59)*(Raw!$B$2:$FB$2=$H59), 0))</f>
        <v>1578000000</v>
      </c>
      <c r="U59" s="11" cm="1">
        <f t="array" ref="U59">INDEX(Raw!M:FM, MATCH(U$4, Raw!$A:$A, 0), MATCH(1, (Raw!$B$1:$FB$1=$I59)*(Raw!$B$2:$FB$2=$H59), 0))</f>
        <v>0</v>
      </c>
      <c r="V59" s="11" cm="1">
        <f t="array" ref="V59">INDEX(Raw!N:FN, MATCH(V$4, Raw!$A:$A, 0), MATCH(1, (Raw!$B$1:$FB$1=$I59)*(Raw!$B$2:$FB$2=$H59), 0))</f>
        <v>2049000000</v>
      </c>
      <c r="W59" s="11" cm="1">
        <f t="array" ref="W59">INDEX(Raw!O:FO, MATCH(W$4, Raw!$A:$A, 0), MATCH(1, (Raw!$B$1:$FB$1=$I59)*(Raw!$B$2:$FB$2=$H59), 0))</f>
        <v>0</v>
      </c>
      <c r="X59" s="11" cm="1">
        <f t="array" ref="X59">INDEX(Raw!P:FP, MATCH(X$4, Raw!$A:$A, 0), MATCH(1, (Raw!$B$1:$FB$1=$I59)*(Raw!$B$2:$FB$2=$H59), 0))</f>
        <v>995000000</v>
      </c>
      <c r="Y59" s="11" cm="1">
        <f t="array" ref="Y59">INDEX(Raw!Q:FQ, MATCH(Y$4, Raw!$A:$A, 0), MATCH(1, (Raw!$B$1:$FB$1=$I59)*(Raw!$B$2:$FB$2=$H59), 0))</f>
        <v>0</v>
      </c>
      <c r="Z59" s="11" cm="1">
        <f t="array" ref="Z59">INDEX(Raw!R:FR, MATCH(Z$4, Raw!$A:$A, 0), MATCH(1, (Raw!$B$1:$FB$1=$I59)*(Raw!$B$2:$FB$2=$H59), 0))</f>
        <v>0</v>
      </c>
      <c r="AA59" s="11" cm="1">
        <f t="array" ref="AA59">INDEX(Raw!S:FS, MATCH(AA$4, Raw!$A:$A, 0), MATCH(1, (Raw!$B$1:$FB$1=$I59)*(Raw!$B$2:$FB$2=$H59), 0))</f>
        <v>0</v>
      </c>
      <c r="AB59" s="11" cm="1">
        <f t="array" ref="AB59">INDEX(Raw!T:FT, MATCH(AB$4, Raw!$A:$A, 0), MATCH(1, (Raw!$B$1:$FB$1=$I59)*(Raw!$B$2:$FB$2=$H59), 0))</f>
        <v>0</v>
      </c>
      <c r="AC59" s="11" cm="1">
        <f t="array" ref="AC59">INDEX(Raw!U:FU, MATCH(AC$4, Raw!$A:$A, 0), MATCH(1, (Raw!$B$1:$FB$1=$I59)*(Raw!$B$2:$FB$2=$H59), 0))</f>
        <v>0.36</v>
      </c>
      <c r="AD59" s="11" cm="1">
        <f t="array" ref="AD59">INDEX(Raw!V:FV, MATCH(AD$4, Raw!$A:$A, 0), MATCH(1, (Raw!$B$1:$FB$1=$I59)*(Raw!$B$2:$FB$2=$H59), 0))</f>
        <v>0.4</v>
      </c>
    </row>
    <row r="60" spans="6:30" x14ac:dyDescent="0.25">
      <c r="F60" s="11" t="s">
        <v>28</v>
      </c>
      <c r="G60" s="15">
        <f t="shared" ca="1" si="1"/>
        <v>46088</v>
      </c>
      <c r="H60" s="11">
        <f>H59</f>
        <v>2012</v>
      </c>
      <c r="I60" s="11" t="s">
        <v>24</v>
      </c>
      <c r="J60" s="11" cm="1">
        <f t="array" ref="J60">INDEX(Raw!B:FB, MATCH(J$4, Raw!$A:$A, 0), MATCH(1, (Raw!$B$1:$FB$1=$I60)*(Raw!$B$2:$FB$2=$H60), 0))</f>
        <v>11137000000</v>
      </c>
      <c r="K60" s="11" cm="1">
        <f t="array" ref="K60">INDEX(Raw!C:FC, MATCH(K$4, Raw!$A:$A, 0), MATCH(1, (Raw!$B$1:$FB$1=$I60)*(Raw!$B$2:$FB$2=$H60), 0))</f>
        <v>4403000000</v>
      </c>
      <c r="L60" s="11" cm="1">
        <f t="array" ref="L60">INDEX(Raw!D:FD, MATCH(L$4, Raw!$A:$A, 0), MATCH(1, (Raw!$B$1:$FB$1=$I60)*(Raw!$B$2:$FB$2=$H60), 0))</f>
        <v>7373000000</v>
      </c>
      <c r="M60" s="11" cm="1">
        <f t="array" ref="M60">INDEX(Raw!E:FE, MATCH(M$4, Raw!$A:$A, 0), MATCH(1, (Raw!$B$1:$FB$1=$I60)*(Raw!$B$2:$FB$2=$H60), 0))</f>
        <v>4417000000</v>
      </c>
      <c r="N60" s="11" cm="1">
        <f t="array" ref="N60">INDEX(Raw!F:FF, MATCH(N$4, Raw!$A:$A, 0), MATCH(1, (Raw!$B$1:$FB$1=$I60)*(Raw!$B$2:$FB$2=$H60), 0))</f>
        <v>-209000000</v>
      </c>
      <c r="O60" s="11" cm="1">
        <f t="array" ref="O60">INDEX(Raw!G:FG, MATCH(O$4, Raw!$A:$A, 0), MATCH(1, (Raw!$B$1:$FB$1=$I60)*(Raw!$B$2:$FB$2=$H60), 0))</f>
        <v>5092000000</v>
      </c>
      <c r="P60" s="11" cm="1">
        <f t="array" ref="P60">INDEX(Raw!H:FH, MATCH(P$4, Raw!$A:$A, 0), MATCH(1, (Raw!$B$1:$FB$1=$I60)*(Raw!$B$2:$FB$2=$H60), 0))</f>
        <v>2344000000</v>
      </c>
      <c r="Q60" s="11" cm="1">
        <f t="array" ref="Q60">INDEX(Raw!I:FI, MATCH(Q$4, Raw!$A:$A, 0), MATCH(1, (Raw!$B$1:$FB$1=$I60)*(Raw!$B$2:$FB$2=$H60), 0))</f>
        <v>360000000</v>
      </c>
      <c r="R60" s="11" cm="1">
        <f t="array" ref="R60">INDEX(Raw!J:FJ, MATCH(R$4, Raw!$A:$A, 0), MATCH(1, (Raw!$B$1:$FB$1=$I60)*(Raw!$B$2:$FB$2=$H60), 0))</f>
        <v>2179000000</v>
      </c>
      <c r="S60" s="11" cm="1">
        <f t="array" ref="S60">INDEX(Raw!K:FK, MATCH(S$4, Raw!$A:$A, 0), MATCH(1, (Raw!$B$1:$FB$1=$I60)*(Raw!$B$2:$FB$2=$H60), 0))</f>
        <v>382000000</v>
      </c>
      <c r="T60" s="11" cm="1">
        <f t="array" ref="T60">INDEX(Raw!L:FL, MATCH(T$4, Raw!$A:$A, 0), MATCH(1, (Raw!$B$1:$FB$1=$I60)*(Raw!$B$2:$FB$2=$H60), 0))</f>
        <v>1920000000</v>
      </c>
      <c r="U60" s="11" cm="1">
        <f t="array" ref="U60">INDEX(Raw!M:FM, MATCH(U$4, Raw!$A:$A, 0), MATCH(1, (Raw!$B$1:$FB$1=$I60)*(Raw!$B$2:$FB$2=$H60), 0))</f>
        <v>0</v>
      </c>
      <c r="V60" s="11" cm="1">
        <f t="array" ref="V60">INDEX(Raw!N:FN, MATCH(V$4, Raw!$A:$A, 0), MATCH(1, (Raw!$B$1:$FB$1=$I60)*(Raw!$B$2:$FB$2=$H60), 0))</f>
        <v>1359000000</v>
      </c>
      <c r="W60" s="11" cm="1">
        <f t="array" ref="W60">INDEX(Raw!O:FO, MATCH(W$4, Raw!$A:$A, 0), MATCH(1, (Raw!$B$1:$FB$1=$I60)*(Raw!$B$2:$FB$2=$H60), 0))</f>
        <v>0</v>
      </c>
      <c r="X60" s="11" cm="1">
        <f t="array" ref="X60">INDEX(Raw!P:FP, MATCH(X$4, Raw!$A:$A, 0), MATCH(1, (Raw!$B$1:$FB$1=$I60)*(Raw!$B$2:$FB$2=$H60), 0))</f>
        <v>1890000000</v>
      </c>
      <c r="Y60" s="11" cm="1">
        <f t="array" ref="Y60">INDEX(Raw!Q:FQ, MATCH(Y$4, Raw!$A:$A, 0), MATCH(1, (Raw!$B$1:$FB$1=$I60)*(Raw!$B$2:$FB$2=$H60), 0))</f>
        <v>0</v>
      </c>
      <c r="Z60" s="11" cm="1">
        <f t="array" ref="Z60">INDEX(Raw!R:FR, MATCH(Z$4, Raw!$A:$A, 0), MATCH(1, (Raw!$B$1:$FB$1=$I60)*(Raw!$B$2:$FB$2=$H60), 0))</f>
        <v>0</v>
      </c>
      <c r="AA60" s="11" cm="1">
        <f t="array" ref="AA60">INDEX(Raw!S:FS, MATCH(AA$4, Raw!$A:$A, 0), MATCH(1, (Raw!$B$1:$FB$1=$I60)*(Raw!$B$2:$FB$2=$H60), 0))</f>
        <v>0</v>
      </c>
      <c r="AB60" s="11" cm="1">
        <f t="array" ref="AB60">INDEX(Raw!T:FT, MATCH(AB$4, Raw!$A:$A, 0), MATCH(1, (Raw!$B$1:$FB$1=$I60)*(Raw!$B$2:$FB$2=$H60), 0))</f>
        <v>0</v>
      </c>
      <c r="AC60" s="11" cm="1">
        <f t="array" ref="AC60">INDEX(Raw!U:FU, MATCH(AC$4, Raw!$A:$A, 0), MATCH(1, (Raw!$B$1:$FB$1=$I60)*(Raw!$B$2:$FB$2=$H60), 0))</f>
        <v>0.4</v>
      </c>
      <c r="AD60" s="11" cm="1">
        <f t="array" ref="AD60">INDEX(Raw!V:FV, MATCH(AD$4, Raw!$A:$A, 0), MATCH(1, (Raw!$B$1:$FB$1=$I60)*(Raw!$B$2:$FB$2=$H60), 0))</f>
        <v>0.27</v>
      </c>
    </row>
    <row r="61" spans="6:30" x14ac:dyDescent="0.25">
      <c r="F61" s="11" t="s">
        <v>28</v>
      </c>
      <c r="G61" s="15">
        <f t="shared" ca="1" si="1"/>
        <v>46088</v>
      </c>
      <c r="H61" s="11">
        <f>H57-1</f>
        <v>2011</v>
      </c>
      <c r="I61" s="11" t="s">
        <v>21</v>
      </c>
      <c r="J61" s="11" cm="1">
        <f t="array" ref="J61">INDEX(Raw!B:FB, MATCH(J$4, Raw!$A:$A, 0), MATCH(1, (Raw!$B$1:$FB$1=$I61)*(Raw!$B$2:$FB$2=$H61), 0))</f>
        <v>11040000000</v>
      </c>
      <c r="K61" s="11" cm="1">
        <f t="array" ref="K61">INDEX(Raw!C:FC, MATCH(K$4, Raw!$A:$A, 0), MATCH(1, (Raw!$B$1:$FB$1=$I61)*(Raw!$B$2:$FB$2=$H61), 0))</f>
        <v>4875000000</v>
      </c>
      <c r="L61" s="11" cm="1">
        <f t="array" ref="L61">INDEX(Raw!D:FD, MATCH(L$4, Raw!$A:$A, 0), MATCH(1, (Raw!$B$1:$FB$1=$I61)*(Raw!$B$2:$FB$2=$H61), 0))</f>
        <v>7748000000</v>
      </c>
      <c r="M61" s="11" cm="1">
        <f t="array" ref="M61">INDEX(Raw!E:FE, MATCH(M$4, Raw!$A:$A, 0), MATCH(1, (Raw!$B$1:$FB$1=$I61)*(Raw!$B$2:$FB$2=$H61), 0))</f>
        <v>4076000000</v>
      </c>
      <c r="N61" s="11" cm="1">
        <f t="array" ref="N61">INDEX(Raw!F:FF, MATCH(N$4, Raw!$A:$A, 0), MATCH(1, (Raw!$B$1:$FB$1=$I61)*(Raw!$B$2:$FB$2=$H61), 0))</f>
        <v>-545000000</v>
      </c>
      <c r="O61" s="11" cm="1">
        <f t="array" ref="O61">INDEX(Raw!G:FG, MATCH(O$4, Raw!$A:$A, 0), MATCH(1, (Raw!$B$1:$FB$1=$I61)*(Raw!$B$2:$FB$2=$H61), 0))</f>
        <v>3164000000</v>
      </c>
      <c r="P61" s="11" cm="1">
        <f t="array" ref="P61">INDEX(Raw!H:FH, MATCH(P$4, Raw!$A:$A, 0), MATCH(1, (Raw!$B$1:$FB$1=$I61)*(Raw!$B$2:$FB$2=$H61), 0))</f>
        <v>2763000000</v>
      </c>
      <c r="Q61" s="11" cm="1">
        <f t="array" ref="Q61">INDEX(Raw!I:FI, MATCH(Q$4, Raw!$A:$A, 0), MATCH(1, (Raw!$B$1:$FB$1=$I61)*(Raw!$B$2:$FB$2=$H61), 0))</f>
        <v>-4000000</v>
      </c>
      <c r="R61" s="11" cm="1">
        <f t="array" ref="R61">INDEX(Raw!J:FJ, MATCH(R$4, Raw!$A:$A, 0), MATCH(1, (Raw!$B$1:$FB$1=$I61)*(Raw!$B$2:$FB$2=$H61), 0))</f>
        <v>1960000000</v>
      </c>
      <c r="S61" s="11" cm="1">
        <f t="array" ref="S61">INDEX(Raw!K:FK, MATCH(S$4, Raw!$A:$A, 0), MATCH(1, (Raw!$B$1:$FB$1=$I61)*(Raw!$B$2:$FB$2=$H61), 0))</f>
        <v>523000000</v>
      </c>
      <c r="T61" s="11" cm="1">
        <f t="array" ref="T61">INDEX(Raw!L:FL, MATCH(T$4, Raw!$A:$A, 0), MATCH(1, (Raw!$B$1:$FB$1=$I61)*(Raw!$B$2:$FB$2=$H61), 0))</f>
        <v>2049000000</v>
      </c>
      <c r="U61" s="11" cm="1">
        <f t="array" ref="U61">INDEX(Raw!M:FM, MATCH(U$4, Raw!$A:$A, 0), MATCH(1, (Raw!$B$1:$FB$1=$I61)*(Raw!$B$2:$FB$2=$H61), 0))</f>
        <v>0</v>
      </c>
      <c r="V61" s="11" cm="1">
        <f t="array" ref="V61">INDEX(Raw!N:FN, MATCH(V$4, Raw!$A:$A, 0), MATCH(1, (Raw!$B$1:$FB$1=$I61)*(Raw!$B$2:$FB$2=$H61), 0))</f>
        <v>1005000000</v>
      </c>
      <c r="W61" s="11" cm="1">
        <f t="array" ref="W61">INDEX(Raw!O:FO, MATCH(W$4, Raw!$A:$A, 0), MATCH(1, (Raw!$B$1:$FB$1=$I61)*(Raw!$B$2:$FB$2=$H61), 0))</f>
        <v>0</v>
      </c>
      <c r="X61" s="11" cm="1">
        <f t="array" ref="X61">INDEX(Raw!P:FP, MATCH(X$4, Raw!$A:$A, 0), MATCH(1, (Raw!$B$1:$FB$1=$I61)*(Raw!$B$2:$FB$2=$H61), 0))</f>
        <v>1422000000</v>
      </c>
      <c r="Y61" s="11" cm="1">
        <f t="array" ref="Y61">INDEX(Raw!Q:FQ, MATCH(Y$4, Raw!$A:$A, 0), MATCH(1, (Raw!$B$1:$FB$1=$I61)*(Raw!$B$2:$FB$2=$H61), 0))</f>
        <v>0</v>
      </c>
      <c r="Z61" s="11" cm="1">
        <f t="array" ref="Z61">INDEX(Raw!R:FR, MATCH(Z$4, Raw!$A:$A, 0), MATCH(1, (Raw!$B$1:$FB$1=$I61)*(Raw!$B$2:$FB$2=$H61), 0))</f>
        <v>0</v>
      </c>
      <c r="AA61" s="11" cm="1">
        <f t="array" ref="AA61">INDEX(Raw!S:FS, MATCH(AA$4, Raw!$A:$A, 0), MATCH(1, (Raw!$B$1:$FB$1=$I61)*(Raw!$B$2:$FB$2=$H61), 0))</f>
        <v>0</v>
      </c>
      <c r="AB61" s="11" cm="1">
        <f t="array" ref="AB61">INDEX(Raw!T:FT, MATCH(AB$4, Raw!$A:$A, 0), MATCH(1, (Raw!$B$1:$FB$1=$I61)*(Raw!$B$2:$FB$2=$H61), 0))</f>
        <v>0</v>
      </c>
      <c r="AC61" s="11" cm="1">
        <f t="array" ref="AC61">INDEX(Raw!U:FU, MATCH(AC$4, Raw!$A:$A, 0), MATCH(1, (Raw!$B$1:$FB$1=$I61)*(Raw!$B$2:$FB$2=$H61), 0))</f>
        <v>0.27500000000000002</v>
      </c>
      <c r="AD61" s="11" cm="1">
        <f t="array" ref="AD61">INDEX(Raw!V:FV, MATCH(AD$4, Raw!$A:$A, 0), MATCH(1, (Raw!$B$1:$FB$1=$I61)*(Raw!$B$2:$FB$2=$H61), 0))</f>
        <v>0.14499999999999999</v>
      </c>
    </row>
    <row r="62" spans="6:30" x14ac:dyDescent="0.25">
      <c r="F62" s="11" t="s">
        <v>28</v>
      </c>
      <c r="G62" s="15">
        <f t="shared" ca="1" si="1"/>
        <v>46088</v>
      </c>
      <c r="H62" s="11">
        <f>H61</f>
        <v>2011</v>
      </c>
      <c r="I62" s="11" t="s">
        <v>22</v>
      </c>
      <c r="J62" s="11" cm="1">
        <f t="array" ref="J62">INDEX(Raw!B:FB, MATCH(J$4, Raw!$A:$A, 0), MATCH(1, (Raw!$B$1:$FB$1=$I62)*(Raw!$B$2:$FB$2=$H62), 0))</f>
        <v>12248000000</v>
      </c>
      <c r="K62" s="11" cm="1">
        <f t="array" ref="K62">INDEX(Raw!C:FC, MATCH(K$4, Raw!$A:$A, 0), MATCH(1, (Raw!$B$1:$FB$1=$I62)*(Raw!$B$2:$FB$2=$H62), 0))</f>
        <v>4989000000</v>
      </c>
      <c r="L62" s="11" cm="1">
        <f t="array" ref="L62">INDEX(Raw!D:FD, MATCH(L$4, Raw!$A:$A, 0), MATCH(1, (Raw!$B$1:$FB$1=$I62)*(Raw!$B$2:$FB$2=$H62), 0))</f>
        <v>6569000000</v>
      </c>
      <c r="M62" s="11" cm="1">
        <f t="array" ref="M62">INDEX(Raw!E:FE, MATCH(M$4, Raw!$A:$A, 0), MATCH(1, (Raw!$B$1:$FB$1=$I62)*(Raw!$B$2:$FB$2=$H62), 0))</f>
        <v>4547000000</v>
      </c>
      <c r="N62" s="11" cm="1">
        <f t="array" ref="N62">INDEX(Raw!F:FF, MATCH(N$4, Raw!$A:$A, 0), MATCH(1, (Raw!$B$1:$FB$1=$I62)*(Raw!$B$2:$FB$2=$H62), 0))</f>
        <v>-100000000</v>
      </c>
      <c r="O62" s="11" cm="1">
        <f t="array" ref="O62">INDEX(Raw!G:FG, MATCH(O$4, Raw!$A:$A, 0), MATCH(1, (Raw!$B$1:$FB$1=$I62)*(Raw!$B$2:$FB$2=$H62), 0))</f>
        <v>2956000000</v>
      </c>
      <c r="P62" s="11" cm="1">
        <f t="array" ref="P62">INDEX(Raw!H:FH, MATCH(P$4, Raw!$A:$A, 0), MATCH(1, (Raw!$B$1:$FB$1=$I62)*(Raw!$B$2:$FB$2=$H62), 0))</f>
        <v>2183000000</v>
      </c>
      <c r="Q62" s="11" cm="1">
        <f t="array" ref="Q62">INDEX(Raw!I:FI, MATCH(Q$4, Raw!$A:$A, 0), MATCH(1, (Raw!$B$1:$FB$1=$I62)*(Raw!$B$2:$FB$2=$H62), 0))</f>
        <v>180000000</v>
      </c>
      <c r="R62" s="11" cm="1">
        <f t="array" ref="R62">INDEX(Raw!J:FJ, MATCH(R$4, Raw!$A:$A, 0), MATCH(1, (Raw!$B$1:$FB$1=$I62)*(Raw!$B$2:$FB$2=$H62), 0))</f>
        <v>2443000000</v>
      </c>
      <c r="S62" s="11" cm="1">
        <f t="array" ref="S62">INDEX(Raw!K:FK, MATCH(S$4, Raw!$A:$A, 0), MATCH(1, (Raw!$B$1:$FB$1=$I62)*(Raw!$B$2:$FB$2=$H62), 0))</f>
        <v>679000000</v>
      </c>
      <c r="T62" s="11" cm="1">
        <f t="array" ref="T62">INDEX(Raw!L:FL, MATCH(T$4, Raw!$A:$A, 0), MATCH(1, (Raw!$B$1:$FB$1=$I62)*(Raw!$B$2:$FB$2=$H62), 0))</f>
        <v>1359000000</v>
      </c>
      <c r="U62" s="11" cm="1">
        <f t="array" ref="U62">INDEX(Raw!M:FM, MATCH(U$4, Raw!$A:$A, 0), MATCH(1, (Raw!$B$1:$FB$1=$I62)*(Raw!$B$2:$FB$2=$H62), 0))</f>
        <v>0</v>
      </c>
      <c r="V62" s="11" cm="1">
        <f t="array" ref="V62">INDEX(Raw!N:FN, MATCH(V$4, Raw!$A:$A, 0), MATCH(1, (Raw!$B$1:$FB$1=$I62)*(Raw!$B$2:$FB$2=$H62), 0))</f>
        <v>1915000000</v>
      </c>
      <c r="W62" s="11" cm="1">
        <f t="array" ref="W62">INDEX(Raw!O:FO, MATCH(W$4, Raw!$A:$A, 0), MATCH(1, (Raw!$B$1:$FB$1=$I62)*(Raw!$B$2:$FB$2=$H62), 0))</f>
        <v>0</v>
      </c>
      <c r="X62" s="11" cm="1">
        <f t="array" ref="X62">INDEX(Raw!P:FP, MATCH(X$4, Raw!$A:$A, 0), MATCH(1, (Raw!$B$1:$FB$1=$I62)*(Raw!$B$2:$FB$2=$H62), 0))</f>
        <v>1500000000</v>
      </c>
      <c r="Y62" s="11" cm="1">
        <f t="array" ref="Y62">INDEX(Raw!Q:FQ, MATCH(Y$4, Raw!$A:$A, 0), MATCH(1, (Raw!$B$1:$FB$1=$I62)*(Raw!$B$2:$FB$2=$H62), 0))</f>
        <v>0</v>
      </c>
      <c r="Z62" s="11" cm="1">
        <f t="array" ref="Z62">INDEX(Raw!R:FR, MATCH(Z$4, Raw!$A:$A, 0), MATCH(1, (Raw!$B$1:$FB$1=$I62)*(Raw!$B$2:$FB$2=$H62), 0))</f>
        <v>0</v>
      </c>
      <c r="AA62" s="11" cm="1">
        <f t="array" ref="AA62">INDEX(Raw!S:FS, MATCH(AA$4, Raw!$A:$A, 0), MATCH(1, (Raw!$B$1:$FB$1=$I62)*(Raw!$B$2:$FB$2=$H62), 0))</f>
        <v>0</v>
      </c>
      <c r="AB62" s="11" cm="1">
        <f t="array" ref="AB62">INDEX(Raw!T:FT, MATCH(AB$4, Raw!$A:$A, 0), MATCH(1, (Raw!$B$1:$FB$1=$I62)*(Raw!$B$2:$FB$2=$H62), 0))</f>
        <v>0</v>
      </c>
      <c r="AC62" s="11" cm="1">
        <f t="array" ref="AC62">INDEX(Raw!U:FU, MATCH(AC$4, Raw!$A:$A, 0), MATCH(1, (Raw!$B$1:$FB$1=$I62)*(Raw!$B$2:$FB$2=$H62), 0))</f>
        <v>0.14499999999999999</v>
      </c>
      <c r="AD62" s="11" cm="1">
        <f t="array" ref="AD62">INDEX(Raw!V:FV, MATCH(AD$4, Raw!$A:$A, 0), MATCH(1, (Raw!$B$1:$FB$1=$I62)*(Raw!$B$2:$FB$2=$H62), 0))</f>
        <v>0.31</v>
      </c>
    </row>
    <row r="63" spans="6:30" x14ac:dyDescent="0.25">
      <c r="F63" s="11" t="s">
        <v>28</v>
      </c>
      <c r="G63" s="15">
        <f t="shared" ca="1" si="1"/>
        <v>46088</v>
      </c>
      <c r="H63" s="11">
        <f>H62</f>
        <v>2011</v>
      </c>
      <c r="I63" s="11" t="s">
        <v>23</v>
      </c>
      <c r="J63" s="11" cm="1">
        <f t="array" ref="J63">INDEX(Raw!B:FB, MATCH(J$4, Raw!$A:$A, 0), MATCH(1, (Raw!$B$1:$FB$1=$I63)*(Raw!$B$2:$FB$2=$H63), 0))</f>
        <v>12737000000</v>
      </c>
      <c r="K63" s="11" cm="1">
        <f t="array" ref="K63">INDEX(Raw!C:FC, MATCH(K$4, Raw!$A:$A, 0), MATCH(1, (Raw!$B$1:$FB$1=$I63)*(Raw!$B$2:$FB$2=$H63), 0))</f>
        <v>3948000000</v>
      </c>
      <c r="L63" s="11" cm="1">
        <f t="array" ref="L63">INDEX(Raw!D:FD, MATCH(L$4, Raw!$A:$A, 0), MATCH(1, (Raw!$B$1:$FB$1=$I63)*(Raw!$B$2:$FB$2=$H63), 0))</f>
        <v>6215000000</v>
      </c>
      <c r="M63" s="11" cm="1">
        <f t="array" ref="M63">INDEX(Raw!E:FE, MATCH(M$4, Raw!$A:$A, 0), MATCH(1, (Raw!$B$1:$FB$1=$I63)*(Raw!$B$2:$FB$2=$H63), 0))</f>
        <v>3064000000</v>
      </c>
      <c r="N63" s="11" cm="1">
        <f t="array" ref="N63">INDEX(Raw!F:FF, MATCH(N$4, Raw!$A:$A, 0), MATCH(1, (Raw!$B$1:$FB$1=$I63)*(Raw!$B$2:$FB$2=$H63), 0))</f>
        <v>-78000000</v>
      </c>
      <c r="O63" s="11" cm="1">
        <f t="array" ref="O63">INDEX(Raw!G:FG, MATCH(O$4, Raw!$A:$A, 0), MATCH(1, (Raw!$B$1:$FB$1=$I63)*(Raw!$B$2:$FB$2=$H63), 0))</f>
        <v>2801000000</v>
      </c>
      <c r="P63" s="11" cm="1">
        <f t="array" ref="P63">INDEX(Raw!H:FH, MATCH(P$4, Raw!$A:$A, 0), MATCH(1, (Raw!$B$1:$FB$1=$I63)*(Raw!$B$2:$FB$2=$H63), 0))</f>
        <v>1780000000</v>
      </c>
      <c r="Q63" s="11" cm="1">
        <f t="array" ref="Q63">INDEX(Raw!I:FI, MATCH(Q$4, Raw!$A:$A, 0), MATCH(1, (Raw!$B$1:$FB$1=$I63)*(Raw!$B$2:$FB$2=$H63), 0))</f>
        <v>293000000</v>
      </c>
      <c r="R63" s="11" cm="1">
        <f t="array" ref="R63">INDEX(Raw!J:FJ, MATCH(R$4, Raw!$A:$A, 0), MATCH(1, (Raw!$B$1:$FB$1=$I63)*(Raw!$B$2:$FB$2=$H63), 0))</f>
        <v>2728000000</v>
      </c>
      <c r="S63" s="11" cm="1">
        <f t="array" ref="S63">INDEX(Raw!K:FK, MATCH(S$4, Raw!$A:$A, 0), MATCH(1, (Raw!$B$1:$FB$1=$I63)*(Raw!$B$2:$FB$2=$H63), 0))</f>
        <v>456000000</v>
      </c>
      <c r="T63" s="11" cm="1">
        <f t="array" ref="T63">INDEX(Raw!L:FL, MATCH(T$4, Raw!$A:$A, 0), MATCH(1, (Raw!$B$1:$FB$1=$I63)*(Raw!$B$2:$FB$2=$H63), 0))</f>
        <v>1005000000</v>
      </c>
      <c r="U63" s="11" cm="1">
        <f t="array" ref="U63">INDEX(Raw!M:FM, MATCH(U$4, Raw!$A:$A, 0), MATCH(1, (Raw!$B$1:$FB$1=$I63)*(Raw!$B$2:$FB$2=$H63), 0))</f>
        <v>0</v>
      </c>
      <c r="V63" s="11" cm="1">
        <f t="array" ref="V63">INDEX(Raw!N:FN, MATCH(V$4, Raw!$A:$A, 0), MATCH(1, (Raw!$B$1:$FB$1=$I63)*(Raw!$B$2:$FB$2=$H63), 0))</f>
        <v>1443000000</v>
      </c>
      <c r="W63" s="11" cm="1">
        <f t="array" ref="W63">INDEX(Raw!O:FO, MATCH(W$4, Raw!$A:$A, 0), MATCH(1, (Raw!$B$1:$FB$1=$I63)*(Raw!$B$2:$FB$2=$H63), 0))</f>
        <v>0</v>
      </c>
      <c r="X63" s="11" cm="1">
        <f t="array" ref="X63">INDEX(Raw!P:FP, MATCH(X$4, Raw!$A:$A, 0), MATCH(1, (Raw!$B$1:$FB$1=$I63)*(Raw!$B$2:$FB$2=$H63), 0))</f>
        <v>1214000000</v>
      </c>
      <c r="Y63" s="11" cm="1">
        <f t="array" ref="Y63">INDEX(Raw!Q:FQ, MATCH(Y$4, Raw!$A:$A, 0), MATCH(1, (Raw!$B$1:$FB$1=$I63)*(Raw!$B$2:$FB$2=$H63), 0))</f>
        <v>0</v>
      </c>
      <c r="Z63" s="11" cm="1">
        <f t="array" ref="Z63">INDEX(Raw!R:FR, MATCH(Z$4, Raw!$A:$A, 0), MATCH(1, (Raw!$B$1:$FB$1=$I63)*(Raw!$B$2:$FB$2=$H63), 0))</f>
        <v>0</v>
      </c>
      <c r="AA63" s="11" cm="1">
        <f t="array" ref="AA63">INDEX(Raw!S:FS, MATCH(AA$4, Raw!$A:$A, 0), MATCH(1, (Raw!$B$1:$FB$1=$I63)*(Raw!$B$2:$FB$2=$H63), 0))</f>
        <v>0</v>
      </c>
      <c r="AB63" s="11" cm="1">
        <f t="array" ref="AB63">INDEX(Raw!T:FT, MATCH(AB$4, Raw!$A:$A, 0), MATCH(1, (Raw!$B$1:$FB$1=$I63)*(Raw!$B$2:$FB$2=$H63), 0))</f>
        <v>0</v>
      </c>
      <c r="AC63" s="11" cm="1">
        <f t="array" ref="AC63">INDEX(Raw!U:FU, MATCH(AC$4, Raw!$A:$A, 0), MATCH(1, (Raw!$B$1:$FB$1=$I63)*(Raw!$B$2:$FB$2=$H63), 0))</f>
        <v>0.31</v>
      </c>
      <c r="AD63" s="11" cm="1">
        <f t="array" ref="AD63">INDEX(Raw!V:FV, MATCH(AD$4, Raw!$A:$A, 0), MATCH(1, (Raw!$B$1:$FB$1=$I63)*(Raw!$B$2:$FB$2=$H63), 0))</f>
        <v>0.39</v>
      </c>
    </row>
    <row r="64" spans="6:30" x14ac:dyDescent="0.25">
      <c r="F64" s="11" t="s">
        <v>28</v>
      </c>
      <c r="G64" s="15">
        <f t="shared" ca="1" si="1"/>
        <v>46088</v>
      </c>
      <c r="H64" s="11">
        <f>H63</f>
        <v>2011</v>
      </c>
      <c r="I64" s="11" t="s">
        <v>24</v>
      </c>
      <c r="J64" s="11" cm="1">
        <f t="array" ref="J64">INDEX(Raw!B:FB, MATCH(J$4, Raw!$A:$A, 0), MATCH(1, (Raw!$B$1:$FB$1=$I64)*(Raw!$B$2:$FB$2=$H64), 0))</f>
        <v>10517000000</v>
      </c>
      <c r="K64" s="11" cm="1">
        <f t="array" ref="K64">INDEX(Raw!C:FC, MATCH(K$4, Raw!$A:$A, 0), MATCH(1, (Raw!$B$1:$FB$1=$I64)*(Raw!$B$2:$FB$2=$H64), 0))</f>
        <v>4279000000</v>
      </c>
      <c r="L64" s="11" cm="1">
        <f t="array" ref="L64">INDEX(Raw!D:FD, MATCH(L$4, Raw!$A:$A, 0), MATCH(1, (Raw!$B$1:$FB$1=$I64)*(Raw!$B$2:$FB$2=$H64), 0))</f>
        <v>5508000000</v>
      </c>
      <c r="M64" s="11" cm="1">
        <f t="array" ref="M64">INDEX(Raw!E:FE, MATCH(M$4, Raw!$A:$A, 0), MATCH(1, (Raw!$B$1:$FB$1=$I64)*(Raw!$B$2:$FB$2=$H64), 0))</f>
        <v>2878000000</v>
      </c>
      <c r="N64" s="11" cm="1">
        <f t="array" ref="N64">INDEX(Raw!F:FF, MATCH(N$4, Raw!$A:$A, 0), MATCH(1, (Raw!$B$1:$FB$1=$I64)*(Raw!$B$2:$FB$2=$H64), 0))</f>
        <v>-96000000</v>
      </c>
      <c r="O64" s="11" cm="1">
        <f t="array" ref="O64">INDEX(Raw!G:FG, MATCH(O$4, Raw!$A:$A, 0), MATCH(1, (Raw!$B$1:$FB$1=$I64)*(Raw!$B$2:$FB$2=$H64), 0))</f>
        <v>3079000000</v>
      </c>
      <c r="P64" s="11" cm="1">
        <f t="array" ref="P64">INDEX(Raw!H:FH, MATCH(P$4, Raw!$A:$A, 0), MATCH(1, (Raw!$B$1:$FB$1=$I64)*(Raw!$B$2:$FB$2=$H64), 0))</f>
        <v>2150000000</v>
      </c>
      <c r="Q64" s="11" cm="1">
        <f t="array" ref="Q64">INDEX(Raw!I:FI, MATCH(Q$4, Raw!$A:$A, 0), MATCH(1, (Raw!$B$1:$FB$1=$I64)*(Raw!$B$2:$FB$2=$H64), 0))</f>
        <v>290000000</v>
      </c>
      <c r="R64" s="11" cm="1">
        <f t="array" ref="R64">INDEX(Raw!J:FJ, MATCH(R$4, Raw!$A:$A, 0), MATCH(1, (Raw!$B$1:$FB$1=$I64)*(Raw!$B$2:$FB$2=$H64), 0))</f>
        <v>1815000000</v>
      </c>
      <c r="S64" s="11" cm="1">
        <f t="array" ref="S64">INDEX(Raw!K:FK, MATCH(S$4, Raw!$A:$A, 0), MATCH(1, (Raw!$B$1:$FB$1=$I64)*(Raw!$B$2:$FB$2=$H64), 0))</f>
        <v>155000000</v>
      </c>
      <c r="T64" s="11" cm="1">
        <f t="array" ref="T64">INDEX(Raw!L:FL, MATCH(T$4, Raw!$A:$A, 0), MATCH(1, (Raw!$B$1:$FB$1=$I64)*(Raw!$B$2:$FB$2=$H64), 0))</f>
        <v>1915000000</v>
      </c>
      <c r="U64" s="11" cm="1">
        <f t="array" ref="U64">INDEX(Raw!M:FM, MATCH(U$4, Raw!$A:$A, 0), MATCH(1, (Raw!$B$1:$FB$1=$I64)*(Raw!$B$2:$FB$2=$H64), 0))</f>
        <v>0</v>
      </c>
      <c r="V64" s="11" cm="1">
        <f t="array" ref="V64">INDEX(Raw!N:FN, MATCH(V$4, Raw!$A:$A, 0), MATCH(1, (Raw!$B$1:$FB$1=$I64)*(Raw!$B$2:$FB$2=$H64), 0))</f>
        <v>1511000000</v>
      </c>
      <c r="W64" s="11" cm="1">
        <f t="array" ref="W64">INDEX(Raw!O:FO, MATCH(W$4, Raw!$A:$A, 0), MATCH(1, (Raw!$B$1:$FB$1=$I64)*(Raw!$B$2:$FB$2=$H64), 0))</f>
        <v>0</v>
      </c>
      <c r="X64" s="11" cm="1">
        <f t="array" ref="X64">INDEX(Raw!P:FP, MATCH(X$4, Raw!$A:$A, 0), MATCH(1, (Raw!$B$1:$FB$1=$I64)*(Raw!$B$2:$FB$2=$H64), 0))</f>
        <v>1654000000</v>
      </c>
      <c r="Y64" s="11" cm="1">
        <f t="array" ref="Y64">INDEX(Raw!Q:FQ, MATCH(Y$4, Raw!$A:$A, 0), MATCH(1, (Raw!$B$1:$FB$1=$I64)*(Raw!$B$2:$FB$2=$H64), 0))</f>
        <v>0</v>
      </c>
      <c r="Z64" s="11" cm="1">
        <f t="array" ref="Z64">INDEX(Raw!R:FR, MATCH(Z$4, Raw!$A:$A, 0), MATCH(1, (Raw!$B$1:$FB$1=$I64)*(Raw!$B$2:$FB$2=$H64), 0))</f>
        <v>0</v>
      </c>
      <c r="AA64" s="11" cm="1">
        <f t="array" ref="AA64">INDEX(Raw!S:FS, MATCH(AA$4, Raw!$A:$A, 0), MATCH(1, (Raw!$B$1:$FB$1=$I64)*(Raw!$B$2:$FB$2=$H64), 0))</f>
        <v>0</v>
      </c>
      <c r="AB64" s="11" cm="1">
        <f t="array" ref="AB64">INDEX(Raw!T:FT, MATCH(AB$4, Raw!$A:$A, 0), MATCH(1, (Raw!$B$1:$FB$1=$I64)*(Raw!$B$2:$FB$2=$H64), 0))</f>
        <v>0</v>
      </c>
      <c r="AC64" s="11" cm="1">
        <f t="array" ref="AC64">INDEX(Raw!U:FU, MATCH(AC$4, Raw!$A:$A, 0), MATCH(1, (Raw!$B$1:$FB$1=$I64)*(Raw!$B$2:$FB$2=$H64), 0))</f>
        <v>0.39</v>
      </c>
      <c r="AD64" s="11" cm="1">
        <f t="array" ref="AD64">INDEX(Raw!V:FV, MATCH(AD$4, Raw!$A:$A, 0), MATCH(1, (Raw!$B$1:$FB$1=$I64)*(Raw!$B$2:$FB$2=$H64), 0))</f>
        <v>0.23499999999999999</v>
      </c>
    </row>
    <row r="65" spans="6:30" x14ac:dyDescent="0.25">
      <c r="F65" s="11" t="s">
        <v>28</v>
      </c>
      <c r="G65" s="15">
        <f t="shared" ca="1" si="1"/>
        <v>46088</v>
      </c>
      <c r="H65" s="11">
        <f>H61-1</f>
        <v>2010</v>
      </c>
      <c r="I65" s="11" t="s">
        <v>21</v>
      </c>
      <c r="J65" s="11" cm="1">
        <f t="array" ref="J65">INDEX(Raw!B:FB, MATCH(J$4, Raw!$A:$A, 0), MATCH(1, (Raw!$B$1:$FB$1=$I65)*(Raw!$B$2:$FB$2=$H65), 0))</f>
        <v>10494000000</v>
      </c>
      <c r="K65" s="11" cm="1">
        <f t="array" ref="K65">INDEX(Raw!C:FC, MATCH(K$4, Raw!$A:$A, 0), MATCH(1, (Raw!$B$1:$FB$1=$I65)*(Raw!$B$2:$FB$2=$H65), 0))</f>
        <v>2918000000</v>
      </c>
      <c r="L65" s="11" cm="1">
        <f t="array" ref="L65">INDEX(Raw!D:FD, MATCH(L$4, Raw!$A:$A, 0), MATCH(1, (Raw!$B$1:$FB$1=$I65)*(Raw!$B$2:$FB$2=$H65), 0))</f>
        <v>5719000000</v>
      </c>
      <c r="M65" s="11" cm="1">
        <f t="array" ref="M65">INDEX(Raw!E:FE, MATCH(M$4, Raw!$A:$A, 0), MATCH(1, (Raw!$B$1:$FB$1=$I65)*(Raw!$B$2:$FB$2=$H65), 0))</f>
        <v>2705000000</v>
      </c>
      <c r="N65" s="11" cm="1">
        <f t="array" ref="N65">INDEX(Raw!F:FF, MATCH(N$4, Raw!$A:$A, 0), MATCH(1, (Raw!$B$1:$FB$1=$I65)*(Raw!$B$2:$FB$2=$H65), 0))</f>
        <v>-101000000</v>
      </c>
      <c r="O65" s="11" cm="1">
        <f t="array" ref="O65">INDEX(Raw!G:FG, MATCH(O$4, Raw!$A:$A, 0), MATCH(1, (Raw!$B$1:$FB$1=$I65)*(Raw!$B$2:$FB$2=$H65), 0))</f>
        <v>2960000000</v>
      </c>
      <c r="P65" s="11" cm="1">
        <f t="array" ref="P65">INDEX(Raw!H:FH, MATCH(P$4, Raw!$A:$A, 0), MATCH(1, (Raw!$B$1:$FB$1=$I65)*(Raw!$B$2:$FB$2=$H65), 0))</f>
        <v>2438000000</v>
      </c>
      <c r="Q65" s="11" cm="1">
        <f t="array" ref="Q65">INDEX(Raw!I:FI, MATCH(Q$4, Raw!$A:$A, 0), MATCH(1, (Raw!$B$1:$FB$1=$I65)*(Raw!$B$2:$FB$2=$H65), 0))</f>
        <v>-48000000</v>
      </c>
      <c r="R65" s="11" cm="1">
        <f t="array" ref="R65">INDEX(Raw!J:FJ, MATCH(R$4, Raw!$A:$A, 0), MATCH(1, (Raw!$B$1:$FB$1=$I65)*(Raw!$B$2:$FB$2=$H65), 0))</f>
        <v>1160000000</v>
      </c>
      <c r="S65" s="11" cm="1">
        <f t="array" ref="S65">INDEX(Raw!K:FK, MATCH(S$4, Raw!$A:$A, 0), MATCH(1, (Raw!$B$1:$FB$1=$I65)*(Raw!$B$2:$FB$2=$H65), 0))</f>
        <v>555000000</v>
      </c>
      <c r="T65" s="11" cm="1">
        <f t="array" ref="T65">INDEX(Raw!L:FL, MATCH(T$4, Raw!$A:$A, 0), MATCH(1, (Raw!$B$1:$FB$1=$I65)*(Raw!$B$2:$FB$2=$H65), 0))</f>
        <v>1443000000</v>
      </c>
      <c r="U65" s="11" cm="1">
        <f t="array" ref="U65">INDEX(Raw!M:FM, MATCH(U$4, Raw!$A:$A, 0), MATCH(1, (Raw!$B$1:$FB$1=$I65)*(Raw!$B$2:$FB$2=$H65), 0))</f>
        <v>0</v>
      </c>
      <c r="V65" s="11" cm="1">
        <f t="array" ref="V65">INDEX(Raw!N:FN, MATCH(V$4, Raw!$A:$A, 0), MATCH(1, (Raw!$B$1:$FB$1=$I65)*(Raw!$B$2:$FB$2=$H65), 0))</f>
        <v>1260000000</v>
      </c>
      <c r="W65" s="11" cm="1">
        <f t="array" ref="W65">INDEX(Raw!O:FO, MATCH(W$4, Raw!$A:$A, 0), MATCH(1, (Raw!$B$1:$FB$1=$I65)*(Raw!$B$2:$FB$2=$H65), 0))</f>
        <v>0</v>
      </c>
      <c r="X65" s="11" cm="1">
        <f t="array" ref="X65">INDEX(Raw!P:FP, MATCH(X$4, Raw!$A:$A, 0), MATCH(1, (Raw!$B$1:$FB$1=$I65)*(Raw!$B$2:$FB$2=$H65), 0))</f>
        <v>1851000000</v>
      </c>
      <c r="Y65" s="11" cm="1">
        <f t="array" ref="Y65">INDEX(Raw!Q:FQ, MATCH(Y$4, Raw!$A:$A, 0), MATCH(1, (Raw!$B$1:$FB$1=$I65)*(Raw!$B$2:$FB$2=$H65), 0))</f>
        <v>0</v>
      </c>
      <c r="Z65" s="11" cm="1">
        <f t="array" ref="Z65">INDEX(Raw!R:FR, MATCH(Z$4, Raw!$A:$A, 0), MATCH(1, (Raw!$B$1:$FB$1=$I65)*(Raw!$B$2:$FB$2=$H65), 0))</f>
        <v>0</v>
      </c>
      <c r="AA65" s="11" cm="1">
        <f t="array" ref="AA65">INDEX(Raw!S:FS, MATCH(AA$4, Raw!$A:$A, 0), MATCH(1, (Raw!$B$1:$FB$1=$I65)*(Raw!$B$2:$FB$2=$H65), 0))</f>
        <v>0</v>
      </c>
      <c r="AB65" s="11" cm="1">
        <f t="array" ref="AB65">INDEX(Raw!T:FT, MATCH(AB$4, Raw!$A:$A, 0), MATCH(1, (Raw!$B$1:$FB$1=$I65)*(Raw!$B$2:$FB$2=$H65), 0))</f>
        <v>0</v>
      </c>
      <c r="AC65" s="11" cm="1">
        <f t="array" ref="AC65">INDEX(Raw!U:FU, MATCH(AC$4, Raw!$A:$A, 0), MATCH(1, (Raw!$B$1:$FB$1=$I65)*(Raw!$B$2:$FB$2=$H65), 0))</f>
        <v>0.23499999999999999</v>
      </c>
      <c r="AD65" s="11" cm="1">
        <f t="array" ref="AD65">INDEX(Raw!V:FV, MATCH(AD$4, Raw!$A:$A, 0), MATCH(1, (Raw!$B$1:$FB$1=$I65)*(Raw!$B$2:$FB$2=$H65), 0))</f>
        <v>0.18</v>
      </c>
    </row>
    <row r="66" spans="6:30" x14ac:dyDescent="0.25">
      <c r="F66" s="11" t="s">
        <v>28</v>
      </c>
      <c r="G66" s="15">
        <f t="shared" ca="1" si="1"/>
        <v>46088</v>
      </c>
      <c r="H66" s="11">
        <f>H65</f>
        <v>2010</v>
      </c>
      <c r="I66" s="11" t="s">
        <v>22</v>
      </c>
      <c r="J66" s="11" cm="1">
        <f t="array" ref="J66">INDEX(Raw!B:FB, MATCH(J$4, Raw!$A:$A, 0), MATCH(1, (Raw!$B$1:$FB$1=$I66)*(Raw!$B$2:$FB$2=$H66), 0))</f>
        <v>8426000000</v>
      </c>
      <c r="K66" s="11" cm="1">
        <f t="array" ref="K66">INDEX(Raw!C:FC, MATCH(K$4, Raw!$A:$A, 0), MATCH(1, (Raw!$B$1:$FB$1=$I66)*(Raw!$B$2:$FB$2=$H66), 0))</f>
        <v>2955000000</v>
      </c>
      <c r="L66" s="11" cm="1">
        <f t="array" ref="L66">INDEX(Raw!D:FD, MATCH(L$4, Raw!$A:$A, 0), MATCH(1, (Raw!$B$1:$FB$1=$I66)*(Raw!$B$2:$FB$2=$H66), 0))</f>
        <v>4984000000</v>
      </c>
      <c r="M66" s="11" cm="1">
        <f t="array" ref="M66">INDEX(Raw!E:FE, MATCH(M$4, Raw!$A:$A, 0), MATCH(1, (Raw!$B$1:$FB$1=$I66)*(Raw!$B$2:$FB$2=$H66), 0))</f>
        <v>2978000000</v>
      </c>
      <c r="N66" s="11" cm="1">
        <f t="array" ref="N66">INDEX(Raw!F:FF, MATCH(N$4, Raw!$A:$A, 0), MATCH(1, (Raw!$B$1:$FB$1=$I66)*(Raw!$B$2:$FB$2=$H66), 0))</f>
        <v>-48000000</v>
      </c>
      <c r="O66" s="11" cm="1">
        <f t="array" ref="O66">INDEX(Raw!G:FG, MATCH(O$4, Raw!$A:$A, 0), MATCH(1, (Raw!$B$1:$FB$1=$I66)*(Raw!$B$2:$FB$2=$H66), 0))</f>
        <v>2916000000</v>
      </c>
      <c r="P66" s="11" cm="1">
        <f t="array" ref="P66">INDEX(Raw!H:FH, MATCH(P$4, Raw!$A:$A, 0), MATCH(1, (Raw!$B$1:$FB$1=$I66)*(Raw!$B$2:$FB$2=$H66), 0))</f>
        <v>1863000000</v>
      </c>
      <c r="Q66" s="11" cm="1">
        <f t="array" ref="Q66">INDEX(Raw!I:FI, MATCH(Q$4, Raw!$A:$A, 0), MATCH(1, (Raw!$B$1:$FB$1=$I66)*(Raw!$B$2:$FB$2=$H66), 0))</f>
        <v>-546000000</v>
      </c>
      <c r="R66" s="11" cm="1">
        <f t="array" ref="R66">INDEX(Raw!J:FJ, MATCH(R$4, Raw!$A:$A, 0), MATCH(1, (Raw!$B$1:$FB$1=$I66)*(Raw!$B$2:$FB$2=$H66), 0))</f>
        <v>2470000000</v>
      </c>
      <c r="S66" s="11" cm="1">
        <f t="array" ref="S66">INDEX(Raw!K:FK, MATCH(S$4, Raw!$A:$A, 0), MATCH(1, (Raw!$B$1:$FB$1=$I66)*(Raw!$B$2:$FB$2=$H66), 0))</f>
        <v>474000000</v>
      </c>
      <c r="T66" s="11" cm="1">
        <f t="array" ref="T66">INDEX(Raw!L:FL, MATCH(T$4, Raw!$A:$A, 0), MATCH(1, (Raw!$B$1:$FB$1=$I66)*(Raw!$B$2:$FB$2=$H66), 0))</f>
        <v>1511000000</v>
      </c>
      <c r="U66" s="11" cm="1">
        <f t="array" ref="U66">INDEX(Raw!M:FM, MATCH(U$4, Raw!$A:$A, 0), MATCH(1, (Raw!$B$1:$FB$1=$I66)*(Raw!$B$2:$FB$2=$H66), 0))</f>
        <v>0</v>
      </c>
      <c r="V66" s="11" cm="1">
        <f t="array" ref="V66">INDEX(Raw!N:FN, MATCH(V$4, Raw!$A:$A, 0), MATCH(1, (Raw!$B$1:$FB$1=$I66)*(Raw!$B$2:$FB$2=$H66), 0))</f>
        <v>1654000000</v>
      </c>
      <c r="W66" s="11" cm="1">
        <f t="array" ref="W66">INDEX(Raw!O:FO, MATCH(W$4, Raw!$A:$A, 0), MATCH(1, (Raw!$B$1:$FB$1=$I66)*(Raw!$B$2:$FB$2=$H66), 0))</f>
        <v>0</v>
      </c>
      <c r="X66" s="11" cm="1">
        <f t="array" ref="X66">INDEX(Raw!P:FP, MATCH(X$4, Raw!$A:$A, 0), MATCH(1, (Raw!$B$1:$FB$1=$I66)*(Raw!$B$2:$FB$2=$H66), 0))</f>
        <v>1262000000</v>
      </c>
      <c r="Y66" s="11" cm="1">
        <f t="array" ref="Y66">INDEX(Raw!Q:FQ, MATCH(Y$4, Raw!$A:$A, 0), MATCH(1, (Raw!$B$1:$FB$1=$I66)*(Raw!$B$2:$FB$2=$H66), 0))</f>
        <v>0</v>
      </c>
      <c r="Z66" s="11" cm="1">
        <f t="array" ref="Z66">INDEX(Raw!R:FR, MATCH(Z$4, Raw!$A:$A, 0), MATCH(1, (Raw!$B$1:$FB$1=$I66)*(Raw!$B$2:$FB$2=$H66), 0))</f>
        <v>0</v>
      </c>
      <c r="AA66" s="11" cm="1">
        <f t="array" ref="AA66">INDEX(Raw!S:FS, MATCH(AA$4, Raw!$A:$A, 0), MATCH(1, (Raw!$B$1:$FB$1=$I66)*(Raw!$B$2:$FB$2=$H66), 0))</f>
        <v>0</v>
      </c>
      <c r="AB66" s="11" cm="1">
        <f t="array" ref="AB66">INDEX(Raw!T:FT, MATCH(AB$4, Raw!$A:$A, 0), MATCH(1, (Raw!$B$1:$FB$1=$I66)*(Raw!$B$2:$FB$2=$H66), 0))</f>
        <v>0</v>
      </c>
      <c r="AC66" s="11" cm="1">
        <f t="array" ref="AC66">INDEX(Raw!U:FU, MATCH(AC$4, Raw!$A:$A, 0), MATCH(1, (Raw!$B$1:$FB$1=$I66)*(Raw!$B$2:$FB$2=$H66), 0))</f>
        <v>0.18</v>
      </c>
      <c r="AD66" s="11" cm="1">
        <f t="array" ref="AD66">INDEX(Raw!V:FV, MATCH(AD$4, Raw!$A:$A, 0), MATCH(1, (Raw!$B$1:$FB$1=$I66)*(Raw!$B$2:$FB$2=$H66), 0))</f>
        <v>0.27</v>
      </c>
    </row>
    <row r="67" spans="6:30" x14ac:dyDescent="0.25">
      <c r="F67" s="11" t="s">
        <v>28</v>
      </c>
      <c r="G67" s="15">
        <f t="shared" ca="1" si="1"/>
        <v>46088</v>
      </c>
      <c r="H67" s="11">
        <f>H66</f>
        <v>2010</v>
      </c>
      <c r="I67" s="11" t="s">
        <v>23</v>
      </c>
      <c r="J67" s="11" cm="1">
        <f t="array" ref="J67">INDEX(Raw!B:FB, MATCH(J$4, Raw!$A:$A, 0), MATCH(1, (Raw!$B$1:$FB$1=$I67)*(Raw!$B$2:$FB$2=$H67), 0))</f>
        <v>8674000000</v>
      </c>
      <c r="K67" s="11" cm="1">
        <f t="array" ref="K67">INDEX(Raw!C:FC, MATCH(K$4, Raw!$A:$A, 0), MATCH(1, (Raw!$B$1:$FB$1=$I67)*(Raw!$B$2:$FB$2=$H67), 0))</f>
        <v>2541000000</v>
      </c>
      <c r="L67" s="11" cm="1">
        <f t="array" ref="L67">INDEX(Raw!D:FD, MATCH(L$4, Raw!$A:$A, 0), MATCH(1, (Raw!$B$1:$FB$1=$I67)*(Raw!$B$2:$FB$2=$H67), 0))</f>
        <v>4859000000</v>
      </c>
      <c r="M67" s="11" cm="1">
        <f t="array" ref="M67">INDEX(Raw!E:FE, MATCH(M$4, Raw!$A:$A, 0), MATCH(1, (Raw!$B$1:$FB$1=$I67)*(Raw!$B$2:$FB$2=$H67), 0))</f>
        <v>2912000000</v>
      </c>
      <c r="N67" s="11" cm="1">
        <f t="array" ref="N67">INDEX(Raw!F:FF, MATCH(N$4, Raw!$A:$A, 0), MATCH(1, (Raw!$B$1:$FB$1=$I67)*(Raw!$B$2:$FB$2=$H67), 0))</f>
        <v>-72000000</v>
      </c>
      <c r="O67" s="11" cm="1">
        <f t="array" ref="O67">INDEX(Raw!G:FG, MATCH(O$4, Raw!$A:$A, 0), MATCH(1, (Raw!$B$1:$FB$1=$I67)*(Raw!$B$2:$FB$2=$H67), 0))</f>
        <v>2716000000</v>
      </c>
      <c r="P67" s="11" cm="1">
        <f t="array" ref="P67">INDEX(Raw!H:FH, MATCH(P$4, Raw!$A:$A, 0), MATCH(1, (Raw!$B$1:$FB$1=$I67)*(Raw!$B$2:$FB$2=$H67), 0))</f>
        <v>1706000000</v>
      </c>
      <c r="Q67" s="11" cm="1">
        <f t="array" ref="Q67">INDEX(Raw!I:FI, MATCH(Q$4, Raw!$A:$A, 0), MATCH(1, (Raw!$B$1:$FB$1=$I67)*(Raw!$B$2:$FB$2=$H67), 0))</f>
        <v>283000000</v>
      </c>
      <c r="R67" s="11" cm="1">
        <f t="array" ref="R67">INDEX(Raw!J:FJ, MATCH(R$4, Raw!$A:$A, 0), MATCH(1, (Raw!$B$1:$FB$1=$I67)*(Raw!$B$2:$FB$2=$H67), 0))</f>
        <v>1917000000</v>
      </c>
      <c r="S67" s="11" cm="1">
        <f t="array" ref="S67">INDEX(Raw!K:FK, MATCH(S$4, Raw!$A:$A, 0), MATCH(1, (Raw!$B$1:$FB$1=$I67)*(Raw!$B$2:$FB$2=$H67), 0))</f>
        <v>448000000</v>
      </c>
      <c r="T67" s="11" cm="1">
        <f t="array" ref="T67">INDEX(Raw!L:FL, MATCH(T$4, Raw!$A:$A, 0), MATCH(1, (Raw!$B$1:$FB$1=$I67)*(Raw!$B$2:$FB$2=$H67), 0))</f>
        <v>1260000000</v>
      </c>
      <c r="U67" s="11" cm="1">
        <f t="array" ref="U67">INDEX(Raw!M:FM, MATCH(U$4, Raw!$A:$A, 0), MATCH(1, (Raw!$B$1:$FB$1=$I67)*(Raw!$B$2:$FB$2=$H67), 0))</f>
        <v>0</v>
      </c>
      <c r="V67" s="11" cm="1">
        <f t="array" ref="V67">INDEX(Raw!N:FN, MATCH(V$4, Raw!$A:$A, 0), MATCH(1, (Raw!$B$1:$FB$1=$I67)*(Raw!$B$2:$FB$2=$H67), 0))</f>
        <v>1851000000</v>
      </c>
      <c r="W67" s="11" cm="1">
        <f t="array" ref="W67">INDEX(Raw!O:FO, MATCH(W$4, Raw!$A:$A, 0), MATCH(1, (Raw!$B$1:$FB$1=$I67)*(Raw!$B$2:$FB$2=$H67), 0))</f>
        <v>0</v>
      </c>
      <c r="X67" s="11" cm="1">
        <f t="array" ref="X67">INDEX(Raw!P:FP, MATCH(X$4, Raw!$A:$A, 0), MATCH(1, (Raw!$B$1:$FB$1=$I67)*(Raw!$B$2:$FB$2=$H67), 0))</f>
        <v>678000000</v>
      </c>
      <c r="Y67" s="11" cm="1">
        <f t="array" ref="Y67">INDEX(Raw!Q:FQ, MATCH(Y$4, Raw!$A:$A, 0), MATCH(1, (Raw!$B$1:$FB$1=$I67)*(Raw!$B$2:$FB$2=$H67), 0))</f>
        <v>0</v>
      </c>
      <c r="Z67" s="11" cm="1">
        <f t="array" ref="Z67">INDEX(Raw!R:FR, MATCH(Z$4, Raw!$A:$A, 0), MATCH(1, (Raw!$B$1:$FB$1=$I67)*(Raw!$B$2:$FB$2=$H67), 0))</f>
        <v>0</v>
      </c>
      <c r="AA67" s="11" cm="1">
        <f t="array" ref="AA67">INDEX(Raw!S:FS, MATCH(AA$4, Raw!$A:$A, 0), MATCH(1, (Raw!$B$1:$FB$1=$I67)*(Raw!$B$2:$FB$2=$H67), 0))</f>
        <v>0</v>
      </c>
      <c r="AB67" s="11" cm="1">
        <f t="array" ref="AB67">INDEX(Raw!T:FT, MATCH(AB$4, Raw!$A:$A, 0), MATCH(1, (Raw!$B$1:$FB$1=$I67)*(Raw!$B$2:$FB$2=$H67), 0))</f>
        <v>0</v>
      </c>
      <c r="AC67" s="11" cm="1">
        <f t="array" ref="AC67">INDEX(Raw!U:FU, MATCH(AC$4, Raw!$A:$A, 0), MATCH(1, (Raw!$B$1:$FB$1=$I67)*(Raw!$B$2:$FB$2=$H67), 0))</f>
        <v>0.27</v>
      </c>
      <c r="AD67" s="11" cm="1">
        <f t="array" ref="AD67">INDEX(Raw!V:FV, MATCH(AD$4, Raw!$A:$A, 0), MATCH(1, (Raw!$B$1:$FB$1=$I67)*(Raw!$B$2:$FB$2=$H67), 0))</f>
        <v>0.36</v>
      </c>
    </row>
    <row r="68" spans="6:30" x14ac:dyDescent="0.25">
      <c r="F68" s="11" t="s">
        <v>28</v>
      </c>
      <c r="G68" s="15">
        <f t="shared" ca="1" si="1"/>
        <v>46088</v>
      </c>
      <c r="H68" s="11">
        <f>H67</f>
        <v>2010</v>
      </c>
      <c r="I68" s="11" t="s">
        <v>24</v>
      </c>
      <c r="J68" s="11" cm="1">
        <f t="array" ref="J68">INDEX(Raw!B:FB, MATCH(J$4, Raw!$A:$A, 0), MATCH(1, (Raw!$B$1:$FB$1=$I68)*(Raw!$B$2:$FB$2=$H68), 0))</f>
        <v>7525000000</v>
      </c>
      <c r="K68" s="11" cm="1">
        <f t="array" ref="K68">INDEX(Raw!C:FC, MATCH(K$4, Raw!$A:$A, 0), MATCH(1, (Raw!$B$1:$FB$1=$I68)*(Raw!$B$2:$FB$2=$H68), 0))</f>
        <v>2651000000</v>
      </c>
      <c r="L68" s="11" cm="1">
        <f t="array" ref="L68">INDEX(Raw!D:FD, MATCH(L$4, Raw!$A:$A, 0), MATCH(1, (Raw!$B$1:$FB$1=$I68)*(Raw!$B$2:$FB$2=$H68), 0))</f>
        <v>5110000000</v>
      </c>
      <c r="M68" s="11" cm="1">
        <f t="array" ref="M68">INDEX(Raw!E:FE, MATCH(M$4, Raw!$A:$A, 0), MATCH(1, (Raw!$B$1:$FB$1=$I68)*(Raw!$B$2:$FB$2=$H68), 0))</f>
        <v>2844000000</v>
      </c>
      <c r="N68" s="11" cm="1">
        <f t="array" ref="N68">INDEX(Raw!F:FF, MATCH(N$4, Raw!$A:$A, 0), MATCH(1, (Raw!$B$1:$FB$1=$I68)*(Raw!$B$2:$FB$2=$H68), 0))</f>
        <v>-92000000</v>
      </c>
      <c r="O68" s="11" cm="1">
        <f t="array" ref="O68">INDEX(Raw!G:FG, MATCH(O$4, Raw!$A:$A, 0), MATCH(1, (Raw!$B$1:$FB$1=$I68)*(Raw!$B$2:$FB$2=$H68), 0))</f>
        <v>2852000000</v>
      </c>
      <c r="P68" s="11" cm="1">
        <f t="array" ref="P68">INDEX(Raw!H:FH, MATCH(P$4, Raw!$A:$A, 0), MATCH(1, (Raw!$B$1:$FB$1=$I68)*(Raw!$B$2:$FB$2=$H68), 0))</f>
        <v>2187000000</v>
      </c>
      <c r="Q68" s="11" cm="1">
        <f t="array" ref="Q68">INDEX(Raw!I:FI, MATCH(Q$4, Raw!$A:$A, 0), MATCH(1, (Raw!$B$1:$FB$1=$I68)*(Raw!$B$2:$FB$2=$H68), 0))</f>
        <v>-762000000</v>
      </c>
      <c r="R68" s="11" cm="1">
        <f t="array" ref="R68">INDEX(Raw!J:FJ, MATCH(R$4, Raw!$A:$A, 0), MATCH(1, (Raw!$B$1:$FB$1=$I68)*(Raw!$B$2:$FB$2=$H68), 0))</f>
        <v>1959000000</v>
      </c>
      <c r="S68" s="11" cm="1">
        <f t="array" ref="S68">INDEX(Raw!K:FK, MATCH(S$4, Raw!$A:$A, 0), MATCH(1, (Raw!$B$1:$FB$1=$I68)*(Raw!$B$2:$FB$2=$H68), 0))</f>
        <v>409000000</v>
      </c>
      <c r="T68" s="11" cm="1">
        <f t="array" ref="T68">INDEX(Raw!L:FL, MATCH(T$4, Raw!$A:$A, 0), MATCH(1, (Raw!$B$1:$FB$1=$I68)*(Raw!$B$2:$FB$2=$H68), 0))</f>
        <v>1654000000</v>
      </c>
      <c r="U68" s="11" cm="1">
        <f t="array" ref="U68">INDEX(Raw!M:FM, MATCH(U$4, Raw!$A:$A, 0), MATCH(1, (Raw!$B$1:$FB$1=$I68)*(Raw!$B$2:$FB$2=$H68), 0))</f>
        <v>0</v>
      </c>
      <c r="V68" s="11" cm="1">
        <f t="array" ref="V68">INDEX(Raw!N:FN, MATCH(V$4, Raw!$A:$A, 0), MATCH(1, (Raw!$B$1:$FB$1=$I68)*(Raw!$B$2:$FB$2=$H68), 0))</f>
        <v>1262000000</v>
      </c>
      <c r="W68" s="11" cm="1">
        <f t="array" ref="W68">INDEX(Raw!O:FO, MATCH(W$4, Raw!$A:$A, 0), MATCH(1, (Raw!$B$1:$FB$1=$I68)*(Raw!$B$2:$FB$2=$H68), 0))</f>
        <v>0</v>
      </c>
      <c r="X68" s="11" cm="1">
        <f t="array" ref="X68">INDEX(Raw!P:FP, MATCH(X$4, Raw!$A:$A, 0), MATCH(1, (Raw!$B$1:$FB$1=$I68)*(Raw!$B$2:$FB$2=$H68), 0))</f>
        <v>1460000000</v>
      </c>
      <c r="Y68" s="11" cm="1">
        <f t="array" ref="Y68">INDEX(Raw!Q:FQ, MATCH(Y$4, Raw!$A:$A, 0), MATCH(1, (Raw!$B$1:$FB$1=$I68)*(Raw!$B$2:$FB$2=$H68), 0))</f>
        <v>0</v>
      </c>
      <c r="Z68" s="11" cm="1">
        <f t="array" ref="Z68">INDEX(Raw!R:FR, MATCH(Z$4, Raw!$A:$A, 0), MATCH(1, (Raw!$B$1:$FB$1=$I68)*(Raw!$B$2:$FB$2=$H68), 0))</f>
        <v>0</v>
      </c>
      <c r="AA68" s="11" cm="1">
        <f t="array" ref="AA68">INDEX(Raw!S:FS, MATCH(AA$4, Raw!$A:$A, 0), MATCH(1, (Raw!$B$1:$FB$1=$I68)*(Raw!$B$2:$FB$2=$H68), 0))</f>
        <v>0</v>
      </c>
      <c r="AB68" s="11" cm="1">
        <f t="array" ref="AB68">INDEX(Raw!T:FT, MATCH(AB$4, Raw!$A:$A, 0), MATCH(1, (Raw!$B$1:$FB$1=$I68)*(Raw!$B$2:$FB$2=$H68), 0))</f>
        <v>0</v>
      </c>
      <c r="AC68" s="11" cm="1">
        <f t="array" ref="AC68">INDEX(Raw!U:FU, MATCH(AC$4, Raw!$A:$A, 0), MATCH(1, (Raw!$B$1:$FB$1=$I68)*(Raw!$B$2:$FB$2=$H68), 0))</f>
        <v>0.36</v>
      </c>
      <c r="AD68" s="11" cm="1">
        <f t="array" ref="AD68">INDEX(Raw!V:FV, MATCH(AD$4, Raw!$A:$A, 0), MATCH(1, (Raw!$B$1:$FB$1=$I68)*(Raw!$B$2:$FB$2=$H68), 0))</f>
        <v>0.21</v>
      </c>
    </row>
    <row r="69" spans="6:30" x14ac:dyDescent="0.25">
      <c r="F69" s="11" t="s">
        <v>28</v>
      </c>
      <c r="G69" s="15">
        <f t="shared" ref="G69:G100" ca="1" si="2">TODAY()</f>
        <v>46088</v>
      </c>
      <c r="H69" s="11">
        <f>H65-1</f>
        <v>2009</v>
      </c>
      <c r="I69" s="11" t="s">
        <v>21</v>
      </c>
      <c r="J69" s="11" cm="1">
        <f t="array" ref="J69">INDEX(Raw!B:FB, MATCH(J$4, Raw!$A:$A, 0), MATCH(1, (Raw!$B$1:$FB$1=$I69)*(Raw!$B$2:$FB$2=$H69), 0))</f>
        <v>7510000000</v>
      </c>
      <c r="K69" s="11" cm="1">
        <f t="array" ref="K69">INDEX(Raw!C:FC, MATCH(K$4, Raw!$A:$A, 0), MATCH(1, (Raw!$B$1:$FB$1=$I69)*(Raw!$B$2:$FB$2=$H69), 0))</f>
        <v>2934000000</v>
      </c>
      <c r="L69" s="11" cm="1">
        <f t="array" ref="L69">INDEX(Raw!D:FD, MATCH(L$4, Raw!$A:$A, 0), MATCH(1, (Raw!$B$1:$FB$1=$I69)*(Raw!$B$2:$FB$2=$H69), 0))</f>
        <v>5354000000</v>
      </c>
      <c r="M69" s="11" cm="1">
        <f t="array" ref="M69">INDEX(Raw!E:FE, MATCH(M$4, Raw!$A:$A, 0), MATCH(1, (Raw!$B$1:$FB$1=$I69)*(Raw!$B$2:$FB$2=$H69), 0))</f>
        <v>2624000000</v>
      </c>
      <c r="N69" s="11" cm="1">
        <f t="array" ref="N69">INDEX(Raw!F:FF, MATCH(N$4, Raw!$A:$A, 0), MATCH(1, (Raw!$B$1:$FB$1=$I69)*(Raw!$B$2:$FB$2=$H69), 0))</f>
        <v>-108000000</v>
      </c>
      <c r="O69" s="11" cm="1">
        <f t="array" ref="O69">INDEX(Raw!G:FG, MATCH(O$4, Raw!$A:$A, 0), MATCH(1, (Raw!$B$1:$FB$1=$I69)*(Raw!$B$2:$FB$2=$H69), 0))</f>
        <v>3186000000</v>
      </c>
      <c r="P69" s="11" cm="1">
        <f t="array" ref="P69">INDEX(Raw!H:FH, MATCH(P$4, Raw!$A:$A, 0), MATCH(1, (Raw!$B$1:$FB$1=$I69)*(Raw!$B$2:$FB$2=$H69), 0))</f>
        <v>2679000000</v>
      </c>
      <c r="Q69" s="11" cm="1">
        <f t="array" ref="Q69">INDEX(Raw!I:FI, MATCH(Q$4, Raw!$A:$A, 0), MATCH(1, (Raw!$B$1:$FB$1=$I69)*(Raw!$B$2:$FB$2=$H69), 0))</f>
        <v>85000000</v>
      </c>
      <c r="R69" s="11" cm="1">
        <f t="array" ref="R69">INDEX(Raw!J:FJ, MATCH(R$4, Raw!$A:$A, 0), MATCH(1, (Raw!$B$1:$FB$1=$I69)*(Raw!$B$2:$FB$2=$H69), 0))</f>
        <v>1669000000</v>
      </c>
      <c r="S69" s="11" cm="1">
        <f t="array" ref="S69">INDEX(Raw!K:FK, MATCH(S$4, Raw!$A:$A, 0), MATCH(1, (Raw!$B$1:$FB$1=$I69)*(Raw!$B$2:$FB$2=$H69), 0))</f>
        <v>459000000</v>
      </c>
      <c r="T69" s="11" cm="1">
        <f t="array" ref="T69">INDEX(Raw!L:FL, MATCH(T$4, Raw!$A:$A, 0), MATCH(1, (Raw!$B$1:$FB$1=$I69)*(Raw!$B$2:$FB$2=$H69), 0))</f>
        <v>1851000000</v>
      </c>
      <c r="U69" s="11" cm="1">
        <f t="array" ref="U69">INDEX(Raw!M:FM, MATCH(U$4, Raw!$A:$A, 0), MATCH(1, (Raw!$B$1:$FB$1=$I69)*(Raw!$B$2:$FB$2=$H69), 0))</f>
        <v>0</v>
      </c>
      <c r="V69" s="11" cm="1">
        <f t="array" ref="V69">INDEX(Raw!N:FN, MATCH(V$4, Raw!$A:$A, 0), MATCH(1, (Raw!$B$1:$FB$1=$I69)*(Raw!$B$2:$FB$2=$H69), 0))</f>
        <v>678000000</v>
      </c>
      <c r="W69" s="11" cm="1">
        <f t="array" ref="W69">INDEX(Raw!O:FO, MATCH(W$4, Raw!$A:$A, 0), MATCH(1, (Raw!$B$1:$FB$1=$I69)*(Raw!$B$2:$FB$2=$H69), 0))</f>
        <v>0</v>
      </c>
      <c r="X69" s="11" cm="1">
        <f t="array" ref="X69">INDEX(Raw!P:FP, MATCH(X$4, Raw!$A:$A, 0), MATCH(1, (Raw!$B$1:$FB$1=$I69)*(Raw!$B$2:$FB$2=$H69), 0))</f>
        <v>1836000000</v>
      </c>
      <c r="Y69" s="11" cm="1">
        <f t="array" ref="Y69">INDEX(Raw!Q:FQ, MATCH(Y$4, Raw!$A:$A, 0), MATCH(1, (Raw!$B$1:$FB$1=$I69)*(Raw!$B$2:$FB$2=$H69), 0))</f>
        <v>0</v>
      </c>
      <c r="Z69" s="11" cm="1">
        <f t="array" ref="Z69">INDEX(Raw!R:FR, MATCH(Z$4, Raw!$A:$A, 0), MATCH(1, (Raw!$B$1:$FB$1=$I69)*(Raw!$B$2:$FB$2=$H69), 0))</f>
        <v>0</v>
      </c>
      <c r="AA69" s="11" cm="1">
        <f t="array" ref="AA69">INDEX(Raw!S:FS, MATCH(AA$4, Raw!$A:$A, 0), MATCH(1, (Raw!$B$1:$FB$1=$I69)*(Raw!$B$2:$FB$2=$H69), 0))</f>
        <v>0</v>
      </c>
      <c r="AB69" s="11" cm="1">
        <f t="array" ref="AB69">INDEX(Raw!T:FT, MATCH(AB$4, Raw!$A:$A, 0), MATCH(1, (Raw!$B$1:$FB$1=$I69)*(Raw!$B$2:$FB$2=$H69), 0))</f>
        <v>0</v>
      </c>
      <c r="AC69" s="11" cm="1">
        <f t="array" ref="AC69">INDEX(Raw!U:FU, MATCH(AC$4, Raw!$A:$A, 0), MATCH(1, (Raw!$B$1:$FB$1=$I69)*(Raw!$B$2:$FB$2=$H69), 0))</f>
        <v>0.21</v>
      </c>
      <c r="AD69" s="11" cm="1">
        <f t="array" ref="AD69">INDEX(Raw!V:FV, MATCH(AD$4, Raw!$A:$A, 0), MATCH(1, (Raw!$B$1:$FB$1=$I69)*(Raw!$B$2:$FB$2=$H69), 0))</f>
        <v>0.25</v>
      </c>
    </row>
    <row r="70" spans="6:30" x14ac:dyDescent="0.25">
      <c r="F70" s="11" t="s">
        <v>28</v>
      </c>
      <c r="G70" s="15">
        <f t="shared" ca="1" si="2"/>
        <v>46088</v>
      </c>
      <c r="H70" s="11">
        <f>H69</f>
        <v>2009</v>
      </c>
      <c r="I70" s="11" t="s">
        <v>22</v>
      </c>
      <c r="J70" s="11" cm="1">
        <f t="array" ref="J70">INDEX(Raw!B:FB, MATCH(J$4, Raw!$A:$A, 0), MATCH(1, (Raw!$B$1:$FB$1=$I70)*(Raw!$B$2:$FB$2=$H70), 0))</f>
        <v>8044000000</v>
      </c>
      <c r="K70" s="11" cm="1">
        <f t="array" ref="K70">INDEX(Raw!C:FC, MATCH(K$4, Raw!$A:$A, 0), MATCH(1, (Raw!$B$1:$FB$1=$I70)*(Raw!$B$2:$FB$2=$H70), 0))</f>
        <v>2913000000</v>
      </c>
      <c r="L70" s="11" cm="1">
        <f t="array" ref="L70">INDEX(Raw!D:FD, MATCH(L$4, Raw!$A:$A, 0), MATCH(1, (Raw!$B$1:$FB$1=$I70)*(Raw!$B$2:$FB$2=$H70), 0))</f>
        <v>4579000000</v>
      </c>
      <c r="M70" s="11" cm="1">
        <f t="array" ref="M70">INDEX(Raw!E:FE, MATCH(M$4, Raw!$A:$A, 0), MATCH(1, (Raw!$B$1:$FB$1=$I70)*(Raw!$B$2:$FB$2=$H70), 0))</f>
        <v>2744000000</v>
      </c>
      <c r="N70" s="11" cm="1">
        <f t="array" ref="N70">INDEX(Raw!F:FF, MATCH(N$4, Raw!$A:$A, 0), MATCH(1, (Raw!$B$1:$FB$1=$I70)*(Raw!$B$2:$FB$2=$H70), 0))</f>
        <v>-47000000</v>
      </c>
      <c r="O70" s="11" cm="1">
        <f t="array" ref="O70">INDEX(Raw!G:FG, MATCH(O$4, Raw!$A:$A, 0), MATCH(1, (Raw!$B$1:$FB$1=$I70)*(Raw!$B$2:$FB$2=$H70), 0))</f>
        <v>3205000000</v>
      </c>
      <c r="P70" s="11" cm="1">
        <f t="array" ref="P70">INDEX(Raw!H:FH, MATCH(P$4, Raw!$A:$A, 0), MATCH(1, (Raw!$B$1:$FB$1=$I70)*(Raw!$B$2:$FB$2=$H70), 0))</f>
        <v>1874000000</v>
      </c>
      <c r="Q70" s="11" cm="1">
        <f t="array" ref="Q70">INDEX(Raw!I:FI, MATCH(Q$4, Raw!$A:$A, 0), MATCH(1, (Raw!$B$1:$FB$1=$I70)*(Raw!$B$2:$FB$2=$H70), 0))</f>
        <v>143000000</v>
      </c>
      <c r="R70" s="11" cm="1">
        <f t="array" ref="R70">INDEX(Raw!J:FJ, MATCH(R$4, Raw!$A:$A, 0), MATCH(1, (Raw!$B$1:$FB$1=$I70)*(Raw!$B$2:$FB$2=$H70), 0))</f>
        <v>2113000000</v>
      </c>
      <c r="S70" s="11" cm="1">
        <f t="array" ref="S70">INDEX(Raw!K:FK, MATCH(S$4, Raw!$A:$A, 0), MATCH(1, (Raw!$B$1:$FB$1=$I70)*(Raw!$B$2:$FB$2=$H70), 0))</f>
        <v>557000000</v>
      </c>
      <c r="T70" s="11" cm="1">
        <f t="array" ref="T70">INDEX(Raw!L:FL, MATCH(T$4, Raw!$A:$A, 0), MATCH(1, (Raw!$B$1:$FB$1=$I70)*(Raw!$B$2:$FB$2=$H70), 0))</f>
        <v>1262000000</v>
      </c>
      <c r="U70" s="11" cm="1">
        <f t="array" ref="U70">INDEX(Raw!M:FM, MATCH(U$4, Raw!$A:$A, 0), MATCH(1, (Raw!$B$1:$FB$1=$I70)*(Raw!$B$2:$FB$2=$H70), 0))</f>
        <v>0</v>
      </c>
      <c r="V70" s="11" cm="1">
        <f t="array" ref="V70">INDEX(Raw!N:FN, MATCH(V$4, Raw!$A:$A, 0), MATCH(1, (Raw!$B$1:$FB$1=$I70)*(Raw!$B$2:$FB$2=$H70), 0))</f>
        <v>1460000000</v>
      </c>
      <c r="W70" s="11" cm="1">
        <f t="array" ref="W70">INDEX(Raw!O:FO, MATCH(W$4, Raw!$A:$A, 0), MATCH(1, (Raw!$B$1:$FB$1=$I70)*(Raw!$B$2:$FB$2=$H70), 0))</f>
        <v>0</v>
      </c>
      <c r="X70" s="11" cm="1">
        <f t="array" ref="X70">INDEX(Raw!P:FP, MATCH(X$4, Raw!$A:$A, 0), MATCH(1, (Raw!$B$1:$FB$1=$I70)*(Raw!$B$2:$FB$2=$H70), 0))</f>
        <v>1106000000</v>
      </c>
      <c r="Y70" s="11" cm="1">
        <f t="array" ref="Y70">INDEX(Raw!Q:FQ, MATCH(Y$4, Raw!$A:$A, 0), MATCH(1, (Raw!$B$1:$FB$1=$I70)*(Raw!$B$2:$FB$2=$H70), 0))</f>
        <v>0</v>
      </c>
      <c r="Z70" s="11" cm="1">
        <f t="array" ref="Z70">INDEX(Raw!R:FR, MATCH(Z$4, Raw!$A:$A, 0), MATCH(1, (Raw!$B$1:$FB$1=$I70)*(Raw!$B$2:$FB$2=$H70), 0))</f>
        <v>0</v>
      </c>
      <c r="AA70" s="11" cm="1">
        <f t="array" ref="AA70">INDEX(Raw!S:FS, MATCH(AA$4, Raw!$A:$A, 0), MATCH(1, (Raw!$B$1:$FB$1=$I70)*(Raw!$B$2:$FB$2=$H70), 0))</f>
        <v>0</v>
      </c>
      <c r="AB70" s="11" cm="1">
        <f t="array" ref="AB70">INDEX(Raw!T:FT, MATCH(AB$4, Raw!$A:$A, 0), MATCH(1, (Raw!$B$1:$FB$1=$I70)*(Raw!$B$2:$FB$2=$H70), 0))</f>
        <v>0</v>
      </c>
      <c r="AC70" s="11" cm="1">
        <f t="array" ref="AC70">INDEX(Raw!U:FU, MATCH(AC$4, Raw!$A:$A, 0), MATCH(1, (Raw!$B$1:$FB$1=$I70)*(Raw!$B$2:$FB$2=$H70), 0))</f>
        <v>0.25</v>
      </c>
      <c r="AD70" s="11" cm="1">
        <f t="array" ref="AD70">INDEX(Raw!V:FV, MATCH(AD$4, Raw!$A:$A, 0), MATCH(1, (Raw!$B$1:$FB$1=$I70)*(Raw!$B$2:$FB$2=$H70), 0))</f>
        <v>0.19500000000000001</v>
      </c>
    </row>
    <row r="71" spans="6:30" x14ac:dyDescent="0.25">
      <c r="F71" s="11" t="s">
        <v>28</v>
      </c>
      <c r="G71" s="15">
        <f t="shared" ca="1" si="2"/>
        <v>46088</v>
      </c>
      <c r="H71" s="11">
        <f>H70</f>
        <v>2009</v>
      </c>
      <c r="I71" s="11" t="s">
        <v>23</v>
      </c>
      <c r="J71" s="11" cm="1">
        <f t="array" ref="J71">INDEX(Raw!B:FB, MATCH(J$4, Raw!$A:$A, 0), MATCH(1, (Raw!$B$1:$FB$1=$I71)*(Raw!$B$2:$FB$2=$H71), 0))</f>
        <v>8267000000</v>
      </c>
      <c r="K71" s="11" cm="1">
        <f t="array" ref="K71">INDEX(Raw!C:FC, MATCH(K$4, Raw!$A:$A, 0), MATCH(1, (Raw!$B$1:$FB$1=$I71)*(Raw!$B$2:$FB$2=$H71), 0))</f>
        <v>2590000000</v>
      </c>
      <c r="L71" s="11" cm="1">
        <f t="array" ref="L71">INDEX(Raw!D:FD, MATCH(L$4, Raw!$A:$A, 0), MATCH(1, (Raw!$B$1:$FB$1=$I71)*(Raw!$B$2:$FB$2=$H71), 0))</f>
        <v>4558000000</v>
      </c>
      <c r="M71" s="11" cm="1">
        <f t="array" ref="M71">INDEX(Raw!E:FE, MATCH(M$4, Raw!$A:$A, 0), MATCH(1, (Raw!$B$1:$FB$1=$I71)*(Raw!$B$2:$FB$2=$H71), 0))</f>
        <v>3139000000</v>
      </c>
      <c r="N71" s="11" cm="1">
        <f t="array" ref="N71">INDEX(Raw!F:FF, MATCH(N$4, Raw!$A:$A, 0), MATCH(1, (Raw!$B$1:$FB$1=$I71)*(Raw!$B$2:$FB$2=$H71), 0))</f>
        <v>-110000000</v>
      </c>
      <c r="O71" s="11" cm="1">
        <f t="array" ref="O71">INDEX(Raw!G:FG, MATCH(O$4, Raw!$A:$A, 0), MATCH(1, (Raw!$B$1:$FB$1=$I71)*(Raw!$B$2:$FB$2=$H71), 0))</f>
        <v>2881000000</v>
      </c>
      <c r="P71" s="11" cm="1">
        <f t="array" ref="P71">INDEX(Raw!H:FH, MATCH(P$4, Raw!$A:$A, 0), MATCH(1, (Raw!$B$1:$FB$1=$I71)*(Raw!$B$2:$FB$2=$H71), 0))</f>
        <v>1526000000</v>
      </c>
      <c r="Q71" s="11" cm="1">
        <f t="array" ref="Q71">INDEX(Raw!I:FI, MATCH(Q$4, Raw!$A:$A, 0), MATCH(1, (Raw!$B$1:$FB$1=$I71)*(Raw!$B$2:$FB$2=$H71), 0))</f>
        <v>284000000</v>
      </c>
      <c r="R71" s="11" cm="1">
        <f t="array" ref="R71">INDEX(Raw!J:FJ, MATCH(R$4, Raw!$A:$A, 0), MATCH(1, (Raw!$B$1:$FB$1=$I71)*(Raw!$B$2:$FB$2=$H71), 0))</f>
        <v>2408000000</v>
      </c>
      <c r="S71" s="11" cm="1">
        <f t="array" ref="S71">INDEX(Raw!K:FK, MATCH(S$4, Raw!$A:$A, 0), MATCH(1, (Raw!$B$1:$FB$1=$I71)*(Raw!$B$2:$FB$2=$H71), 0))</f>
        <v>467000000</v>
      </c>
      <c r="T71" s="11" cm="1">
        <f t="array" ref="T71">INDEX(Raw!L:FL, MATCH(T$4, Raw!$A:$A, 0), MATCH(1, (Raw!$B$1:$FB$1=$I71)*(Raw!$B$2:$FB$2=$H71), 0))</f>
        <v>678000000</v>
      </c>
      <c r="U71" s="11" cm="1">
        <f t="array" ref="U71">INDEX(Raw!M:FM, MATCH(U$4, Raw!$A:$A, 0), MATCH(1, (Raw!$B$1:$FB$1=$I71)*(Raw!$B$2:$FB$2=$H71), 0))</f>
        <v>0</v>
      </c>
      <c r="V71" s="11" cm="1">
        <f t="array" ref="V71">INDEX(Raw!N:FN, MATCH(V$4, Raw!$A:$A, 0), MATCH(1, (Raw!$B$1:$FB$1=$I71)*(Raw!$B$2:$FB$2=$H71), 0))</f>
        <v>1836000000</v>
      </c>
      <c r="W71" s="11" cm="1">
        <f t="array" ref="W71">INDEX(Raw!O:FO, MATCH(W$4, Raw!$A:$A, 0), MATCH(1, (Raw!$B$1:$FB$1=$I71)*(Raw!$B$2:$FB$2=$H71), 0))</f>
        <v>0</v>
      </c>
      <c r="X71" s="11" cm="1">
        <f t="array" ref="X71">INDEX(Raw!P:FP, MATCH(X$4, Raw!$A:$A, 0), MATCH(1, (Raw!$B$1:$FB$1=$I71)*(Raw!$B$2:$FB$2=$H71), 0))</f>
        <v>864000000</v>
      </c>
      <c r="Y71" s="11" cm="1">
        <f t="array" ref="Y71">INDEX(Raw!Q:FQ, MATCH(Y$4, Raw!$A:$A, 0), MATCH(1, (Raw!$B$1:$FB$1=$I71)*(Raw!$B$2:$FB$2=$H71), 0))</f>
        <v>0</v>
      </c>
      <c r="Z71" s="11" cm="1">
        <f t="array" ref="Z71">INDEX(Raw!R:FR, MATCH(Z$4, Raw!$A:$A, 0), MATCH(1, (Raw!$B$1:$FB$1=$I71)*(Raw!$B$2:$FB$2=$H71), 0))</f>
        <v>0</v>
      </c>
      <c r="AA71" s="11" cm="1">
        <f t="array" ref="AA71">INDEX(Raw!S:FS, MATCH(AA$4, Raw!$A:$A, 0), MATCH(1, (Raw!$B$1:$FB$1=$I71)*(Raw!$B$2:$FB$2=$H71), 0))</f>
        <v>0</v>
      </c>
      <c r="AB71" s="11" cm="1">
        <f t="array" ref="AB71">INDEX(Raw!T:FT, MATCH(AB$4, Raw!$A:$A, 0), MATCH(1, (Raw!$B$1:$FB$1=$I71)*(Raw!$B$2:$FB$2=$H71), 0))</f>
        <v>0</v>
      </c>
      <c r="AC71" s="11" cm="1">
        <f t="array" ref="AC71">INDEX(Raw!U:FU, MATCH(AC$4, Raw!$A:$A, 0), MATCH(1, (Raw!$B$1:$FB$1=$I71)*(Raw!$B$2:$FB$2=$H71), 0))</f>
        <v>0.19500000000000001</v>
      </c>
      <c r="AD71" s="11" cm="1">
        <f t="array" ref="AD71">INDEX(Raw!V:FV, MATCH(AD$4, Raw!$A:$A, 0), MATCH(1, (Raw!$B$1:$FB$1=$I71)*(Raw!$B$2:$FB$2=$H71), 0))</f>
        <v>0.32500000000000001</v>
      </c>
    </row>
    <row r="72" spans="6:30" x14ac:dyDescent="0.25">
      <c r="F72" s="11" t="s">
        <v>28</v>
      </c>
      <c r="G72" s="15">
        <f t="shared" ca="1" si="2"/>
        <v>46088</v>
      </c>
      <c r="H72" s="11">
        <f>H71</f>
        <v>2009</v>
      </c>
      <c r="I72" s="11" t="s">
        <v>24</v>
      </c>
      <c r="J72" s="11" cm="1">
        <f t="array" ref="J72">INDEX(Raw!B:FB, MATCH(J$4, Raw!$A:$A, 0), MATCH(1, (Raw!$B$1:$FB$1=$I72)*(Raw!$B$2:$FB$2=$H72), 0))</f>
        <v>7169000000</v>
      </c>
      <c r="K72" s="11" cm="1">
        <f t="array" ref="K72">INDEX(Raw!C:FC, MATCH(K$4, Raw!$A:$A, 0), MATCH(1, (Raw!$B$1:$FB$1=$I72)*(Raw!$B$2:$FB$2=$H72), 0))</f>
        <v>2568000000</v>
      </c>
      <c r="L72" s="11" cm="1">
        <f t="array" ref="L72">INDEX(Raw!D:FD, MATCH(L$4, Raw!$A:$A, 0), MATCH(1, (Raw!$B$1:$FB$1=$I72)*(Raw!$B$2:$FB$2=$H72), 0))</f>
        <v>5373000000</v>
      </c>
      <c r="M72" s="11" cm="1">
        <f t="array" ref="M72">INDEX(Raw!E:FE, MATCH(M$4, Raw!$A:$A, 0), MATCH(1, (Raw!$B$1:$FB$1=$I72)*(Raw!$B$2:$FB$2=$H72), 0))</f>
        <v>3095000000</v>
      </c>
      <c r="N72" s="11" cm="1">
        <f t="array" ref="N72">INDEX(Raw!F:FF, MATCH(N$4, Raw!$A:$A, 0), MATCH(1, (Raw!$B$1:$FB$1=$I72)*(Raw!$B$2:$FB$2=$H72), 0))</f>
        <v>-85000000</v>
      </c>
      <c r="O72" s="11" cm="1">
        <f t="array" ref="O72">INDEX(Raw!G:FG, MATCH(O$4, Raw!$A:$A, 0), MATCH(1, (Raw!$B$1:$FB$1=$I72)*(Raw!$B$2:$FB$2=$H72), 0))</f>
        <v>3164000000</v>
      </c>
      <c r="P72" s="11" cm="1">
        <f t="array" ref="P72">INDEX(Raw!H:FH, MATCH(P$4, Raw!$A:$A, 0), MATCH(1, (Raw!$B$1:$FB$1=$I72)*(Raw!$B$2:$FB$2=$H72), 0))</f>
        <v>1829000000</v>
      </c>
      <c r="Q72" s="11" cm="1">
        <f t="array" ref="Q72">INDEX(Raw!I:FI, MATCH(Q$4, Raw!$A:$A, 0), MATCH(1, (Raw!$B$1:$FB$1=$I72)*(Raw!$B$2:$FB$2=$H72), 0))</f>
        <v>138000000</v>
      </c>
      <c r="R72" s="11" cm="1">
        <f t="array" ref="R72">INDEX(Raw!J:FJ, MATCH(R$4, Raw!$A:$A, 0), MATCH(1, (Raw!$B$1:$FB$1=$I72)*(Raw!$B$2:$FB$2=$H72), 0))</f>
        <v>1729000000</v>
      </c>
      <c r="S72" s="11" cm="1">
        <f t="array" ref="S72">INDEX(Raw!K:FK, MATCH(S$4, Raw!$A:$A, 0), MATCH(1, (Raw!$B$1:$FB$1=$I72)*(Raw!$B$2:$FB$2=$H72), 0))</f>
        <v>208000000</v>
      </c>
      <c r="T72" s="11" cm="1">
        <f t="array" ref="T72">INDEX(Raw!L:FL, MATCH(T$4, Raw!$A:$A, 0), MATCH(1, (Raw!$B$1:$FB$1=$I72)*(Raw!$B$2:$FB$2=$H72), 0))</f>
        <v>1460000000</v>
      </c>
      <c r="U72" s="11" cm="1">
        <f t="array" ref="U72">INDEX(Raw!M:FM, MATCH(U$4, Raw!$A:$A, 0), MATCH(1, (Raw!$B$1:$FB$1=$I72)*(Raw!$B$2:$FB$2=$H72), 0))</f>
        <v>0</v>
      </c>
      <c r="V72" s="11" cm="1">
        <f t="array" ref="V72">INDEX(Raw!N:FN, MATCH(V$4, Raw!$A:$A, 0), MATCH(1, (Raw!$B$1:$FB$1=$I72)*(Raw!$B$2:$FB$2=$H72), 0))</f>
        <v>1106000000</v>
      </c>
      <c r="W72" s="11" cm="1">
        <f t="array" ref="W72">INDEX(Raw!O:FO, MATCH(W$4, Raw!$A:$A, 0), MATCH(1, (Raw!$B$1:$FB$1=$I72)*(Raw!$B$2:$FB$2=$H72), 0))</f>
        <v>0</v>
      </c>
      <c r="X72" s="11" cm="1">
        <f t="array" ref="X72">INDEX(Raw!P:FP, MATCH(X$4, Raw!$A:$A, 0), MATCH(1, (Raw!$B$1:$FB$1=$I72)*(Raw!$B$2:$FB$2=$H72), 0))</f>
        <v>1283000000</v>
      </c>
      <c r="Y72" s="11" cm="1">
        <f t="array" ref="Y72">INDEX(Raw!Q:FQ, MATCH(Y$4, Raw!$A:$A, 0), MATCH(1, (Raw!$B$1:$FB$1=$I72)*(Raw!$B$2:$FB$2=$H72), 0))</f>
        <v>0</v>
      </c>
      <c r="Z72" s="11" cm="1">
        <f t="array" ref="Z72">INDEX(Raw!R:FR, MATCH(Z$4, Raw!$A:$A, 0), MATCH(1, (Raw!$B$1:$FB$1=$I72)*(Raw!$B$2:$FB$2=$H72), 0))</f>
        <v>0</v>
      </c>
      <c r="AA72" s="11" cm="1">
        <f t="array" ref="AA72">INDEX(Raw!S:FS, MATCH(AA$4, Raw!$A:$A, 0), MATCH(1, (Raw!$B$1:$FB$1=$I72)*(Raw!$B$2:$FB$2=$H72), 0))</f>
        <v>0</v>
      </c>
      <c r="AB72" s="11" cm="1">
        <f t="array" ref="AB72">INDEX(Raw!T:FT, MATCH(AB$4, Raw!$A:$A, 0), MATCH(1, (Raw!$B$1:$FB$1=$I72)*(Raw!$B$2:$FB$2=$H72), 0))</f>
        <v>0</v>
      </c>
      <c r="AC72" s="11" cm="1">
        <f t="array" ref="AC72">INDEX(Raw!U:FU, MATCH(AC$4, Raw!$A:$A, 0), MATCH(1, (Raw!$B$1:$FB$1=$I72)*(Raw!$B$2:$FB$2=$H72), 0))</f>
        <v>0.32500000000000001</v>
      </c>
      <c r="AD72" s="11" cm="1">
        <f t="array" ref="AD72">INDEX(Raw!V:FV, MATCH(AD$4, Raw!$A:$A, 0), MATCH(1, (Raw!$B$1:$FB$1=$I72)*(Raw!$B$2:$FB$2=$H72), 0))</f>
        <v>0.23</v>
      </c>
    </row>
    <row r="73" spans="6:30" x14ac:dyDescent="0.25">
      <c r="F73" s="11" t="s">
        <v>28</v>
      </c>
      <c r="G73" s="15">
        <f t="shared" ca="1" si="2"/>
        <v>46088</v>
      </c>
      <c r="H73" s="11">
        <f>H69-1</f>
        <v>2008</v>
      </c>
      <c r="I73" s="11" t="s">
        <v>21</v>
      </c>
      <c r="J73" s="11" cm="1">
        <f t="array" ref="J73">INDEX(Raw!B:FB, MATCH(J$4, Raw!$A:$A, 0), MATCH(1, (Raw!$B$1:$FB$1=$I73)*(Raw!$B$2:$FB$2=$H73), 0))</f>
        <v>7126000000</v>
      </c>
      <c r="K73" s="11" cm="1">
        <f t="array" ref="K73">INDEX(Raw!C:FC, MATCH(K$4, Raw!$A:$A, 0), MATCH(1, (Raw!$B$1:$FB$1=$I73)*(Raw!$B$2:$FB$2=$H73), 0))</f>
        <v>3020000000</v>
      </c>
      <c r="L73" s="11" cm="1">
        <f t="array" ref="L73">INDEX(Raw!D:FD, MATCH(L$4, Raw!$A:$A, 0), MATCH(1, (Raw!$B$1:$FB$1=$I73)*(Raw!$B$2:$FB$2=$H73), 0))</f>
        <v>5884000000</v>
      </c>
      <c r="M73" s="11" cm="1">
        <f t="array" ref="M73">INDEX(Raw!E:FE, MATCH(M$4, Raw!$A:$A, 0), MATCH(1, (Raw!$B$1:$FB$1=$I73)*(Raw!$B$2:$FB$2=$H73), 0))</f>
        <v>2796000000</v>
      </c>
      <c r="N73" s="11" cm="1">
        <f t="array" ref="N73">INDEX(Raw!F:FF, MATCH(N$4, Raw!$A:$A, 0), MATCH(1, (Raw!$B$1:$FB$1=$I73)*(Raw!$B$2:$FB$2=$H73), 0))</f>
        <v>-125000000</v>
      </c>
      <c r="O73" s="11" cm="1">
        <f t="array" ref="O73">INDEX(Raw!G:FG, MATCH(O$4, Raw!$A:$A, 0), MATCH(1, (Raw!$B$1:$FB$1=$I73)*(Raw!$B$2:$FB$2=$H73), 0))</f>
        <v>2977000000</v>
      </c>
      <c r="P73" s="11" cm="1">
        <f t="array" ref="P73">INDEX(Raw!H:FH, MATCH(P$4, Raw!$A:$A, 0), MATCH(1, (Raw!$B$1:$FB$1=$I73)*(Raw!$B$2:$FB$2=$H73), 0))</f>
        <v>2270000000</v>
      </c>
      <c r="Q73" s="11" cm="1">
        <f t="array" ref="Q73">INDEX(Raw!I:FI, MATCH(Q$4, Raw!$A:$A, 0), MATCH(1, (Raw!$B$1:$FB$1=$I73)*(Raw!$B$2:$FB$2=$H73), 0))</f>
        <v>102000000</v>
      </c>
      <c r="R73" s="11" cm="1">
        <f t="array" ref="R73">INDEX(Raw!J:FJ, MATCH(R$4, Raw!$A:$A, 0), MATCH(1, (Raw!$B$1:$FB$1=$I73)*(Raw!$B$2:$FB$2=$H73), 0))</f>
        <v>886000000</v>
      </c>
      <c r="S73" s="11" cm="1">
        <f t="array" ref="S73">INDEX(Raw!K:FK, MATCH(S$4, Raw!$A:$A, 0), MATCH(1, (Raw!$B$1:$FB$1=$I73)*(Raw!$B$2:$FB$2=$H73), 0))</f>
        <v>366000000</v>
      </c>
      <c r="T73" s="11" cm="1">
        <f t="array" ref="T73">INDEX(Raw!L:FL, MATCH(T$4, Raw!$A:$A, 0), MATCH(1, (Raw!$B$1:$FB$1=$I73)*(Raw!$B$2:$FB$2=$H73), 0))</f>
        <v>1836000000</v>
      </c>
      <c r="U73" s="11" cm="1">
        <f t="array" ref="U73">INDEX(Raw!M:FM, MATCH(U$4, Raw!$A:$A, 0), MATCH(1, (Raw!$B$1:$FB$1=$I73)*(Raw!$B$2:$FB$2=$H73), 0))</f>
        <v>0</v>
      </c>
      <c r="V73" s="11" cm="1">
        <f t="array" ref="V73">INDEX(Raw!N:FN, MATCH(V$4, Raw!$A:$A, 0), MATCH(1, (Raw!$B$1:$FB$1=$I73)*(Raw!$B$2:$FB$2=$H73), 0))</f>
        <v>864000000</v>
      </c>
      <c r="W73" s="11" cm="1">
        <f t="array" ref="W73">INDEX(Raw!O:FO, MATCH(W$4, Raw!$A:$A, 0), MATCH(1, (Raw!$B$1:$FB$1=$I73)*(Raw!$B$2:$FB$2=$H73), 0))</f>
        <v>0</v>
      </c>
      <c r="X73" s="11" cm="1">
        <f t="array" ref="X73">INDEX(Raw!P:FP, MATCH(X$4, Raw!$A:$A, 0), MATCH(1, (Raw!$B$1:$FB$1=$I73)*(Raw!$B$2:$FB$2=$H73), 0))</f>
        <v>1723000000</v>
      </c>
      <c r="Y73" s="11" cm="1">
        <f t="array" ref="Y73">INDEX(Raw!Q:FQ, MATCH(Y$4, Raw!$A:$A, 0), MATCH(1, (Raw!$B$1:$FB$1=$I73)*(Raw!$B$2:$FB$2=$H73), 0))</f>
        <v>0</v>
      </c>
      <c r="Z73" s="11" cm="1">
        <f t="array" ref="Z73">INDEX(Raw!R:FR, MATCH(Z$4, Raw!$A:$A, 0), MATCH(1, (Raw!$B$1:$FB$1=$I73)*(Raw!$B$2:$FB$2=$H73), 0))</f>
        <v>0</v>
      </c>
      <c r="AA73" s="11" cm="1">
        <f t="array" ref="AA73">INDEX(Raw!S:FS, MATCH(AA$4, Raw!$A:$A, 0), MATCH(1, (Raw!$B$1:$FB$1=$I73)*(Raw!$B$2:$FB$2=$H73), 0))</f>
        <v>0</v>
      </c>
      <c r="AB73" s="11" cm="1">
        <f t="array" ref="AB73">INDEX(Raw!T:FT, MATCH(AB$4, Raw!$A:$A, 0), MATCH(1, (Raw!$B$1:$FB$1=$I73)*(Raw!$B$2:$FB$2=$H73), 0))</f>
        <v>0</v>
      </c>
      <c r="AC73" s="11" cm="1">
        <f t="array" ref="AC73">INDEX(Raw!U:FU, MATCH(AC$4, Raw!$A:$A, 0), MATCH(1, (Raw!$B$1:$FB$1=$I73)*(Raw!$B$2:$FB$2=$H73), 0))</f>
        <v>0.23</v>
      </c>
      <c r="AD73" s="11" cm="1">
        <f t="array" ref="AD73">INDEX(Raw!V:FV, MATCH(AD$4, Raw!$A:$A, 0), MATCH(1, (Raw!$B$1:$FB$1=$I73)*(Raw!$B$2:$FB$2=$H73), 0))</f>
        <v>0.19</v>
      </c>
    </row>
    <row r="74" spans="6:30" x14ac:dyDescent="0.25">
      <c r="F74" s="11" t="s">
        <v>28</v>
      </c>
      <c r="G74" s="15">
        <f t="shared" ca="1" si="2"/>
        <v>46088</v>
      </c>
      <c r="H74" s="11">
        <f>H73</f>
        <v>2008</v>
      </c>
      <c r="I74" s="11" t="s">
        <v>22</v>
      </c>
      <c r="J74" s="11" cm="1">
        <f t="array" ref="J74">INDEX(Raw!B:FB, MATCH(J$4, Raw!$A:$A, 0), MATCH(1, (Raw!$B$1:$FB$1=$I74)*(Raw!$B$2:$FB$2=$H74), 0))</f>
        <v>8393000000</v>
      </c>
      <c r="K74" s="11" cm="1">
        <f t="array" ref="K74">INDEX(Raw!C:FC, MATCH(K$4, Raw!$A:$A, 0), MATCH(1, (Raw!$B$1:$FB$1=$I74)*(Raw!$B$2:$FB$2=$H74), 0))</f>
        <v>3162000000</v>
      </c>
      <c r="L74" s="11" cm="1">
        <f t="array" ref="L74">INDEX(Raw!D:FD, MATCH(L$4, Raw!$A:$A, 0), MATCH(1, (Raw!$B$1:$FB$1=$I74)*(Raw!$B$2:$FB$2=$H74), 0))</f>
        <v>4755000000</v>
      </c>
      <c r="M74" s="11" cm="1">
        <f t="array" ref="M74">INDEX(Raw!E:FE, MATCH(M$4, Raw!$A:$A, 0), MATCH(1, (Raw!$B$1:$FB$1=$I74)*(Raw!$B$2:$FB$2=$H74), 0))</f>
        <v>3039000000</v>
      </c>
      <c r="N74" s="11" cm="1">
        <f t="array" ref="N74">INDEX(Raw!F:FF, MATCH(N$4, Raw!$A:$A, 0), MATCH(1, (Raw!$B$1:$FB$1=$I74)*(Raw!$B$2:$FB$2=$H74), 0))</f>
        <v>-81000000</v>
      </c>
      <c r="O74" s="11" cm="1">
        <f t="array" ref="O74">INDEX(Raw!G:FG, MATCH(O$4, Raw!$A:$A, 0), MATCH(1, (Raw!$B$1:$FB$1=$I74)*(Raw!$B$2:$FB$2=$H74), 0))</f>
        <v>2727000000</v>
      </c>
      <c r="P74" s="11" cm="1">
        <f t="array" ref="P74">INDEX(Raw!H:FH, MATCH(P$4, Raw!$A:$A, 0), MATCH(1, (Raw!$B$1:$FB$1=$I74)*(Raw!$B$2:$FB$2=$H74), 0))</f>
        <v>1627000000</v>
      </c>
      <c r="Q74" s="11" cm="1">
        <f t="array" ref="Q74">INDEX(Raw!I:FI, MATCH(Q$4, Raw!$A:$A, 0), MATCH(1, (Raw!$B$1:$FB$1=$I74)*(Raw!$B$2:$FB$2=$H74), 0))</f>
        <v>-326000000</v>
      </c>
      <c r="R74" s="11" cm="1">
        <f t="array" ref="R74">INDEX(Raw!J:FJ, MATCH(R$4, Raw!$A:$A, 0), MATCH(1, (Raw!$B$1:$FB$1=$I74)*(Raw!$B$2:$FB$2=$H74), 0))</f>
        <v>1826000000</v>
      </c>
      <c r="S74" s="11" cm="1">
        <f t="array" ref="S74">INDEX(Raw!K:FK, MATCH(S$4, Raw!$A:$A, 0), MATCH(1, (Raw!$B$1:$FB$1=$I74)*(Raw!$B$2:$FB$2=$H74), 0))</f>
        <v>555000000</v>
      </c>
      <c r="T74" s="11" cm="1">
        <f t="array" ref="T74">INDEX(Raw!L:FL, MATCH(T$4, Raw!$A:$A, 0), MATCH(1, (Raw!$B$1:$FB$1=$I74)*(Raw!$B$2:$FB$2=$H74), 0))</f>
        <v>1106000000</v>
      </c>
      <c r="U74" s="11" cm="1">
        <f t="array" ref="U74">INDEX(Raw!M:FM, MATCH(U$4, Raw!$A:$A, 0), MATCH(1, (Raw!$B$1:$FB$1=$I74)*(Raw!$B$2:$FB$2=$H74), 0))</f>
        <v>0</v>
      </c>
      <c r="V74" s="11" cm="1">
        <f t="array" ref="V74">INDEX(Raw!N:FN, MATCH(V$4, Raw!$A:$A, 0), MATCH(1, (Raw!$B$1:$FB$1=$I74)*(Raw!$B$2:$FB$2=$H74), 0))</f>
        <v>1283000000</v>
      </c>
      <c r="W74" s="11" cm="1">
        <f t="array" ref="W74">INDEX(Raw!O:FO, MATCH(W$4, Raw!$A:$A, 0), MATCH(1, (Raw!$B$1:$FB$1=$I74)*(Raw!$B$2:$FB$2=$H74), 0))</f>
        <v>0</v>
      </c>
      <c r="X74" s="11" cm="1">
        <f t="array" ref="X74">INDEX(Raw!P:FP, MATCH(X$4, Raw!$A:$A, 0), MATCH(1, (Raw!$B$1:$FB$1=$I74)*(Raw!$B$2:$FB$2=$H74), 0))</f>
        <v>1002000000</v>
      </c>
      <c r="Y74" s="11" cm="1">
        <f t="array" ref="Y74">INDEX(Raw!Q:FQ, MATCH(Y$4, Raw!$A:$A, 0), MATCH(1, (Raw!$B$1:$FB$1=$I74)*(Raw!$B$2:$FB$2=$H74), 0))</f>
        <v>0</v>
      </c>
      <c r="Z74" s="11" cm="1">
        <f t="array" ref="Z74">INDEX(Raw!R:FR, MATCH(Z$4, Raw!$A:$A, 0), MATCH(1, (Raw!$B$1:$FB$1=$I74)*(Raw!$B$2:$FB$2=$H74), 0))</f>
        <v>0</v>
      </c>
      <c r="AA74" s="11" cm="1">
        <f t="array" ref="AA74">INDEX(Raw!S:FS, MATCH(AA$4, Raw!$A:$A, 0), MATCH(1, (Raw!$B$1:$FB$1=$I74)*(Raw!$B$2:$FB$2=$H74), 0))</f>
        <v>0</v>
      </c>
      <c r="AB74" s="11" cm="1">
        <f t="array" ref="AB74">INDEX(Raw!T:FT, MATCH(AB$4, Raw!$A:$A, 0), MATCH(1, (Raw!$B$1:$FB$1=$I74)*(Raw!$B$2:$FB$2=$H74), 0))</f>
        <v>0</v>
      </c>
      <c r="AC74" s="11" cm="1">
        <f t="array" ref="AC74">INDEX(Raw!U:FU, MATCH(AC$4, Raw!$A:$A, 0), MATCH(1, (Raw!$B$1:$FB$1=$I74)*(Raw!$B$2:$FB$2=$H74), 0))</f>
        <v>0.19</v>
      </c>
      <c r="AD74" s="11" cm="1">
        <f t="array" ref="AD74">INDEX(Raw!V:FV, MATCH(AD$4, Raw!$A:$A, 0), MATCH(1, (Raw!$B$1:$FB$1=$I74)*(Raw!$B$2:$FB$2=$H74), 0))</f>
        <v>0.25</v>
      </c>
    </row>
    <row r="75" spans="6:30" x14ac:dyDescent="0.25">
      <c r="F75" s="11" t="s">
        <v>28</v>
      </c>
      <c r="G75" s="15">
        <f t="shared" ca="1" si="2"/>
        <v>46088</v>
      </c>
      <c r="H75" s="11">
        <f>H74</f>
        <v>2008</v>
      </c>
      <c r="I75" s="11" t="s">
        <v>23</v>
      </c>
      <c r="J75" s="11" cm="1">
        <f t="array" ref="J75">INDEX(Raw!B:FB, MATCH(J$4, Raw!$A:$A, 0), MATCH(1, (Raw!$B$1:$FB$1=$I75)*(Raw!$B$2:$FB$2=$H75), 0))</f>
        <v>9046000000</v>
      </c>
      <c r="K75" s="11" cm="1">
        <f t="array" ref="K75">INDEX(Raw!C:FC, MATCH(K$4, Raw!$A:$A, 0), MATCH(1, (Raw!$B$1:$FB$1=$I75)*(Raw!$B$2:$FB$2=$H75), 0))</f>
        <v>2624000000</v>
      </c>
      <c r="L75" s="11" cm="1">
        <f t="array" ref="L75">INDEX(Raw!D:FD, MATCH(L$4, Raw!$A:$A, 0), MATCH(1, (Raw!$B$1:$FB$1=$I75)*(Raw!$B$2:$FB$2=$H75), 0))</f>
        <v>4690000000</v>
      </c>
      <c r="M75" s="11" cm="1">
        <f t="array" ref="M75">INDEX(Raw!E:FE, MATCH(M$4, Raw!$A:$A, 0), MATCH(1, (Raw!$B$1:$FB$1=$I75)*(Raw!$B$2:$FB$2=$H75), 0))</f>
        <v>2896000000</v>
      </c>
      <c r="N75" s="11" cm="1">
        <f t="array" ref="N75">INDEX(Raw!F:FF, MATCH(N$4, Raw!$A:$A, 0), MATCH(1, (Raw!$B$1:$FB$1=$I75)*(Raw!$B$2:$FB$2=$H75), 0))</f>
        <v>-42000000</v>
      </c>
      <c r="O75" s="11" cm="1">
        <f t="array" ref="O75">INDEX(Raw!G:FG, MATCH(O$4, Raw!$A:$A, 0), MATCH(1, (Raw!$B$1:$FB$1=$I75)*(Raw!$B$2:$FB$2=$H75), 0))</f>
        <v>2331000000</v>
      </c>
      <c r="P75" s="11" cm="1">
        <f t="array" ref="P75">INDEX(Raw!H:FH, MATCH(P$4, Raw!$A:$A, 0), MATCH(1, (Raw!$B$1:$FB$1=$I75)*(Raw!$B$2:$FB$2=$H75), 0))</f>
        <v>1212000000</v>
      </c>
      <c r="Q75" s="11" cm="1">
        <f t="array" ref="Q75">INDEX(Raw!I:FI, MATCH(Q$4, Raw!$A:$A, 0), MATCH(1, (Raw!$B$1:$FB$1=$I75)*(Raw!$B$2:$FB$2=$H75), 0))</f>
        <v>164000000</v>
      </c>
      <c r="R75" s="11" cm="1">
        <f t="array" ref="R75">INDEX(Raw!J:FJ, MATCH(R$4, Raw!$A:$A, 0), MATCH(1, (Raw!$B$1:$FB$1=$I75)*(Raw!$B$2:$FB$2=$H75), 0))</f>
        <v>2391000000</v>
      </c>
      <c r="S75" s="11" cm="1">
        <f t="array" ref="S75">INDEX(Raw!K:FK, MATCH(S$4, Raw!$A:$A, 0), MATCH(1, (Raw!$B$1:$FB$1=$I75)*(Raw!$B$2:$FB$2=$H75), 0))</f>
        <v>369000000</v>
      </c>
      <c r="T75" s="11" cm="1">
        <f t="array" ref="T75">INDEX(Raw!L:FL, MATCH(T$4, Raw!$A:$A, 0), MATCH(1, (Raw!$B$1:$FB$1=$I75)*(Raw!$B$2:$FB$2=$H75), 0))</f>
        <v>864000000</v>
      </c>
      <c r="U75" s="11" cm="1">
        <f t="array" ref="U75">INDEX(Raw!M:FM, MATCH(U$4, Raw!$A:$A, 0), MATCH(1, (Raw!$B$1:$FB$1=$I75)*(Raw!$B$2:$FB$2=$H75), 0))</f>
        <v>0</v>
      </c>
      <c r="V75" s="11" cm="1">
        <f t="array" ref="V75">INDEX(Raw!N:FN, MATCH(V$4, Raw!$A:$A, 0), MATCH(1, (Raw!$B$1:$FB$1=$I75)*(Raw!$B$2:$FB$2=$H75), 0))</f>
        <v>1723000000</v>
      </c>
      <c r="W75" s="11" cm="1">
        <f t="array" ref="W75">INDEX(Raw!O:FO, MATCH(W$4, Raw!$A:$A, 0), MATCH(1, (Raw!$B$1:$FB$1=$I75)*(Raw!$B$2:$FB$2=$H75), 0))</f>
        <v>0</v>
      </c>
      <c r="X75" s="11" cm="1">
        <f t="array" ref="X75">INDEX(Raw!P:FP, MATCH(X$4, Raw!$A:$A, 0), MATCH(1, (Raw!$B$1:$FB$1=$I75)*(Raw!$B$2:$FB$2=$H75), 0))</f>
        <v>1201000000</v>
      </c>
      <c r="Y75" s="11" cm="1">
        <f t="array" ref="Y75">INDEX(Raw!Q:FQ, MATCH(Y$4, Raw!$A:$A, 0), MATCH(1, (Raw!$B$1:$FB$1=$I75)*(Raw!$B$2:$FB$2=$H75), 0))</f>
        <v>0</v>
      </c>
      <c r="Z75" s="11" cm="1">
        <f t="array" ref="Z75">INDEX(Raw!R:FR, MATCH(Z$4, Raw!$A:$A, 0), MATCH(1, (Raw!$B$1:$FB$1=$I75)*(Raw!$B$2:$FB$2=$H75), 0))</f>
        <v>0</v>
      </c>
      <c r="AA75" s="11" cm="1">
        <f t="array" ref="AA75">INDEX(Raw!S:FS, MATCH(AA$4, Raw!$A:$A, 0), MATCH(1, (Raw!$B$1:$FB$1=$I75)*(Raw!$B$2:$FB$2=$H75), 0))</f>
        <v>0</v>
      </c>
      <c r="AB75" s="11" cm="1">
        <f t="array" ref="AB75">INDEX(Raw!T:FT, MATCH(AB$4, Raw!$A:$A, 0), MATCH(1, (Raw!$B$1:$FB$1=$I75)*(Raw!$B$2:$FB$2=$H75), 0))</f>
        <v>0</v>
      </c>
      <c r="AC75" s="11" cm="1">
        <f t="array" ref="AC75">INDEX(Raw!U:FU, MATCH(AC$4, Raw!$A:$A, 0), MATCH(1, (Raw!$B$1:$FB$1=$I75)*(Raw!$B$2:$FB$2=$H75), 0))</f>
        <v>0.25</v>
      </c>
      <c r="AD75" s="11" cm="1">
        <f t="array" ref="AD75">INDEX(Raw!V:FV, MATCH(AD$4, Raw!$A:$A, 0), MATCH(1, (Raw!$B$1:$FB$1=$I75)*(Raw!$B$2:$FB$2=$H75), 0))</f>
        <v>0.27500000000000002</v>
      </c>
    </row>
    <row r="76" spans="6:30" x14ac:dyDescent="0.25">
      <c r="F76" s="11" t="s">
        <v>28</v>
      </c>
      <c r="G76" s="15">
        <f t="shared" ca="1" si="2"/>
        <v>46088</v>
      </c>
      <c r="H76" s="11">
        <f>H75</f>
        <v>2008</v>
      </c>
      <c r="I76" s="11" t="s">
        <v>24</v>
      </c>
      <c r="J76" s="11" cm="1">
        <f t="array" ref="J76">INDEX(Raw!B:FB, MATCH(J$4, Raw!$A:$A, 0), MATCH(1, (Raw!$B$1:$FB$1=$I76)*(Raw!$B$2:$FB$2=$H76), 0))</f>
        <v>7379000000</v>
      </c>
      <c r="K76" s="11" cm="1">
        <f t="array" ref="K76">INDEX(Raw!C:FC, MATCH(K$4, Raw!$A:$A, 0), MATCH(1, (Raw!$B$1:$FB$1=$I76)*(Raw!$B$2:$FB$2=$H76), 0))</f>
        <v>2641000000</v>
      </c>
      <c r="L76" s="11" cm="1">
        <f t="array" ref="L76">INDEX(Raw!D:FD, MATCH(L$4, Raw!$A:$A, 0), MATCH(1, (Raw!$B$1:$FB$1=$I76)*(Raw!$B$2:$FB$2=$H76), 0))</f>
        <v>4806000000</v>
      </c>
      <c r="M76" s="11" cm="1">
        <f t="array" ref="M76">INDEX(Raw!E:FE, MATCH(M$4, Raw!$A:$A, 0), MATCH(1, (Raw!$B$1:$FB$1=$I76)*(Raw!$B$2:$FB$2=$H76), 0))</f>
        <v>2685000000</v>
      </c>
      <c r="N76" s="11" cm="1">
        <f t="array" ref="N76">INDEX(Raw!F:FF, MATCH(N$4, Raw!$A:$A, 0), MATCH(1, (Raw!$B$1:$FB$1=$I76)*(Raw!$B$2:$FB$2=$H76), 0))</f>
        <v>-6000000</v>
      </c>
      <c r="O76" s="11" cm="1">
        <f t="array" ref="O76">INDEX(Raw!G:FG, MATCH(O$4, Raw!$A:$A, 0), MATCH(1, (Raw!$B$1:$FB$1=$I76)*(Raw!$B$2:$FB$2=$H76), 0))</f>
        <v>2657000000</v>
      </c>
      <c r="P76" s="11" cm="1">
        <f t="array" ref="P76">INDEX(Raw!H:FH, MATCH(P$4, Raw!$A:$A, 0), MATCH(1, (Raw!$B$1:$FB$1=$I76)*(Raw!$B$2:$FB$2=$H76), 0))</f>
        <v>1662000000</v>
      </c>
      <c r="Q76" s="11" cm="1">
        <f t="array" ref="Q76">INDEX(Raw!I:FI, MATCH(Q$4, Raw!$A:$A, 0), MATCH(1, (Raw!$B$1:$FB$1=$I76)*(Raw!$B$2:$FB$2=$H76), 0))</f>
        <v>352000000</v>
      </c>
      <c r="R76" s="11" cm="1">
        <f t="array" ref="R76">INDEX(Raw!J:FJ, MATCH(R$4, Raw!$A:$A, 0), MATCH(1, (Raw!$B$1:$FB$1=$I76)*(Raw!$B$2:$FB$2=$H76), 0))</f>
        <v>1475000000</v>
      </c>
      <c r="S76" s="11" cm="1">
        <f t="array" ref="S76">INDEX(Raw!K:FK, MATCH(S$4, Raw!$A:$A, 0), MATCH(1, (Raw!$B$1:$FB$1=$I76)*(Raw!$B$2:$FB$2=$H76), 0))</f>
        <v>509000000</v>
      </c>
      <c r="T76" s="11" cm="1">
        <f t="array" ref="T76">INDEX(Raw!L:FL, MATCH(T$4, Raw!$A:$A, 0), MATCH(1, (Raw!$B$1:$FB$1=$I76)*(Raw!$B$2:$FB$2=$H76), 0))</f>
        <v>1283000000</v>
      </c>
      <c r="U76" s="11" cm="1">
        <f t="array" ref="U76">INDEX(Raw!M:FM, MATCH(U$4, Raw!$A:$A, 0), MATCH(1, (Raw!$B$1:$FB$1=$I76)*(Raw!$B$2:$FB$2=$H76), 0))</f>
        <v>0</v>
      </c>
      <c r="V76" s="11" cm="1">
        <f t="array" ref="V76">INDEX(Raw!N:FN, MATCH(V$4, Raw!$A:$A, 0), MATCH(1, (Raw!$B$1:$FB$1=$I76)*(Raw!$B$2:$FB$2=$H76), 0))</f>
        <v>1002000000</v>
      </c>
      <c r="W76" s="11" cm="1">
        <f t="array" ref="W76">INDEX(Raw!O:FO, MATCH(W$4, Raw!$A:$A, 0), MATCH(1, (Raw!$B$1:$FB$1=$I76)*(Raw!$B$2:$FB$2=$H76), 0))</f>
        <v>0</v>
      </c>
      <c r="X76" s="11" cm="1">
        <f t="array" ref="X76">INDEX(Raw!P:FP, MATCH(X$4, Raw!$A:$A, 0), MATCH(1, (Raw!$B$1:$FB$1=$I76)*(Raw!$B$2:$FB$2=$H76), 0))</f>
        <v>935000000</v>
      </c>
      <c r="Y76" s="11" cm="1">
        <f t="array" ref="Y76">INDEX(Raw!Q:FQ, MATCH(Y$4, Raw!$A:$A, 0), MATCH(1, (Raw!$B$1:$FB$1=$I76)*(Raw!$B$2:$FB$2=$H76), 0))</f>
        <v>0</v>
      </c>
      <c r="Z76" s="11" cm="1">
        <f t="array" ref="Z76">INDEX(Raw!R:FR, MATCH(Z$4, Raw!$A:$A, 0), MATCH(1, (Raw!$B$1:$FB$1=$I76)*(Raw!$B$2:$FB$2=$H76), 0))</f>
        <v>0</v>
      </c>
      <c r="AA76" s="11" cm="1">
        <f t="array" ref="AA76">INDEX(Raw!S:FS, MATCH(AA$4, Raw!$A:$A, 0), MATCH(1, (Raw!$B$1:$FB$1=$I76)*(Raw!$B$2:$FB$2=$H76), 0))</f>
        <v>0</v>
      </c>
      <c r="AB76" s="11" cm="1">
        <f t="array" ref="AB76">INDEX(Raw!T:FT, MATCH(AB$4, Raw!$A:$A, 0), MATCH(1, (Raw!$B$1:$FB$1=$I76)*(Raw!$B$2:$FB$2=$H76), 0))</f>
        <v>0</v>
      </c>
      <c r="AC76" s="11" cm="1">
        <f t="array" ref="AC76">INDEX(Raw!U:FU, MATCH(AC$4, Raw!$A:$A, 0), MATCH(1, (Raw!$B$1:$FB$1=$I76)*(Raw!$B$2:$FB$2=$H76), 0))</f>
        <v>0.27500000000000002</v>
      </c>
      <c r="AD76" s="11" cm="1">
        <f t="array" ref="AD76">INDEX(Raw!V:FV, MATCH(AD$4, Raw!$A:$A, 0), MATCH(1, (Raw!$B$1:$FB$1=$I76)*(Raw!$B$2:$FB$2=$H76), 0))</f>
        <v>0.17</v>
      </c>
    </row>
    <row r="77" spans="6:30" x14ac:dyDescent="0.25">
      <c r="F77" s="11" t="s">
        <v>28</v>
      </c>
      <c r="G77" s="15">
        <f t="shared" ca="1" si="2"/>
        <v>46088</v>
      </c>
      <c r="H77" s="11">
        <f>H73-1</f>
        <v>2007</v>
      </c>
      <c r="I77" s="11" t="s">
        <v>21</v>
      </c>
      <c r="J77" s="11" cm="1">
        <f t="array" ref="J77">INDEX(Raw!B:FB, MATCH(J$4, Raw!$A:$A, 0), MATCH(1, (Raw!$B$1:$FB$1=$I77)*(Raw!$B$2:$FB$2=$H77), 0))</f>
        <v>7331000000</v>
      </c>
      <c r="K77" s="11" cm="1">
        <f t="array" ref="K77">INDEX(Raw!C:FC, MATCH(K$4, Raw!$A:$A, 0), MATCH(1, (Raw!$B$1:$FB$1=$I77)*(Raw!$B$2:$FB$2=$H77), 0))</f>
        <v>2884000000</v>
      </c>
      <c r="L77" s="11" cm="1">
        <f t="array" ref="L77">INDEX(Raw!D:FD, MATCH(L$4, Raw!$A:$A, 0), MATCH(1, (Raw!$B$1:$FB$1=$I77)*(Raw!$B$2:$FB$2=$H77), 0))</f>
        <v>4997000000</v>
      </c>
      <c r="M77" s="11" cm="1">
        <f t="array" ref="M77">INDEX(Raw!E:FE, MATCH(M$4, Raw!$A:$A, 0), MATCH(1, (Raw!$B$1:$FB$1=$I77)*(Raw!$B$2:$FB$2=$H77), 0))</f>
        <v>2325000000</v>
      </c>
      <c r="N77" s="11" cm="1">
        <f t="array" ref="N77">INDEX(Raw!F:FF, MATCH(N$4, Raw!$A:$A, 0), MATCH(1, (Raw!$B$1:$FB$1=$I77)*(Raw!$B$2:$FB$2=$H77), 0))</f>
        <v>-70000000</v>
      </c>
      <c r="O77" s="11" cm="1">
        <f t="array" ref="O77">INDEX(Raw!G:FG, MATCH(O$4, Raw!$A:$A, 0), MATCH(1, (Raw!$B$1:$FB$1=$I77)*(Raw!$B$2:$FB$2=$H77), 0))</f>
        <v>2527000000</v>
      </c>
      <c r="P77" s="11" cm="1">
        <f t="array" ref="P77">INDEX(Raw!H:FH, MATCH(P$4, Raw!$A:$A, 0), MATCH(1, (Raw!$B$1:$FB$1=$I77)*(Raw!$B$2:$FB$2=$H77), 0))</f>
        <v>2039000000</v>
      </c>
      <c r="Q77" s="11" cm="1">
        <f t="array" ref="Q77">INDEX(Raw!I:FI, MATCH(Q$4, Raw!$A:$A, 0), MATCH(1, (Raw!$B$1:$FB$1=$I77)*(Raw!$B$2:$FB$2=$H77), 0))</f>
        <v>80000000</v>
      </c>
      <c r="R77" s="11" cm="1">
        <f t="array" ref="R77">INDEX(Raw!J:FJ, MATCH(R$4, Raw!$A:$A, 0), MATCH(1, (Raw!$B$1:$FB$1=$I77)*(Raw!$B$2:$FB$2=$H77), 0))</f>
        <v>1373000000</v>
      </c>
      <c r="S77" s="11" cm="1">
        <f t="array" ref="S77">INDEX(Raw!K:FK, MATCH(S$4, Raw!$A:$A, 0), MATCH(1, (Raw!$B$1:$FB$1=$I77)*(Raw!$B$2:$FB$2=$H77), 0))</f>
        <v>370000000</v>
      </c>
      <c r="T77" s="11" cm="1">
        <f t="array" ref="T77">INDEX(Raw!L:FL, MATCH(T$4, Raw!$A:$A, 0), MATCH(1, (Raw!$B$1:$FB$1=$I77)*(Raw!$B$2:$FB$2=$H77), 0))</f>
        <v>1723000000</v>
      </c>
      <c r="U77" s="11" cm="1">
        <f t="array" ref="U77">INDEX(Raw!M:FM, MATCH(U$4, Raw!$A:$A, 0), MATCH(1, (Raw!$B$1:$FB$1=$I77)*(Raw!$B$2:$FB$2=$H77), 0))</f>
        <v>0</v>
      </c>
      <c r="V77" s="11" cm="1">
        <f t="array" ref="V77">INDEX(Raw!N:FN, MATCH(V$4, Raw!$A:$A, 0), MATCH(1, (Raw!$B$1:$FB$1=$I77)*(Raw!$B$2:$FB$2=$H77), 0))</f>
        <v>1201000000</v>
      </c>
      <c r="W77" s="11" cm="1">
        <f t="array" ref="W77">INDEX(Raw!O:FO, MATCH(W$4, Raw!$A:$A, 0), MATCH(1, (Raw!$B$1:$FB$1=$I77)*(Raw!$B$2:$FB$2=$H77), 0))</f>
        <v>0</v>
      </c>
      <c r="X77" s="11" cm="1">
        <f t="array" ref="X77">INDEX(Raw!P:FP, MATCH(X$4, Raw!$A:$A, 0), MATCH(1, (Raw!$B$1:$FB$1=$I77)*(Raw!$B$2:$FB$2=$H77), 0))</f>
        <v>1584000000</v>
      </c>
      <c r="Y77" s="11" cm="1">
        <f t="array" ref="Y77">INDEX(Raw!Q:FQ, MATCH(Y$4, Raw!$A:$A, 0), MATCH(1, (Raw!$B$1:$FB$1=$I77)*(Raw!$B$2:$FB$2=$H77), 0))</f>
        <v>0</v>
      </c>
      <c r="Z77" s="11" cm="1">
        <f t="array" ref="Z77">INDEX(Raw!R:FR, MATCH(Z$4, Raw!$A:$A, 0), MATCH(1, (Raw!$B$1:$FB$1=$I77)*(Raw!$B$2:$FB$2=$H77), 0))</f>
        <v>0</v>
      </c>
      <c r="AA77" s="11" cm="1">
        <f t="array" ref="AA77">INDEX(Raw!S:FS, MATCH(AA$4, Raw!$A:$A, 0), MATCH(1, (Raw!$B$1:$FB$1=$I77)*(Raw!$B$2:$FB$2=$H77), 0))</f>
        <v>0</v>
      </c>
      <c r="AB77" s="11" cm="1">
        <f t="array" ref="AB77">INDEX(Raw!T:FT, MATCH(AB$4, Raw!$A:$A, 0), MATCH(1, (Raw!$B$1:$FB$1=$I77)*(Raw!$B$2:$FB$2=$H77), 0))</f>
        <v>0</v>
      </c>
      <c r="AC77" s="11" cm="1">
        <f t="array" ref="AC77">INDEX(Raw!U:FU, MATCH(AC$4, Raw!$A:$A, 0), MATCH(1, (Raw!$B$1:$FB$1=$I77)*(Raw!$B$2:$FB$2=$H77), 0))</f>
        <v>0.17</v>
      </c>
      <c r="AD77" s="11" cm="1">
        <f t="array" ref="AD77">INDEX(Raw!V:FV, MATCH(AD$4, Raw!$A:$A, 0), MATCH(1, (Raw!$B$1:$FB$1=$I77)*(Raw!$B$2:$FB$2=$H77), 0))</f>
        <v>0.19</v>
      </c>
    </row>
    <row r="78" spans="6:30" x14ac:dyDescent="0.25">
      <c r="F78" s="11" t="s">
        <v>28</v>
      </c>
      <c r="G78" s="15">
        <f t="shared" ca="1" si="2"/>
        <v>46088</v>
      </c>
      <c r="H78" s="11">
        <f>H77</f>
        <v>2007</v>
      </c>
      <c r="I78" s="11" t="s">
        <v>22</v>
      </c>
      <c r="J78" s="11" cm="1">
        <f t="array" ref="J78">INDEX(Raw!B:FB, MATCH(J$4, Raw!$A:$A, 0), MATCH(1, (Raw!$B$1:$FB$1=$I78)*(Raw!$B$2:$FB$2=$H78), 0))</f>
        <v>7690000000</v>
      </c>
      <c r="K78" s="11" cm="1">
        <f t="array" ref="K78">INDEX(Raw!C:FC, MATCH(K$4, Raw!$A:$A, 0), MATCH(1, (Raw!$B$1:$FB$1=$I78)*(Raw!$B$2:$FB$2=$H78), 0))</f>
        <v>2736000000</v>
      </c>
      <c r="L78" s="11" cm="1">
        <f t="array" ref="L78">INDEX(Raw!D:FD, MATCH(L$4, Raw!$A:$A, 0), MATCH(1, (Raw!$B$1:$FB$1=$I78)*(Raw!$B$2:$FB$2=$H78), 0))</f>
        <v>3958000000</v>
      </c>
      <c r="M78" s="11" cm="1">
        <f t="array" ref="M78">INDEX(Raw!E:FE, MATCH(M$4, Raw!$A:$A, 0), MATCH(1, (Raw!$B$1:$FB$1=$I78)*(Raw!$B$2:$FB$2=$H78), 0))</f>
        <v>2587000000</v>
      </c>
      <c r="N78" s="11" cm="1">
        <f t="array" ref="N78">INDEX(Raw!F:FF, MATCH(N$4, Raw!$A:$A, 0), MATCH(1, (Raw!$B$1:$FB$1=$I78)*(Raw!$B$2:$FB$2=$H78), 0))</f>
        <v>-39000000</v>
      </c>
      <c r="O78" s="11" cm="1">
        <f t="array" ref="O78">INDEX(Raw!G:FG, MATCH(O$4, Raw!$A:$A, 0), MATCH(1, (Raw!$B$1:$FB$1=$I78)*(Raw!$B$2:$FB$2=$H78), 0))</f>
        <v>2327000000</v>
      </c>
      <c r="P78" s="11" cm="1">
        <f t="array" ref="P78">INDEX(Raw!H:FH, MATCH(P$4, Raw!$A:$A, 0), MATCH(1, (Raw!$B$1:$FB$1=$I78)*(Raw!$B$2:$FB$2=$H78), 0))</f>
        <v>1395000000</v>
      </c>
      <c r="Q78" s="11" cm="1">
        <f t="array" ref="Q78">INDEX(Raw!I:FI, MATCH(Q$4, Raw!$A:$A, 0), MATCH(1, (Raw!$B$1:$FB$1=$I78)*(Raw!$B$2:$FB$2=$H78), 0))</f>
        <v>111000000</v>
      </c>
      <c r="R78" s="11" cm="1">
        <f t="array" ref="R78">INDEX(Raw!J:FJ, MATCH(R$4, Raw!$A:$A, 0), MATCH(1, (Raw!$B$1:$FB$1=$I78)*(Raw!$B$2:$FB$2=$H78), 0))</f>
        <v>1653000000</v>
      </c>
      <c r="S78" s="11" cm="1">
        <f t="array" ref="S78">INDEX(Raw!K:FK, MATCH(S$4, Raw!$A:$A, 0), MATCH(1, (Raw!$B$1:$FB$1=$I78)*(Raw!$B$2:$FB$2=$H78), 0))</f>
        <v>493000000</v>
      </c>
      <c r="T78" s="11" cm="1">
        <f t="array" ref="T78">INDEX(Raw!L:FL, MATCH(T$4, Raw!$A:$A, 0), MATCH(1, (Raw!$B$1:$FB$1=$I78)*(Raw!$B$2:$FB$2=$H78), 0))</f>
        <v>1002000000</v>
      </c>
      <c r="U78" s="11" cm="1">
        <f t="array" ref="U78">INDEX(Raw!M:FM, MATCH(U$4, Raw!$A:$A, 0), MATCH(1, (Raw!$B$1:$FB$1=$I78)*(Raw!$B$2:$FB$2=$H78), 0))</f>
        <v>0</v>
      </c>
      <c r="V78" s="11" cm="1">
        <f t="array" ref="V78">INDEX(Raw!N:FN, MATCH(V$4, Raw!$A:$A, 0), MATCH(1, (Raw!$B$1:$FB$1=$I78)*(Raw!$B$2:$FB$2=$H78), 0))</f>
        <v>935000000</v>
      </c>
      <c r="W78" s="11" cm="1">
        <f t="array" ref="W78">INDEX(Raw!O:FO, MATCH(W$4, Raw!$A:$A, 0), MATCH(1, (Raw!$B$1:$FB$1=$I78)*(Raw!$B$2:$FB$2=$H78), 0))</f>
        <v>0</v>
      </c>
      <c r="X78" s="11" cm="1">
        <f t="array" ref="X78">INDEX(Raw!P:FP, MATCH(X$4, Raw!$A:$A, 0), MATCH(1, (Raw!$B$1:$FB$1=$I78)*(Raw!$B$2:$FB$2=$H78), 0))</f>
        <v>1127000000</v>
      </c>
      <c r="Y78" s="11" cm="1">
        <f t="array" ref="Y78">INDEX(Raw!Q:FQ, MATCH(Y$4, Raw!$A:$A, 0), MATCH(1, (Raw!$B$1:$FB$1=$I78)*(Raw!$B$2:$FB$2=$H78), 0))</f>
        <v>0</v>
      </c>
      <c r="Z78" s="11" cm="1">
        <f t="array" ref="Z78">INDEX(Raw!R:FR, MATCH(Z$4, Raw!$A:$A, 0), MATCH(1, (Raw!$B$1:$FB$1=$I78)*(Raw!$B$2:$FB$2=$H78), 0))</f>
        <v>0</v>
      </c>
      <c r="AA78" s="11" cm="1">
        <f t="array" ref="AA78">INDEX(Raw!S:FS, MATCH(AA$4, Raw!$A:$A, 0), MATCH(1, (Raw!$B$1:$FB$1=$I78)*(Raw!$B$2:$FB$2=$H78), 0))</f>
        <v>0</v>
      </c>
      <c r="AB78" s="11" cm="1">
        <f t="array" ref="AB78">INDEX(Raw!T:FT, MATCH(AB$4, Raw!$A:$A, 0), MATCH(1, (Raw!$B$1:$FB$1=$I78)*(Raw!$B$2:$FB$2=$H78), 0))</f>
        <v>0</v>
      </c>
      <c r="AC78" s="11" cm="1">
        <f t="array" ref="AC78">INDEX(Raw!U:FU, MATCH(AC$4, Raw!$A:$A, 0), MATCH(1, (Raw!$B$1:$FB$1=$I78)*(Raw!$B$2:$FB$2=$H78), 0))</f>
        <v>0.19</v>
      </c>
      <c r="AD78" s="11" cm="1">
        <f t="array" ref="AD78">INDEX(Raw!V:FV, MATCH(AD$4, Raw!$A:$A, 0), MATCH(1, (Raw!$B$1:$FB$1=$I78)*(Raw!$B$2:$FB$2=$H78), 0))</f>
        <v>0.22</v>
      </c>
    </row>
    <row r="79" spans="6:30" x14ac:dyDescent="0.25">
      <c r="F79" s="11" t="s">
        <v>28</v>
      </c>
      <c r="G79" s="15">
        <f t="shared" ca="1" si="2"/>
        <v>46088</v>
      </c>
      <c r="H79" s="11">
        <f>H78</f>
        <v>2007</v>
      </c>
      <c r="I79" s="11" t="s">
        <v>23</v>
      </c>
      <c r="J79" s="11" cm="1">
        <f t="array" ref="J79">INDEX(Raw!B:FB, MATCH(J$4, Raw!$A:$A, 0), MATCH(1, (Raw!$B$1:$FB$1=$I79)*(Raw!$B$2:$FB$2=$H79), 0))</f>
        <v>7733000000</v>
      </c>
      <c r="K79" s="11" cm="1">
        <f t="array" ref="K79">INDEX(Raw!C:FC, MATCH(K$4, Raw!$A:$A, 0), MATCH(1, (Raw!$B$1:$FB$1=$I79)*(Raw!$B$2:$FB$2=$H79), 0))</f>
        <v>2145000000</v>
      </c>
      <c r="L79" s="11" cm="1">
        <f t="array" ref="L79">INDEX(Raw!D:FD, MATCH(L$4, Raw!$A:$A, 0), MATCH(1, (Raw!$B$1:$FB$1=$I79)*(Raw!$B$2:$FB$2=$H79), 0))</f>
        <v>3869000000</v>
      </c>
      <c r="M79" s="11" cm="1">
        <f t="array" ref="M79">INDEX(Raw!E:FE, MATCH(M$4, Raw!$A:$A, 0), MATCH(1, (Raw!$B$1:$FB$1=$I79)*(Raw!$B$2:$FB$2=$H79), 0))</f>
        <v>2488000000</v>
      </c>
      <c r="N79" s="11" cm="1">
        <f t="array" ref="N79">INDEX(Raw!F:FF, MATCH(N$4, Raw!$A:$A, 0), MATCH(1, (Raw!$B$1:$FB$1=$I79)*(Raw!$B$2:$FB$2=$H79), 0))</f>
        <v>-31000000</v>
      </c>
      <c r="O79" s="11" cm="1">
        <f t="array" ref="O79">INDEX(Raw!G:FG, MATCH(O$4, Raw!$A:$A, 0), MATCH(1, (Raw!$B$1:$FB$1=$I79)*(Raw!$B$2:$FB$2=$H79), 0))</f>
        <v>2105000000</v>
      </c>
      <c r="P79" s="11" cm="1">
        <f t="array" ref="P79">INDEX(Raw!H:FH, MATCH(P$4, Raw!$A:$A, 0), MATCH(1, (Raw!$B$1:$FB$1=$I79)*(Raw!$B$2:$FB$2=$H79), 0))</f>
        <v>1262000000</v>
      </c>
      <c r="Q79" s="11" cm="1">
        <f t="array" ref="Q79">INDEX(Raw!I:FI, MATCH(Q$4, Raw!$A:$A, 0), MATCH(1, (Raw!$B$1:$FB$1=$I79)*(Raw!$B$2:$FB$2=$H79), 0))</f>
        <v>161000000</v>
      </c>
      <c r="R79" s="11" cm="1">
        <f t="array" ref="R79">INDEX(Raw!J:FJ, MATCH(R$4, Raw!$A:$A, 0), MATCH(1, (Raw!$B$1:$FB$1=$I79)*(Raw!$B$2:$FB$2=$H79), 0))</f>
        <v>2216000000</v>
      </c>
      <c r="S79" s="11" cm="1">
        <f t="array" ref="S79">INDEX(Raw!K:FK, MATCH(S$4, Raw!$A:$A, 0), MATCH(1, (Raw!$B$1:$FB$1=$I79)*(Raw!$B$2:$FB$2=$H79), 0))</f>
        <v>446000000</v>
      </c>
      <c r="T79" s="11" cm="1">
        <f t="array" ref="T79">INDEX(Raw!L:FL, MATCH(T$4, Raw!$A:$A, 0), MATCH(1, (Raw!$B$1:$FB$1=$I79)*(Raw!$B$2:$FB$2=$H79), 0))</f>
        <v>1201000000</v>
      </c>
      <c r="U79" s="11" cm="1">
        <f t="array" ref="U79">INDEX(Raw!M:FM, MATCH(U$4, Raw!$A:$A, 0), MATCH(1, (Raw!$B$1:$FB$1=$I79)*(Raw!$B$2:$FB$2=$H79), 0))</f>
        <v>0</v>
      </c>
      <c r="V79" s="11" cm="1">
        <f t="array" ref="V79">INDEX(Raw!N:FN, MATCH(V$4, Raw!$A:$A, 0), MATCH(1, (Raw!$B$1:$FB$1=$I79)*(Raw!$B$2:$FB$2=$H79), 0))</f>
        <v>1584000000</v>
      </c>
      <c r="W79" s="11" cm="1">
        <f t="array" ref="W79">INDEX(Raw!O:FO, MATCH(W$4, Raw!$A:$A, 0), MATCH(1, (Raw!$B$1:$FB$1=$I79)*(Raw!$B$2:$FB$2=$H79), 0))</f>
        <v>0</v>
      </c>
      <c r="X79" s="11" cm="1">
        <f t="array" ref="X79">INDEX(Raw!P:FP, MATCH(X$4, Raw!$A:$A, 0), MATCH(1, (Raw!$B$1:$FB$1=$I79)*(Raw!$B$2:$FB$2=$H79), 0))</f>
        <v>927000000</v>
      </c>
      <c r="Y79" s="11" cm="1">
        <f t="array" ref="Y79">INDEX(Raw!Q:FQ, MATCH(Y$4, Raw!$A:$A, 0), MATCH(1, (Raw!$B$1:$FB$1=$I79)*(Raw!$B$2:$FB$2=$H79), 0))</f>
        <v>0</v>
      </c>
      <c r="Z79" s="11" cm="1">
        <f t="array" ref="Z79">INDEX(Raw!R:FR, MATCH(Z$4, Raw!$A:$A, 0), MATCH(1, (Raw!$B$1:$FB$1=$I79)*(Raw!$B$2:$FB$2=$H79), 0))</f>
        <v>0</v>
      </c>
      <c r="AA79" s="11" cm="1">
        <f t="array" ref="AA79">INDEX(Raw!S:FS, MATCH(AA$4, Raw!$A:$A, 0), MATCH(1, (Raw!$B$1:$FB$1=$I79)*(Raw!$B$2:$FB$2=$H79), 0))</f>
        <v>0</v>
      </c>
      <c r="AB79" s="11" cm="1">
        <f t="array" ref="AB79">INDEX(Raw!T:FT, MATCH(AB$4, Raw!$A:$A, 0), MATCH(1, (Raw!$B$1:$FB$1=$I79)*(Raw!$B$2:$FB$2=$H79), 0))</f>
        <v>0</v>
      </c>
      <c r="AC79" s="11" cm="1">
        <f t="array" ref="AC79">INDEX(Raw!U:FU, MATCH(AC$4, Raw!$A:$A, 0), MATCH(1, (Raw!$B$1:$FB$1=$I79)*(Raw!$B$2:$FB$2=$H79), 0))</f>
        <v>0.22</v>
      </c>
      <c r="AD79" s="11" cm="1">
        <f t="array" ref="AD79">INDEX(Raw!V:FV, MATCH(AD$4, Raw!$A:$A, 0), MATCH(1, (Raw!$B$1:$FB$1=$I79)*(Raw!$B$2:$FB$2=$H79), 0))</f>
        <v>0.245</v>
      </c>
    </row>
    <row r="80" spans="6:30" x14ac:dyDescent="0.25">
      <c r="F80" s="11" t="s">
        <v>28</v>
      </c>
      <c r="G80" s="15">
        <f t="shared" ca="1" si="2"/>
        <v>46088</v>
      </c>
      <c r="H80" s="11">
        <f>H79</f>
        <v>2007</v>
      </c>
      <c r="I80" s="11" t="s">
        <v>24</v>
      </c>
      <c r="J80" s="11" cm="1">
        <f t="array" ref="J80">INDEX(Raw!B:FB, MATCH(J$4, Raw!$A:$A, 0), MATCH(1, (Raw!$B$1:$FB$1=$I80)*(Raw!$B$2:$FB$2=$H80), 0))</f>
        <v>6103000000</v>
      </c>
      <c r="K80" s="11" cm="1">
        <f t="array" ref="K80">INDEX(Raw!C:FC, MATCH(K$4, Raw!$A:$A, 0), MATCH(1, (Raw!$B$1:$FB$1=$I80)*(Raw!$B$2:$FB$2=$H80), 0))</f>
        <v>2063000000</v>
      </c>
      <c r="L80" s="11" cm="1">
        <f t="array" ref="L80">INDEX(Raw!D:FD, MATCH(L$4, Raw!$A:$A, 0), MATCH(1, (Raw!$B$1:$FB$1=$I80)*(Raw!$B$2:$FB$2=$H80), 0))</f>
        <v>4189000000</v>
      </c>
      <c r="M80" s="11" cm="1">
        <f t="array" ref="M80">INDEX(Raw!E:FE, MATCH(M$4, Raw!$A:$A, 0), MATCH(1, (Raw!$B$1:$FB$1=$I80)*(Raw!$B$2:$FB$2=$H80), 0))</f>
        <v>2296000000</v>
      </c>
      <c r="N80" s="11" cm="1">
        <f t="array" ref="N80">INDEX(Raw!F:FF, MATCH(N$4, Raw!$A:$A, 0), MATCH(1, (Raw!$B$1:$FB$1=$I80)*(Raw!$B$2:$FB$2=$H80), 0))</f>
        <v>-45000000</v>
      </c>
      <c r="O80" s="11" cm="1">
        <f t="array" ref="O80">INDEX(Raw!G:FG, MATCH(O$4, Raw!$A:$A, 0), MATCH(1, (Raw!$B$1:$FB$1=$I80)*(Raw!$B$2:$FB$2=$H80), 0))</f>
        <v>2293000000</v>
      </c>
      <c r="P80" s="11" cm="1">
        <f t="array" ref="P80">INDEX(Raw!H:FH, MATCH(P$4, Raw!$A:$A, 0), MATCH(1, (Raw!$B$1:$FB$1=$I80)*(Raw!$B$2:$FB$2=$H80), 0))</f>
        <v>1492000000</v>
      </c>
      <c r="Q80" s="11" cm="1">
        <f t="array" ref="Q80">INDEX(Raw!I:FI, MATCH(Q$4, Raw!$A:$A, 0), MATCH(1, (Raw!$B$1:$FB$1=$I80)*(Raw!$B$2:$FB$2=$H80), 0))</f>
        <v>244000000</v>
      </c>
      <c r="R80" s="11" cm="1">
        <f t="array" ref="R80">INDEX(Raw!J:FJ, MATCH(R$4, Raw!$A:$A, 0), MATCH(1, (Raw!$B$1:$FB$1=$I80)*(Raw!$B$2:$FB$2=$H80), 0))</f>
        <v>1448000000</v>
      </c>
      <c r="S80" s="11" cm="1">
        <f t="array" ref="S80">INDEX(Raw!K:FK, MATCH(S$4, Raw!$A:$A, 0), MATCH(1, (Raw!$B$1:$FB$1=$I80)*(Raw!$B$2:$FB$2=$H80), 0))</f>
        <v>221000000</v>
      </c>
      <c r="T80" s="11" cm="1">
        <f t="array" ref="T80">INDEX(Raw!L:FL, MATCH(T$4, Raw!$A:$A, 0), MATCH(1, (Raw!$B$1:$FB$1=$I80)*(Raw!$B$2:$FB$2=$H80), 0))</f>
        <v>935000000</v>
      </c>
      <c r="U80" s="11" cm="1">
        <f t="array" ref="U80">INDEX(Raw!M:FM, MATCH(U$4, Raw!$A:$A, 0), MATCH(1, (Raw!$B$1:$FB$1=$I80)*(Raw!$B$2:$FB$2=$H80), 0))</f>
        <v>0</v>
      </c>
      <c r="V80" s="11" cm="1">
        <f t="array" ref="V80">INDEX(Raw!N:FN, MATCH(V$4, Raw!$A:$A, 0), MATCH(1, (Raw!$B$1:$FB$1=$I80)*(Raw!$B$2:$FB$2=$H80), 0))</f>
        <v>1127000000</v>
      </c>
      <c r="W80" s="11" cm="1">
        <f t="array" ref="W80">INDEX(Raw!O:FO, MATCH(W$4, Raw!$A:$A, 0), MATCH(1, (Raw!$B$1:$FB$1=$I80)*(Raw!$B$2:$FB$2=$H80), 0))</f>
        <v>0</v>
      </c>
      <c r="X80" s="11" cm="1">
        <f t="array" ref="X80">INDEX(Raw!P:FP, MATCH(X$4, Raw!$A:$A, 0), MATCH(1, (Raw!$B$1:$FB$1=$I80)*(Raw!$B$2:$FB$2=$H80), 0))</f>
        <v>1223000000</v>
      </c>
      <c r="Y80" s="11" cm="1">
        <f t="array" ref="Y80">INDEX(Raw!Q:FQ, MATCH(Y$4, Raw!$A:$A, 0), MATCH(1, (Raw!$B$1:$FB$1=$I80)*(Raw!$B$2:$FB$2=$H80), 0))</f>
        <v>0</v>
      </c>
      <c r="Z80" s="11" cm="1">
        <f t="array" ref="Z80">INDEX(Raw!R:FR, MATCH(Z$4, Raw!$A:$A, 0), MATCH(1, (Raw!$B$1:$FB$1=$I80)*(Raw!$B$2:$FB$2=$H80), 0))</f>
        <v>0</v>
      </c>
      <c r="AA80" s="11" cm="1">
        <f t="array" ref="AA80">INDEX(Raw!S:FS, MATCH(AA$4, Raw!$A:$A, 0), MATCH(1, (Raw!$B$1:$FB$1=$I80)*(Raw!$B$2:$FB$2=$H80), 0))</f>
        <v>0</v>
      </c>
      <c r="AB80" s="11" cm="1">
        <f t="array" ref="AB80">INDEX(Raw!T:FT, MATCH(AB$4, Raw!$A:$A, 0), MATCH(1, (Raw!$B$1:$FB$1=$I80)*(Raw!$B$2:$FB$2=$H80), 0))</f>
        <v>0</v>
      </c>
      <c r="AC80" s="11" cm="1">
        <f t="array" ref="AC80">INDEX(Raw!U:FU, MATCH(AC$4, Raw!$A:$A, 0), MATCH(1, (Raw!$B$1:$FB$1=$I80)*(Raw!$B$2:$FB$2=$H80), 0))</f>
        <v>0.245</v>
      </c>
      <c r="AD80" s="11" cm="1">
        <f t="array" ref="AD80">INDEX(Raw!V:FV, MATCH(AD$4, Raw!$A:$A, 0), MATCH(1, (Raw!$B$1:$FB$1=$I80)*(Raw!$B$2:$FB$2=$H80), 0))</f>
        <v>-0.04</v>
      </c>
    </row>
    <row r="81" spans="6:30" x14ac:dyDescent="0.25">
      <c r="F81" s="11" t="s">
        <v>28</v>
      </c>
      <c r="G81" s="15">
        <f t="shared" ca="1" si="2"/>
        <v>46088</v>
      </c>
      <c r="H81" s="11">
        <f>H77-1</f>
        <v>2006</v>
      </c>
      <c r="I81" s="11" t="s">
        <v>21</v>
      </c>
      <c r="J81" s="11" cm="1">
        <f t="array" ref="J81">INDEX(Raw!B:FB, MATCH(J$4, Raw!$A:$A, 0), MATCH(1, (Raw!$B$1:$FB$1=$I81)*(Raw!$B$2:$FB$2=$H81), 0))</f>
        <v>5932000000</v>
      </c>
      <c r="K81" s="11" cm="1">
        <f t="array" ref="K81">INDEX(Raw!C:FC, MATCH(K$4, Raw!$A:$A, 0), MATCH(1, (Raw!$B$1:$FB$1=$I81)*(Raw!$B$2:$FB$2=$H81), 0))</f>
        <v>2265000000</v>
      </c>
      <c r="L81" s="11" cm="1">
        <f t="array" ref="L81">INDEX(Raw!D:FD, MATCH(L$4, Raw!$A:$A, 0), MATCH(1, (Raw!$B$1:$FB$1=$I81)*(Raw!$B$2:$FB$2=$H81), 0))</f>
        <v>4366000000</v>
      </c>
      <c r="M81" s="11" cm="1">
        <f t="array" ref="M81">INDEX(Raw!E:FE, MATCH(M$4, Raw!$A:$A, 0), MATCH(1, (Raw!$B$1:$FB$1=$I81)*(Raw!$B$2:$FB$2=$H81), 0))</f>
        <v>2060000000</v>
      </c>
      <c r="N81" s="11" cm="1">
        <f t="array" ref="N81">INDEX(Raw!F:FF, MATCH(N$4, Raw!$A:$A, 0), MATCH(1, (Raw!$B$1:$FB$1=$I81)*(Raw!$B$2:$FB$2=$H81), 0))</f>
        <v>0</v>
      </c>
      <c r="O81" s="11" cm="1">
        <f t="array" ref="O81">INDEX(Raw!G:FG, MATCH(O$4, Raw!$A:$A, 0), MATCH(1, (Raw!$B$1:$FB$1=$I81)*(Raw!$B$2:$FB$2=$H81), 0))</f>
        <v>2310000000</v>
      </c>
      <c r="P81" s="11" cm="1">
        <f t="array" ref="P81">INDEX(Raw!H:FH, MATCH(P$4, Raw!$A:$A, 0), MATCH(1, (Raw!$B$1:$FB$1=$I81)*(Raw!$B$2:$FB$2=$H81), 0))</f>
        <v>1972000000</v>
      </c>
      <c r="Q81" s="11" cm="1">
        <f t="array" ref="Q81">INDEX(Raw!I:FI, MATCH(Q$4, Raw!$A:$A, 0), MATCH(1, (Raw!$B$1:$FB$1=$I81)*(Raw!$B$2:$FB$2=$H81), 0))</f>
        <v>89000000</v>
      </c>
      <c r="R81" s="11" cm="1">
        <f t="array" ref="R81">INDEX(Raw!J:FJ, MATCH(R$4, Raw!$A:$A, 0), MATCH(1, (Raw!$B$1:$FB$1=$I81)*(Raw!$B$2:$FB$2=$H81), 0))</f>
        <v>1422000000</v>
      </c>
      <c r="S81" s="11" cm="1">
        <f t="array" ref="S81">INDEX(Raw!K:FK, MATCH(S$4, Raw!$A:$A, 0), MATCH(1, (Raw!$B$1:$FB$1=$I81)*(Raw!$B$2:$FB$2=$H81), 0))</f>
        <v>300000000</v>
      </c>
      <c r="T81" s="11" cm="1">
        <f t="array" ref="T81">INDEX(Raw!L:FL, MATCH(T$4, Raw!$A:$A, 0), MATCH(1, (Raw!$B$1:$FB$1=$I81)*(Raw!$B$2:$FB$2=$H81), 0))</f>
        <v>1584000000</v>
      </c>
      <c r="U81" s="11" cm="1">
        <f t="array" ref="U81">INDEX(Raw!M:FM, MATCH(U$4, Raw!$A:$A, 0), MATCH(1, (Raw!$B$1:$FB$1=$I81)*(Raw!$B$2:$FB$2=$H81), 0))</f>
        <v>0</v>
      </c>
      <c r="V81" s="11" cm="1">
        <f t="array" ref="V81">INDEX(Raw!N:FN, MATCH(V$4, Raw!$A:$A, 0), MATCH(1, (Raw!$B$1:$FB$1=$I81)*(Raw!$B$2:$FB$2=$H81), 0))</f>
        <v>927000000</v>
      </c>
      <c r="W81" s="11" cm="1">
        <f t="array" ref="W81">INDEX(Raw!O:FO, MATCH(W$4, Raw!$A:$A, 0), MATCH(1, (Raw!$B$1:$FB$1=$I81)*(Raw!$B$2:$FB$2=$H81), 0))</f>
        <v>0</v>
      </c>
      <c r="X81" s="11" cm="1">
        <f t="array" ref="X81">INDEX(Raw!P:FP, MATCH(X$4, Raw!$A:$A, 0), MATCH(1, (Raw!$B$1:$FB$1=$I81)*(Raw!$B$2:$FB$2=$H81), 0))</f>
        <v>1362000000</v>
      </c>
      <c r="Y81" s="11" cm="1">
        <f t="array" ref="Y81">INDEX(Raw!Q:FQ, MATCH(Y$4, Raw!$A:$A, 0), MATCH(1, (Raw!$B$1:$FB$1=$I81)*(Raw!$B$2:$FB$2=$H81), 0))</f>
        <v>0</v>
      </c>
      <c r="Z81" s="11" cm="1">
        <f t="array" ref="Z81">INDEX(Raw!R:FR, MATCH(Z$4, Raw!$A:$A, 0), MATCH(1, (Raw!$B$1:$FB$1=$I81)*(Raw!$B$2:$FB$2=$H81), 0))</f>
        <v>0</v>
      </c>
      <c r="AA81" s="11" cm="1">
        <f t="array" ref="AA81">INDEX(Raw!S:FS, MATCH(AA$4, Raw!$A:$A, 0), MATCH(1, (Raw!$B$1:$FB$1=$I81)*(Raw!$B$2:$FB$2=$H81), 0))</f>
        <v>0</v>
      </c>
      <c r="AB81" s="11" cm="1">
        <f t="array" ref="AB81">INDEX(Raw!T:FT, MATCH(AB$4, Raw!$A:$A, 0), MATCH(1, (Raw!$B$1:$FB$1=$I81)*(Raw!$B$2:$FB$2=$H81), 0))</f>
        <v>0</v>
      </c>
      <c r="AC81" s="11" cm="1">
        <f t="array" ref="AC81">INDEX(Raw!U:FU, MATCH(AC$4, Raw!$A:$A, 0), MATCH(1, (Raw!$B$1:$FB$1=$I81)*(Raw!$B$2:$FB$2=$H81), 0))</f>
        <v>-0.04</v>
      </c>
      <c r="AD81" s="11" cm="1">
        <f t="array" ref="AD81">INDEX(Raw!V:FV, MATCH(AD$4, Raw!$A:$A, 0), MATCH(1, (Raw!$B$1:$FB$1=$I81)*(Raw!$B$2:$FB$2=$H81), 0))</f>
        <v>0.185</v>
      </c>
    </row>
    <row r="82" spans="6:30" x14ac:dyDescent="0.25">
      <c r="F82" s="11" t="s">
        <v>28</v>
      </c>
      <c r="G82" s="15">
        <f t="shared" ca="1" si="2"/>
        <v>46088</v>
      </c>
      <c r="H82" s="11">
        <f>H81</f>
        <v>2006</v>
      </c>
      <c r="I82" s="11" t="s">
        <v>22</v>
      </c>
      <c r="J82" s="11" cm="1">
        <f t="array" ref="J82">INDEX(Raw!B:FB, MATCH(J$4, Raw!$A:$A, 0), MATCH(1, (Raw!$B$1:$FB$1=$I82)*(Raw!$B$2:$FB$2=$H82), 0))</f>
        <v>6454000000</v>
      </c>
      <c r="K82" s="11" cm="1">
        <f t="array" ref="K82">INDEX(Raw!C:FC, MATCH(K$4, Raw!$A:$A, 0), MATCH(1, (Raw!$B$1:$FB$1=$I82)*(Raw!$B$2:$FB$2=$H82), 0))</f>
        <v>2110000000</v>
      </c>
      <c r="L82" s="11" cm="1">
        <f t="array" ref="L82">INDEX(Raw!D:FD, MATCH(L$4, Raw!$A:$A, 0), MATCH(1, (Raw!$B$1:$FB$1=$I82)*(Raw!$B$2:$FB$2=$H82), 0))</f>
        <v>3500000000</v>
      </c>
      <c r="M82" s="11" cm="1">
        <f t="array" ref="M82">INDEX(Raw!E:FE, MATCH(M$4, Raw!$A:$A, 0), MATCH(1, (Raw!$B$1:$FB$1=$I82)*(Raw!$B$2:$FB$2=$H82), 0))</f>
        <v>2293000000</v>
      </c>
      <c r="N82" s="11" cm="1">
        <f t="array" ref="N82">INDEX(Raw!F:FF, MATCH(N$4, Raw!$A:$A, 0), MATCH(1, (Raw!$B$1:$FB$1=$I82)*(Raw!$B$2:$FB$2=$H82), 0))</f>
        <v>-85000000</v>
      </c>
      <c r="O82" s="11" cm="1">
        <f t="array" ref="O82">INDEX(Raw!G:FG, MATCH(O$4, Raw!$A:$A, 0), MATCH(1, (Raw!$B$1:$FB$1=$I82)*(Raw!$B$2:$FB$2=$H82), 0))</f>
        <v>2192000000</v>
      </c>
      <c r="P82" s="11" cm="1">
        <f t="array" ref="P82">INDEX(Raw!H:FH, MATCH(P$4, Raw!$A:$A, 0), MATCH(1, (Raw!$B$1:$FB$1=$I82)*(Raw!$B$2:$FB$2=$H82), 0))</f>
        <v>1359000000</v>
      </c>
      <c r="Q82" s="11" cm="1">
        <f t="array" ref="Q82">INDEX(Raw!I:FI, MATCH(Q$4, Raw!$A:$A, 0), MATCH(1, (Raw!$B$1:$FB$1=$I82)*(Raw!$B$2:$FB$2=$H82), 0))</f>
        <v>75000000</v>
      </c>
      <c r="R82" s="11" cm="1">
        <f t="array" ref="R82">INDEX(Raw!J:FJ, MATCH(R$4, Raw!$A:$A, 0), MATCH(1, (Raw!$B$1:$FB$1=$I82)*(Raw!$B$2:$FB$2=$H82), 0))</f>
        <v>1235000000</v>
      </c>
      <c r="S82" s="11" cm="1">
        <f t="array" ref="S82">INDEX(Raw!K:FK, MATCH(S$4, Raw!$A:$A, 0), MATCH(1, (Raw!$B$1:$FB$1=$I82)*(Raw!$B$2:$FB$2=$H82), 0))</f>
        <v>469000000</v>
      </c>
      <c r="T82" s="11" cm="1">
        <f t="array" ref="T82">INDEX(Raw!L:FL, MATCH(T$4, Raw!$A:$A, 0), MATCH(1, (Raw!$B$1:$FB$1=$I82)*(Raw!$B$2:$FB$2=$H82), 0))</f>
        <v>1127000000</v>
      </c>
      <c r="U82" s="11" cm="1">
        <f t="array" ref="U82">INDEX(Raw!M:FM, MATCH(U$4, Raw!$A:$A, 0), MATCH(1, (Raw!$B$1:$FB$1=$I82)*(Raw!$B$2:$FB$2=$H82), 0))</f>
        <v>0</v>
      </c>
      <c r="V82" s="11" cm="1">
        <f t="array" ref="V82">INDEX(Raw!N:FN, MATCH(V$4, Raw!$A:$A, 0), MATCH(1, (Raw!$B$1:$FB$1=$I82)*(Raw!$B$2:$FB$2=$H82), 0))</f>
        <v>1223000000</v>
      </c>
      <c r="W82" s="11" cm="1">
        <f t="array" ref="W82">INDEX(Raw!O:FO, MATCH(W$4, Raw!$A:$A, 0), MATCH(1, (Raw!$B$1:$FB$1=$I82)*(Raw!$B$2:$FB$2=$H82), 0))</f>
        <v>0</v>
      </c>
      <c r="X82" s="11" cm="1">
        <f t="array" ref="X82">INDEX(Raw!P:FP, MATCH(X$4, Raw!$A:$A, 0), MATCH(1, (Raw!$B$1:$FB$1=$I82)*(Raw!$B$2:$FB$2=$H82), 0))</f>
        <v>835000000</v>
      </c>
      <c r="Y82" s="11" cm="1">
        <f t="array" ref="Y82">INDEX(Raw!Q:FQ, MATCH(Y$4, Raw!$A:$A, 0), MATCH(1, (Raw!$B$1:$FB$1=$I82)*(Raw!$B$2:$FB$2=$H82), 0))</f>
        <v>0</v>
      </c>
      <c r="Z82" s="11" cm="1">
        <f t="array" ref="Z82">INDEX(Raw!R:FR, MATCH(Z$4, Raw!$A:$A, 0), MATCH(1, (Raw!$B$1:$FB$1=$I82)*(Raw!$B$2:$FB$2=$H82), 0))</f>
        <v>0</v>
      </c>
      <c r="AA82" s="11" cm="1">
        <f t="array" ref="AA82">INDEX(Raw!S:FS, MATCH(AA$4, Raw!$A:$A, 0), MATCH(1, (Raw!$B$1:$FB$1=$I82)*(Raw!$B$2:$FB$2=$H82), 0))</f>
        <v>0</v>
      </c>
      <c r="AB82" s="11" cm="1">
        <f t="array" ref="AB82">INDEX(Raw!T:FT, MATCH(AB$4, Raw!$A:$A, 0), MATCH(1, (Raw!$B$1:$FB$1=$I82)*(Raw!$B$2:$FB$2=$H82), 0))</f>
        <v>0</v>
      </c>
      <c r="AC82" s="11" cm="1">
        <f t="array" ref="AC82">INDEX(Raw!U:FU, MATCH(AC$4, Raw!$A:$A, 0), MATCH(1, (Raw!$B$1:$FB$1=$I82)*(Raw!$B$2:$FB$2=$H82), 0))</f>
        <v>0.185</v>
      </c>
      <c r="AD82" s="11" cm="1">
        <f t="array" ref="AD82">INDEX(Raw!V:FV, MATCH(AD$4, Raw!$A:$A, 0), MATCH(1, (Raw!$B$1:$FB$1=$I82)*(Raw!$B$2:$FB$2=$H82), 0))</f>
        <v>0.215</v>
      </c>
    </row>
    <row r="83" spans="6:30" x14ac:dyDescent="0.25">
      <c r="F83" s="11" t="s">
        <v>28</v>
      </c>
      <c r="G83" s="15">
        <f t="shared" ca="1" si="2"/>
        <v>46088</v>
      </c>
      <c r="H83" s="11">
        <f>H82</f>
        <v>2006</v>
      </c>
      <c r="I83" s="11" t="s">
        <v>23</v>
      </c>
      <c r="J83" s="11" cm="1">
        <f t="array" ref="J83">INDEX(Raw!B:FB, MATCH(J$4, Raw!$A:$A, 0), MATCH(1, (Raw!$B$1:$FB$1=$I83)*(Raw!$B$2:$FB$2=$H83), 0))</f>
        <v>6476000000</v>
      </c>
      <c r="K83" s="11" cm="1">
        <f t="array" ref="K83">INDEX(Raw!C:FC, MATCH(K$4, Raw!$A:$A, 0), MATCH(1, (Raw!$B$1:$FB$1=$I83)*(Raw!$B$2:$FB$2=$H83), 0))</f>
        <v>1726000000</v>
      </c>
      <c r="L83" s="11" cm="1">
        <f t="array" ref="L83">INDEX(Raw!D:FD, MATCH(L$4, Raw!$A:$A, 0), MATCH(1, (Raw!$B$1:$FB$1=$I83)*(Raw!$B$2:$FB$2=$H83), 0))</f>
        <v>3555000000</v>
      </c>
      <c r="M83" s="11" cm="1">
        <f t="array" ref="M83">INDEX(Raw!E:FE, MATCH(M$4, Raw!$A:$A, 0), MATCH(1, (Raw!$B$1:$FB$1=$I83)*(Raw!$B$2:$FB$2=$H83), 0))</f>
        <v>2225000000</v>
      </c>
      <c r="N83" s="11" cm="1">
        <f t="array" ref="N83">INDEX(Raw!F:FF, MATCH(N$4, Raw!$A:$A, 0), MATCH(1, (Raw!$B$1:$FB$1=$I83)*(Raw!$B$2:$FB$2=$H83), 0))</f>
        <v>0</v>
      </c>
      <c r="O83" s="11" cm="1">
        <f t="array" ref="O83">INDEX(Raw!G:FG, MATCH(O$4, Raw!$A:$A, 0), MATCH(1, (Raw!$B$1:$FB$1=$I83)*(Raw!$B$2:$FB$2=$H83), 0))</f>
        <v>2029000000</v>
      </c>
      <c r="P83" s="11" cm="1">
        <f t="array" ref="P83">INDEX(Raw!H:FH, MATCH(P$4, Raw!$A:$A, 0), MATCH(1, (Raw!$B$1:$FB$1=$I83)*(Raw!$B$2:$FB$2=$H83), 0))</f>
        <v>1347000000</v>
      </c>
      <c r="Q83" s="11" cm="1">
        <f t="array" ref="Q83">INDEX(Raw!I:FI, MATCH(Q$4, Raw!$A:$A, 0), MATCH(1, (Raw!$B$1:$FB$1=$I83)*(Raw!$B$2:$FB$2=$H83), 0))</f>
        <v>138000000</v>
      </c>
      <c r="R83" s="11" cm="1">
        <f t="array" ref="R83">INDEX(Raw!J:FJ, MATCH(R$4, Raw!$A:$A, 0), MATCH(1, (Raw!$B$1:$FB$1=$I83)*(Raw!$B$2:$FB$2=$H83), 0))</f>
        <v>2053000000</v>
      </c>
      <c r="S83" s="11" cm="1">
        <f t="array" ref="S83">INDEX(Raw!K:FK, MATCH(S$4, Raw!$A:$A, 0), MATCH(1, (Raw!$B$1:$FB$1=$I83)*(Raw!$B$2:$FB$2=$H83), 0))</f>
        <v>385000000</v>
      </c>
      <c r="T83" s="11" cm="1">
        <f t="array" ref="T83">INDEX(Raw!L:FL, MATCH(T$4, Raw!$A:$A, 0), MATCH(1, (Raw!$B$1:$FB$1=$I83)*(Raw!$B$2:$FB$2=$H83), 0))</f>
        <v>927000000</v>
      </c>
      <c r="U83" s="11" cm="1">
        <f t="array" ref="U83">INDEX(Raw!M:FM, MATCH(U$4, Raw!$A:$A, 0), MATCH(1, (Raw!$B$1:$FB$1=$I83)*(Raw!$B$2:$FB$2=$H83), 0))</f>
        <v>0</v>
      </c>
      <c r="V83" s="11" cm="1">
        <f t="array" ref="V83">INDEX(Raw!N:FN, MATCH(V$4, Raw!$A:$A, 0), MATCH(1, (Raw!$B$1:$FB$1=$I83)*(Raw!$B$2:$FB$2=$H83), 0))</f>
        <v>1362000000</v>
      </c>
      <c r="W83" s="11" cm="1">
        <f t="array" ref="W83">INDEX(Raw!O:FO, MATCH(W$4, Raw!$A:$A, 0), MATCH(1, (Raw!$B$1:$FB$1=$I83)*(Raw!$B$2:$FB$2=$H83), 0))</f>
        <v>0</v>
      </c>
      <c r="X83" s="11" cm="1">
        <f t="array" ref="X83">INDEX(Raw!P:FP, MATCH(X$4, Raw!$A:$A, 0), MATCH(1, (Raw!$B$1:$FB$1=$I83)*(Raw!$B$2:$FB$2=$H83), 0))</f>
        <v>930000000</v>
      </c>
      <c r="Y83" s="11" cm="1">
        <f t="array" ref="Y83">INDEX(Raw!Q:FQ, MATCH(Y$4, Raw!$A:$A, 0), MATCH(1, (Raw!$B$1:$FB$1=$I83)*(Raw!$B$2:$FB$2=$H83), 0))</f>
        <v>0</v>
      </c>
      <c r="Z83" s="11" cm="1">
        <f t="array" ref="Z83">INDEX(Raw!R:FR, MATCH(Z$4, Raw!$A:$A, 0), MATCH(1, (Raw!$B$1:$FB$1=$I83)*(Raw!$B$2:$FB$2=$H83), 0))</f>
        <v>0</v>
      </c>
      <c r="AA83" s="11" cm="1">
        <f t="array" ref="AA83">INDEX(Raw!S:FS, MATCH(AA$4, Raw!$A:$A, 0), MATCH(1, (Raw!$B$1:$FB$1=$I83)*(Raw!$B$2:$FB$2=$H83), 0))</f>
        <v>0</v>
      </c>
      <c r="AB83" s="11" cm="1">
        <f t="array" ref="AB83">INDEX(Raw!T:FT, MATCH(AB$4, Raw!$A:$A, 0), MATCH(1, (Raw!$B$1:$FB$1=$I83)*(Raw!$B$2:$FB$2=$H83), 0))</f>
        <v>0</v>
      </c>
      <c r="AC83" s="11" cm="1">
        <f t="array" ref="AC83">INDEX(Raw!U:FU, MATCH(AC$4, Raw!$A:$A, 0), MATCH(1, (Raw!$B$1:$FB$1=$I83)*(Raw!$B$2:$FB$2=$H83), 0))</f>
        <v>0.215</v>
      </c>
      <c r="AD83" s="11" cm="1">
        <f t="array" ref="AD83">INDEX(Raw!V:FV, MATCH(AD$4, Raw!$A:$A, 0), MATCH(1, (Raw!$B$1:$FB$1=$I83)*(Raw!$B$2:$FB$2=$H83), 0))</f>
        <v>0.22500000000000001</v>
      </c>
    </row>
    <row r="84" spans="6:30" x14ac:dyDescent="0.25">
      <c r="F84" s="11" t="s">
        <v>28</v>
      </c>
      <c r="G84" s="15">
        <f t="shared" ca="1" si="2"/>
        <v>46088</v>
      </c>
      <c r="H84" s="11">
        <f>H83</f>
        <v>2006</v>
      </c>
      <c r="I84" s="11" t="s">
        <v>24</v>
      </c>
      <c r="J84" s="11" cm="1">
        <f t="array" ref="J84">INDEX(Raw!B:FB, MATCH(J$4, Raw!$A:$A, 0), MATCH(1, (Raw!$B$1:$FB$1=$I84)*(Raw!$B$2:$FB$2=$H84), 0))</f>
        <v>5226000000</v>
      </c>
      <c r="K84" s="11" cm="1">
        <f t="array" ref="K84">INDEX(Raw!C:FC, MATCH(K$4, Raw!$A:$A, 0), MATCH(1, (Raw!$B$1:$FB$1=$I84)*(Raw!$B$2:$FB$2=$H84), 0))</f>
        <v>1996000000</v>
      </c>
      <c r="L84" s="11" cm="1">
        <f t="array" ref="L84">INDEX(Raw!D:FD, MATCH(L$4, Raw!$A:$A, 0), MATCH(1, (Raw!$B$1:$FB$1=$I84)*(Raw!$B$2:$FB$2=$H84), 0))</f>
        <v>3802000000</v>
      </c>
      <c r="M84" s="11" cm="1">
        <f t="array" ref="M84">INDEX(Raw!E:FE, MATCH(M$4, Raw!$A:$A, 0), MATCH(1, (Raw!$B$1:$FB$1=$I84)*(Raw!$B$2:$FB$2=$H84), 0))</f>
        <v>2192000000</v>
      </c>
      <c r="N84" s="11" cm="1">
        <f t="array" ref="N84">INDEX(Raw!F:FF, MATCH(N$4, Raw!$A:$A, 0), MATCH(1, (Raw!$B$1:$FB$1=$I84)*(Raw!$B$2:$FB$2=$H84), 0))</f>
        <v>0</v>
      </c>
      <c r="O84" s="11" cm="1">
        <f t="array" ref="O84">INDEX(Raw!G:FG, MATCH(O$4, Raw!$A:$A, 0), MATCH(1, (Raw!$B$1:$FB$1=$I84)*(Raw!$B$2:$FB$2=$H84), 0))</f>
        <v>1986000000</v>
      </c>
      <c r="P84" s="11" cm="1">
        <f t="array" ref="P84">INDEX(Raw!H:FH, MATCH(P$4, Raw!$A:$A, 0), MATCH(1, (Raw!$B$1:$FB$1=$I84)*(Raw!$B$2:$FB$2=$H84), 0))</f>
        <v>1097000000</v>
      </c>
      <c r="Q84" s="11" cm="1">
        <f t="array" ref="Q84">INDEX(Raw!I:FI, MATCH(Q$4, Raw!$A:$A, 0), MATCH(1, (Raw!$B$1:$FB$1=$I84)*(Raw!$B$2:$FB$2=$H84), 0))</f>
        <v>250000000</v>
      </c>
      <c r="R84" s="11" cm="1">
        <f t="array" ref="R84">INDEX(Raw!J:FJ, MATCH(R$4, Raw!$A:$A, 0), MATCH(1, (Raw!$B$1:$FB$1=$I84)*(Raw!$B$2:$FB$2=$H84), 0))</f>
        <v>1512000000</v>
      </c>
      <c r="S84" s="11" cm="1">
        <f t="array" ref="S84">INDEX(Raw!K:FK, MATCH(S$4, Raw!$A:$A, 0), MATCH(1, (Raw!$B$1:$FB$1=$I84)*(Raw!$B$2:$FB$2=$H84), 0))</f>
        <v>197000000</v>
      </c>
      <c r="T84" s="11" cm="1">
        <f t="array" ref="T84">INDEX(Raw!L:FL, MATCH(T$4, Raw!$A:$A, 0), MATCH(1, (Raw!$B$1:$FB$1=$I84)*(Raw!$B$2:$FB$2=$H84), 0))</f>
        <v>1223000000</v>
      </c>
      <c r="U84" s="11" cm="1">
        <f t="array" ref="U84">INDEX(Raw!M:FM, MATCH(U$4, Raw!$A:$A, 0), MATCH(1, (Raw!$B$1:$FB$1=$I84)*(Raw!$B$2:$FB$2=$H84), 0))</f>
        <v>0</v>
      </c>
      <c r="V84" s="11" cm="1">
        <f t="array" ref="V84">INDEX(Raw!N:FN, MATCH(V$4, Raw!$A:$A, 0), MATCH(1, (Raw!$B$1:$FB$1=$I84)*(Raw!$B$2:$FB$2=$H84), 0))</f>
        <v>835000000</v>
      </c>
      <c r="W84" s="11" cm="1">
        <f t="array" ref="W84">INDEX(Raw!O:FO, MATCH(W$4, Raw!$A:$A, 0), MATCH(1, (Raw!$B$1:$FB$1=$I84)*(Raw!$B$2:$FB$2=$H84), 0))</f>
        <v>0</v>
      </c>
      <c r="X84" s="11" cm="1">
        <f t="array" ref="X84">INDEX(Raw!P:FP, MATCH(X$4, Raw!$A:$A, 0), MATCH(1, (Raw!$B$1:$FB$1=$I84)*(Raw!$B$2:$FB$2=$H84), 0))</f>
        <v>1091000000</v>
      </c>
      <c r="Y84" s="11" cm="1">
        <f t="array" ref="Y84">INDEX(Raw!Q:FQ, MATCH(Y$4, Raw!$A:$A, 0), MATCH(1, (Raw!$B$1:$FB$1=$I84)*(Raw!$B$2:$FB$2=$H84), 0))</f>
        <v>0</v>
      </c>
      <c r="Z84" s="11" cm="1">
        <f t="array" ref="Z84">INDEX(Raw!R:FR, MATCH(Z$4, Raw!$A:$A, 0), MATCH(1, (Raw!$B$1:$FB$1=$I84)*(Raw!$B$2:$FB$2=$H84), 0))</f>
        <v>0</v>
      </c>
      <c r="AA84" s="11" cm="1">
        <f t="array" ref="AA84">INDEX(Raw!S:FS, MATCH(AA$4, Raw!$A:$A, 0), MATCH(1, (Raw!$B$1:$FB$1=$I84)*(Raw!$B$2:$FB$2=$H84), 0))</f>
        <v>0</v>
      </c>
      <c r="AB84" s="11" cm="1">
        <f t="array" ref="AB84">INDEX(Raw!T:FT, MATCH(AB$4, Raw!$A:$A, 0), MATCH(1, (Raw!$B$1:$FB$1=$I84)*(Raw!$B$2:$FB$2=$H84), 0))</f>
        <v>0</v>
      </c>
      <c r="AC84" s="11" cm="1">
        <f t="array" ref="AC84">INDEX(Raw!U:FU, MATCH(AC$4, Raw!$A:$A, 0), MATCH(1, (Raw!$B$1:$FB$1=$I84)*(Raw!$B$2:$FB$2=$H84), 0))</f>
        <v>0.22500000000000001</v>
      </c>
      <c r="AD84" s="11" cm="1">
        <f t="array" ref="AD84">INDEX(Raw!V:FV, MATCH(AD$4, Raw!$A:$A, 0), MATCH(1, (Raw!$B$1:$FB$1=$I84)*(Raw!$B$2:$FB$2=$H84), 0))</f>
        <v>0.17499999999999999</v>
      </c>
    </row>
    <row r="85" spans="6:30" x14ac:dyDescent="0.25">
      <c r="F85" s="11" t="s">
        <v>28</v>
      </c>
      <c r="G85" s="15">
        <f t="shared" ca="1" si="2"/>
        <v>46088</v>
      </c>
      <c r="H85" s="11">
        <f>H81-1</f>
        <v>2005</v>
      </c>
      <c r="I85" s="11" t="s">
        <v>21</v>
      </c>
      <c r="J85" s="11" cm="1">
        <f t="array" ref="J85">INDEX(Raw!B:FB, MATCH(J$4, Raw!$A:$A, 0), MATCH(1, (Raw!$B$1:$FB$1=$I85)*(Raw!$B$2:$FB$2=$H85), 0))</f>
        <v>5551000000</v>
      </c>
      <c r="K85" s="11" cm="1">
        <f t="array" ref="K85">INDEX(Raw!C:FC, MATCH(K$4, Raw!$A:$A, 0), MATCH(1, (Raw!$B$1:$FB$1=$I85)*(Raw!$B$2:$FB$2=$H85), 0))</f>
        <v>2235000000</v>
      </c>
      <c r="L85" s="11" cm="1">
        <f t="array" ref="L85">INDEX(Raw!D:FD, MATCH(L$4, Raw!$A:$A, 0), MATCH(1, (Raw!$B$1:$FB$1=$I85)*(Raw!$B$2:$FB$2=$H85), 0))</f>
        <v>4164000000</v>
      </c>
      <c r="M85" s="11" cm="1">
        <f t="array" ref="M85">INDEX(Raw!E:FE, MATCH(M$4, Raw!$A:$A, 0), MATCH(1, (Raw!$B$1:$FB$1=$I85)*(Raw!$B$2:$FB$2=$H85), 0))</f>
        <v>2029000000</v>
      </c>
      <c r="N85" s="11" cm="1">
        <f t="array" ref="N85">INDEX(Raw!F:FF, MATCH(N$4, Raw!$A:$A, 0), MATCH(1, (Raw!$B$1:$FB$1=$I85)*(Raw!$B$2:$FB$2=$H85), 0))</f>
        <v>0</v>
      </c>
      <c r="O85" s="11" cm="1">
        <f t="array" ref="O85">INDEX(Raw!G:FG, MATCH(O$4, Raw!$A:$A, 0), MATCH(1, (Raw!$B$1:$FB$1=$I85)*(Raw!$B$2:$FB$2=$H85), 0))</f>
        <v>2438000000</v>
      </c>
      <c r="P85" s="11" cm="1">
        <f t="array" ref="P85">INDEX(Raw!H:FH, MATCH(P$4, Raw!$A:$A, 0), MATCH(1, (Raw!$B$1:$FB$1=$I85)*(Raw!$B$2:$FB$2=$H85), 0))</f>
        <v>1803000000</v>
      </c>
      <c r="Q85" s="11" cm="1">
        <f t="array" ref="Q85">INDEX(Raw!I:FI, MATCH(Q$4, Raw!$A:$A, 0), MATCH(1, (Raw!$B$1:$FB$1=$I85)*(Raw!$B$2:$FB$2=$H85), 0))</f>
        <v>61000000</v>
      </c>
      <c r="R85" s="11" cm="1">
        <f t="array" ref="R85">INDEX(Raw!J:FJ, MATCH(R$4, Raw!$A:$A, 0), MATCH(1, (Raw!$B$1:$FB$1=$I85)*(Raw!$B$2:$FB$2=$H85), 0))</f>
        <v>1124000000</v>
      </c>
      <c r="S85" s="11" cm="1">
        <f t="array" ref="S85">INDEX(Raw!K:FK, MATCH(S$4, Raw!$A:$A, 0), MATCH(1, (Raw!$B$1:$FB$1=$I85)*(Raw!$B$2:$FB$2=$H85), 0))</f>
        <v>275000000</v>
      </c>
      <c r="T85" s="11" cm="1">
        <f t="array" ref="T85">INDEX(Raw!L:FL, MATCH(T$4, Raw!$A:$A, 0), MATCH(1, (Raw!$B$1:$FB$1=$I85)*(Raw!$B$2:$FB$2=$H85), 0))</f>
        <v>1362000000</v>
      </c>
      <c r="U85" s="11" cm="1">
        <f t="array" ref="U85">INDEX(Raw!M:FM, MATCH(U$4, Raw!$A:$A, 0), MATCH(1, (Raw!$B$1:$FB$1=$I85)*(Raw!$B$2:$FB$2=$H85), 0))</f>
        <v>0</v>
      </c>
      <c r="V85" s="11" cm="1">
        <f t="array" ref="V85">INDEX(Raw!N:FN, MATCH(V$4, Raw!$A:$A, 0), MATCH(1, (Raw!$B$1:$FB$1=$I85)*(Raw!$B$2:$FB$2=$H85), 0))</f>
        <v>930000000</v>
      </c>
      <c r="W85" s="11" cm="1">
        <f t="array" ref="W85">INDEX(Raw!O:FO, MATCH(W$4, Raw!$A:$A, 0), MATCH(1, (Raw!$B$1:$FB$1=$I85)*(Raw!$B$2:$FB$2=$H85), 0))</f>
        <v>0</v>
      </c>
      <c r="X85" s="11" cm="1">
        <f t="array" ref="X85">INDEX(Raw!P:FP, MATCH(X$4, Raw!$A:$A, 0), MATCH(1, (Raw!$B$1:$FB$1=$I85)*(Raw!$B$2:$FB$2=$H85), 0))</f>
        <v>1223000000</v>
      </c>
      <c r="Y85" s="11" cm="1">
        <f t="array" ref="Y85">INDEX(Raw!Q:FQ, MATCH(Y$4, Raw!$A:$A, 0), MATCH(1, (Raw!$B$1:$FB$1=$I85)*(Raw!$B$2:$FB$2=$H85), 0))</f>
        <v>0</v>
      </c>
      <c r="Z85" s="11" cm="1">
        <f t="array" ref="Z85">INDEX(Raw!R:FR, MATCH(Z$4, Raw!$A:$A, 0), MATCH(1, (Raw!$B$1:$FB$1=$I85)*(Raw!$B$2:$FB$2=$H85), 0))</f>
        <v>0</v>
      </c>
      <c r="AA85" s="11" cm="1">
        <f t="array" ref="AA85">INDEX(Raw!S:FS, MATCH(AA$4, Raw!$A:$A, 0), MATCH(1, (Raw!$B$1:$FB$1=$I85)*(Raw!$B$2:$FB$2=$H85), 0))</f>
        <v>0</v>
      </c>
      <c r="AB85" s="11" cm="1">
        <f t="array" ref="AB85">INDEX(Raw!T:FT, MATCH(AB$4, Raw!$A:$A, 0), MATCH(1, (Raw!$B$1:$FB$1=$I85)*(Raw!$B$2:$FB$2=$H85), 0))</f>
        <v>0</v>
      </c>
      <c r="AC85" s="11" cm="1">
        <f t="array" ref="AC85">INDEX(Raw!U:FU, MATCH(AC$4, Raw!$A:$A, 0), MATCH(1, (Raw!$B$1:$FB$1=$I85)*(Raw!$B$2:$FB$2=$H85), 0))</f>
        <v>0.17499999999999999</v>
      </c>
      <c r="AD85" s="11" cm="1">
        <f t="array" ref="AD85">INDEX(Raw!V:FV, MATCH(AD$4, Raw!$A:$A, 0), MATCH(1, (Raw!$B$1:$FB$1=$I85)*(Raw!$B$2:$FB$2=$H85), 0))</f>
        <v>0.05</v>
      </c>
    </row>
    <row r="86" spans="6:30" x14ac:dyDescent="0.25">
      <c r="F86" s="11" t="s">
        <v>28</v>
      </c>
      <c r="G86" s="15">
        <f t="shared" ca="1" si="2"/>
        <v>46088</v>
      </c>
      <c r="H86" s="11">
        <f>H85</f>
        <v>2005</v>
      </c>
      <c r="I86" s="11" t="s">
        <v>22</v>
      </c>
      <c r="J86" s="11" cm="1">
        <f t="array" ref="J86">INDEX(Raw!B:FB, MATCH(J$4, Raw!$A:$A, 0), MATCH(1, (Raw!$B$1:$FB$1=$I86)*(Raw!$B$2:$FB$2=$H86), 0))</f>
        <v>6037000000</v>
      </c>
      <c r="K86" s="11" cm="1">
        <f t="array" ref="K86">INDEX(Raw!C:FC, MATCH(K$4, Raw!$A:$A, 0), MATCH(1, (Raw!$B$1:$FB$1=$I86)*(Raw!$B$2:$FB$2=$H86), 0))</f>
        <v>2146000000</v>
      </c>
      <c r="L86" s="11" cm="1">
        <f t="array" ref="L86">INDEX(Raw!D:FD, MATCH(L$4, Raw!$A:$A, 0), MATCH(1, (Raw!$B$1:$FB$1=$I86)*(Raw!$B$2:$FB$2=$H86), 0))</f>
        <v>3388000000</v>
      </c>
      <c r="M86" s="11" cm="1">
        <f t="array" ref="M86">INDEX(Raw!E:FE, MATCH(M$4, Raw!$A:$A, 0), MATCH(1, (Raw!$B$1:$FB$1=$I86)*(Raw!$B$2:$FB$2=$H86), 0))</f>
        <v>1986000000</v>
      </c>
      <c r="N86" s="11" cm="1">
        <f t="array" ref="N86">INDEX(Raw!F:FF, MATCH(N$4, Raw!$A:$A, 0), MATCH(1, (Raw!$B$1:$FB$1=$I86)*(Raw!$B$2:$FB$2=$H86), 0))</f>
        <v>-392000000</v>
      </c>
      <c r="O86" s="11" cm="1">
        <f t="array" ref="O86">INDEX(Raw!G:FG, MATCH(O$4, Raw!$A:$A, 0), MATCH(1, (Raw!$B$1:$FB$1=$I86)*(Raw!$B$2:$FB$2=$H86), 0))</f>
        <v>2072000000</v>
      </c>
      <c r="P86" s="11" cm="1">
        <f t="array" ref="P86">INDEX(Raw!H:FH, MATCH(P$4, Raw!$A:$A, 0), MATCH(1, (Raw!$B$1:$FB$1=$I86)*(Raw!$B$2:$FB$2=$H86), 0))</f>
        <v>1451000000</v>
      </c>
      <c r="Q86" s="11" cm="1">
        <f t="array" ref="Q86">INDEX(Raw!I:FI, MATCH(Q$4, Raw!$A:$A, 0), MATCH(1, (Raw!$B$1:$FB$1=$I86)*(Raw!$B$2:$FB$2=$H86), 0))</f>
        <v>32000000</v>
      </c>
      <c r="R86" s="11" cm="1">
        <f t="array" ref="R86">INDEX(Raw!J:FJ, MATCH(R$4, Raw!$A:$A, 0), MATCH(1, (Raw!$B$1:$FB$1=$I86)*(Raw!$B$2:$FB$2=$H86), 0))</f>
        <v>1498000000</v>
      </c>
      <c r="S86" s="11" cm="1">
        <f t="array" ref="S86">INDEX(Raw!K:FK, MATCH(S$4, Raw!$A:$A, 0), MATCH(1, (Raw!$B$1:$FB$1=$I86)*(Raw!$B$2:$FB$2=$H86), 0))</f>
        <v>388000000</v>
      </c>
      <c r="T86" s="11" cm="1">
        <f t="array" ref="T86">INDEX(Raw!L:FL, MATCH(T$4, Raw!$A:$A, 0), MATCH(1, (Raw!$B$1:$FB$1=$I86)*(Raw!$B$2:$FB$2=$H86), 0))</f>
        <v>835000000</v>
      </c>
      <c r="U86" s="11" cm="1">
        <f t="array" ref="U86">INDEX(Raw!M:FM, MATCH(U$4, Raw!$A:$A, 0), MATCH(1, (Raw!$B$1:$FB$1=$I86)*(Raw!$B$2:$FB$2=$H86), 0))</f>
        <v>0</v>
      </c>
      <c r="V86" s="11" cm="1">
        <f t="array" ref="V86">INDEX(Raw!N:FN, MATCH(V$4, Raw!$A:$A, 0), MATCH(1, (Raw!$B$1:$FB$1=$I86)*(Raw!$B$2:$FB$2=$H86), 0))</f>
        <v>1091000000</v>
      </c>
      <c r="W86" s="11" cm="1">
        <f t="array" ref="W86">INDEX(Raw!O:FO, MATCH(W$4, Raw!$A:$A, 0), MATCH(1, (Raw!$B$1:$FB$1=$I86)*(Raw!$B$2:$FB$2=$H86), 0))</f>
        <v>0</v>
      </c>
      <c r="X86" s="11" cm="1">
        <f t="array" ref="X86">INDEX(Raw!P:FP, MATCH(X$4, Raw!$A:$A, 0), MATCH(1, (Raw!$B$1:$FB$1=$I86)*(Raw!$B$2:$FB$2=$H86), 0))</f>
        <v>-194000000</v>
      </c>
      <c r="Y86" s="11" cm="1">
        <f t="array" ref="Y86">INDEX(Raw!Q:FQ, MATCH(Y$4, Raw!$A:$A, 0), MATCH(1, (Raw!$B$1:$FB$1=$I86)*(Raw!$B$2:$FB$2=$H86), 0))</f>
        <v>0</v>
      </c>
      <c r="Z86" s="11" cm="1">
        <f t="array" ref="Z86">INDEX(Raw!R:FR, MATCH(Z$4, Raw!$A:$A, 0), MATCH(1, (Raw!$B$1:$FB$1=$I86)*(Raw!$B$2:$FB$2=$H86), 0))</f>
        <v>0</v>
      </c>
      <c r="AA86" s="11" cm="1">
        <f t="array" ref="AA86">INDEX(Raw!S:FS, MATCH(AA$4, Raw!$A:$A, 0), MATCH(1, (Raw!$B$1:$FB$1=$I86)*(Raw!$B$2:$FB$2=$H86), 0))</f>
        <v>0</v>
      </c>
      <c r="AB86" s="11" cm="1">
        <f t="array" ref="AB86">INDEX(Raw!T:FT, MATCH(AB$4, Raw!$A:$A, 0), MATCH(1, (Raw!$B$1:$FB$1=$I86)*(Raw!$B$2:$FB$2=$H86), 0))</f>
        <v>0</v>
      </c>
      <c r="AC86" s="11" cm="1">
        <f t="array" ref="AC86">INDEX(Raw!U:FU, MATCH(AC$4, Raw!$A:$A, 0), MATCH(1, (Raw!$B$1:$FB$1=$I86)*(Raw!$B$2:$FB$2=$H86), 0))</f>
        <v>0.05</v>
      </c>
      <c r="AD86" s="11" cm="1">
        <f t="array" ref="AD86">INDEX(Raw!V:FV, MATCH(AD$4, Raw!$A:$A, 0), MATCH(1, (Raw!$B$1:$FB$1=$I86)*(Raw!$B$2:$FB$2=$H86), 0))</f>
        <v>0.215</v>
      </c>
    </row>
    <row r="87" spans="6:30" x14ac:dyDescent="0.25">
      <c r="F87" s="11" t="s">
        <v>28</v>
      </c>
      <c r="G87" s="15">
        <f t="shared" ca="1" si="2"/>
        <v>46088</v>
      </c>
      <c r="H87" s="11">
        <f>H86</f>
        <v>2005</v>
      </c>
      <c r="I87" s="11" t="s">
        <v>23</v>
      </c>
      <c r="J87" s="11" cm="1">
        <f t="array" ref="J87">INDEX(Raw!B:FB, MATCH(J$4, Raw!$A:$A, 0), MATCH(1, (Raw!$B$1:$FB$1=$I87)*(Raw!$B$2:$FB$2=$H87), 0))</f>
        <v>6310000000</v>
      </c>
      <c r="K87" s="11" cm="1">
        <f t="array" ref="K87">INDEX(Raw!C:FC, MATCH(K$4, Raw!$A:$A, 0), MATCH(1, (Raw!$B$1:$FB$1=$I87)*(Raw!$B$2:$FB$2=$H87), 0))</f>
        <v>1818000000</v>
      </c>
      <c r="L87" s="11" cm="1">
        <f t="array" ref="L87">INDEX(Raw!D:FD, MATCH(L$4, Raw!$A:$A, 0), MATCH(1, (Raw!$B$1:$FB$1=$I87)*(Raw!$B$2:$FB$2=$H87), 0))</f>
        <v>3333000000</v>
      </c>
      <c r="M87" s="11" cm="1">
        <f t="array" ref="M87">INDEX(Raw!E:FE, MATCH(M$4, Raw!$A:$A, 0), MATCH(1, (Raw!$B$1:$FB$1=$I87)*(Raw!$B$2:$FB$2=$H87), 0))</f>
        <v>2046000000</v>
      </c>
      <c r="N87" s="11" cm="1">
        <f t="array" ref="N87">INDEX(Raw!F:FF, MATCH(N$4, Raw!$A:$A, 0), MATCH(1, (Raw!$B$1:$FB$1=$I87)*(Raw!$B$2:$FB$2=$H87), 0))</f>
        <v>-88000000</v>
      </c>
      <c r="O87" s="11" cm="1">
        <f t="array" ref="O87">INDEX(Raw!G:FG, MATCH(O$4, Raw!$A:$A, 0), MATCH(1, (Raw!$B$1:$FB$1=$I87)*(Raw!$B$2:$FB$2=$H87), 0))</f>
        <v>1874000000</v>
      </c>
      <c r="P87" s="11" cm="1">
        <f t="array" ref="P87">INDEX(Raw!H:FH, MATCH(P$4, Raw!$A:$A, 0), MATCH(1, (Raw!$B$1:$FB$1=$I87)*(Raw!$B$2:$FB$2=$H87), 0))</f>
        <v>1092000000</v>
      </c>
      <c r="Q87" s="11" cm="1">
        <f t="array" ref="Q87">INDEX(Raw!I:FI, MATCH(Q$4, Raw!$A:$A, 0), MATCH(1, (Raw!$B$1:$FB$1=$I87)*(Raw!$B$2:$FB$2=$H87), 0))</f>
        <v>47000000</v>
      </c>
      <c r="R87" s="11" cm="1">
        <f t="array" ref="R87">INDEX(Raw!J:FJ, MATCH(R$4, Raw!$A:$A, 0), MATCH(1, (Raw!$B$1:$FB$1=$I87)*(Raw!$B$2:$FB$2=$H87), 0))</f>
        <v>1750000000</v>
      </c>
      <c r="S87" s="11" cm="1">
        <f t="array" ref="S87">INDEX(Raw!K:FK, MATCH(S$4, Raw!$A:$A, 0), MATCH(1, (Raw!$B$1:$FB$1=$I87)*(Raw!$B$2:$FB$2=$H87), 0))</f>
        <v>288000000</v>
      </c>
      <c r="T87" s="11" cm="1">
        <f t="array" ref="T87">INDEX(Raw!L:FL, MATCH(T$4, Raw!$A:$A, 0), MATCH(1, (Raw!$B$1:$FB$1=$I87)*(Raw!$B$2:$FB$2=$H87), 0))</f>
        <v>930000000</v>
      </c>
      <c r="U87" s="11" cm="1">
        <f t="array" ref="U87">INDEX(Raw!M:FM, MATCH(U$4, Raw!$A:$A, 0), MATCH(1, (Raw!$B$1:$FB$1=$I87)*(Raw!$B$2:$FB$2=$H87), 0))</f>
        <v>0</v>
      </c>
      <c r="V87" s="11" cm="1">
        <f t="array" ref="V87">INDEX(Raw!N:FN, MATCH(V$4, Raw!$A:$A, 0), MATCH(1, (Raw!$B$1:$FB$1=$I87)*(Raw!$B$2:$FB$2=$H87), 0))</f>
        <v>1223000000</v>
      </c>
      <c r="W87" s="11" cm="1">
        <f t="array" ref="W87">INDEX(Raw!O:FO, MATCH(W$4, Raw!$A:$A, 0), MATCH(1, (Raw!$B$1:$FB$1=$I87)*(Raw!$B$2:$FB$2=$H87), 0))</f>
        <v>0</v>
      </c>
      <c r="X87" s="11" cm="1">
        <f t="array" ref="X87">INDEX(Raw!P:FP, MATCH(X$4, Raw!$A:$A, 0), MATCH(1, (Raw!$B$1:$FB$1=$I87)*(Raw!$B$2:$FB$2=$H87), 0))</f>
        <v>914000000</v>
      </c>
      <c r="Y87" s="11" cm="1">
        <f t="array" ref="Y87">INDEX(Raw!Q:FQ, MATCH(Y$4, Raw!$A:$A, 0), MATCH(1, (Raw!$B$1:$FB$1=$I87)*(Raw!$B$2:$FB$2=$H87), 0))</f>
        <v>0</v>
      </c>
      <c r="Z87" s="11" cm="1">
        <f t="array" ref="Z87">INDEX(Raw!R:FR, MATCH(Z$4, Raw!$A:$A, 0), MATCH(1, (Raw!$B$1:$FB$1=$I87)*(Raw!$B$2:$FB$2=$H87), 0))</f>
        <v>0</v>
      </c>
      <c r="AA87" s="11" cm="1">
        <f t="array" ref="AA87">INDEX(Raw!S:FS, MATCH(AA$4, Raw!$A:$A, 0), MATCH(1, (Raw!$B$1:$FB$1=$I87)*(Raw!$B$2:$FB$2=$H87), 0))</f>
        <v>0</v>
      </c>
      <c r="AB87" s="11" cm="1">
        <f t="array" ref="AB87">INDEX(Raw!T:FT, MATCH(AB$4, Raw!$A:$A, 0), MATCH(1, (Raw!$B$1:$FB$1=$I87)*(Raw!$B$2:$FB$2=$H87), 0))</f>
        <v>0</v>
      </c>
      <c r="AC87" s="11" cm="1">
        <f t="array" ref="AC87">INDEX(Raw!U:FU, MATCH(AC$4, Raw!$A:$A, 0), MATCH(1, (Raw!$B$1:$FB$1=$I87)*(Raw!$B$2:$FB$2=$H87), 0))</f>
        <v>0.215</v>
      </c>
      <c r="AD87" s="11" cm="1">
        <f t="array" ref="AD87">INDEX(Raw!V:FV, MATCH(AD$4, Raw!$A:$A, 0), MATCH(1, (Raw!$B$1:$FB$1=$I87)*(Raw!$B$2:$FB$2=$H87), 0))</f>
        <v>0.185</v>
      </c>
    </row>
    <row r="88" spans="6:30" x14ac:dyDescent="0.25">
      <c r="F88" s="11" t="s">
        <v>28</v>
      </c>
      <c r="G88" s="15">
        <f t="shared" ca="1" si="2"/>
        <v>46088</v>
      </c>
      <c r="H88" s="11">
        <f>H87</f>
        <v>2005</v>
      </c>
      <c r="I88" s="11" t="s">
        <v>24</v>
      </c>
      <c r="J88" s="11" cm="1">
        <f t="array" ref="J88">INDEX(Raw!B:FB, MATCH(J$4, Raw!$A:$A, 0), MATCH(1, (Raw!$B$1:$FB$1=$I88)*(Raw!$B$2:$FB$2=$H88), 0))</f>
        <v>5206000000</v>
      </c>
      <c r="K88" s="11" cm="1">
        <f t="array" ref="K88">INDEX(Raw!C:FC, MATCH(K$4, Raw!$A:$A, 0), MATCH(1, (Raw!$B$1:$FB$1=$I88)*(Raw!$B$2:$FB$2=$H88), 0))</f>
        <v>1821000000</v>
      </c>
      <c r="L88" s="11" cm="1">
        <f t="array" ref="L88">INDEX(Raw!D:FD, MATCH(L$4, Raw!$A:$A, 0), MATCH(1, (Raw!$B$1:$FB$1=$I88)*(Raw!$B$2:$FB$2=$H88), 0))</f>
        <v>3535000000</v>
      </c>
      <c r="M88" s="11" cm="1">
        <f t="array" ref="M88">INDEX(Raw!E:FE, MATCH(M$4, Raw!$A:$A, 0), MATCH(1, (Raw!$B$1:$FB$1=$I88)*(Raw!$B$2:$FB$2=$H88), 0))</f>
        <v>1984000000</v>
      </c>
      <c r="N88" s="11" cm="1">
        <f t="array" ref="N88">INDEX(Raw!F:FF, MATCH(N$4, Raw!$A:$A, 0), MATCH(1, (Raw!$B$1:$FB$1=$I88)*(Raw!$B$2:$FB$2=$H88), 0))</f>
        <v>0</v>
      </c>
      <c r="O88" s="11" cm="1">
        <f t="array" ref="O88">INDEX(Raw!G:FG, MATCH(O$4, Raw!$A:$A, 0), MATCH(1, (Raw!$B$1:$FB$1=$I88)*(Raw!$B$2:$FB$2=$H88), 0))</f>
        <v>2033000000</v>
      </c>
      <c r="P88" s="11" cm="1">
        <f t="array" ref="P88">INDEX(Raw!H:FH, MATCH(P$4, Raw!$A:$A, 0), MATCH(1, (Raw!$B$1:$FB$1=$I88)*(Raw!$B$2:$FB$2=$H88), 0))</f>
        <v>1451000000</v>
      </c>
      <c r="Q88" s="11" cm="1">
        <f t="array" ref="Q88">INDEX(Raw!I:FI, MATCH(Q$4, Raw!$A:$A, 0), MATCH(1, (Raw!$B$1:$FB$1=$I88)*(Raw!$B$2:$FB$2=$H88), 0))</f>
        <v>148000000</v>
      </c>
      <c r="R88" s="11" cm="1">
        <f t="array" ref="R88">INDEX(Raw!J:FJ, MATCH(R$4, Raw!$A:$A, 0), MATCH(1, (Raw!$B$1:$FB$1=$I88)*(Raw!$B$2:$FB$2=$H88), 0))</f>
        <v>1123000000</v>
      </c>
      <c r="S88" s="11" cm="1">
        <f t="array" ref="S88">INDEX(Raw!K:FK, MATCH(S$4, Raw!$A:$A, 0), MATCH(1, (Raw!$B$1:$FB$1=$I88)*(Raw!$B$2:$FB$2=$H88), 0))</f>
        <v>343000000</v>
      </c>
      <c r="T88" s="11" cm="1">
        <f t="array" ref="T88">INDEX(Raw!L:FL, MATCH(T$4, Raw!$A:$A, 0), MATCH(1, (Raw!$B$1:$FB$1=$I88)*(Raw!$B$2:$FB$2=$H88), 0))</f>
        <v>1091000000</v>
      </c>
      <c r="U88" s="11" cm="1">
        <f t="array" ref="U88">INDEX(Raw!M:FM, MATCH(U$4, Raw!$A:$A, 0), MATCH(1, (Raw!$B$1:$FB$1=$I88)*(Raw!$B$2:$FB$2=$H88), 0))</f>
        <v>0</v>
      </c>
      <c r="V88" s="11" cm="1">
        <f t="array" ref="V88">INDEX(Raw!N:FN, MATCH(V$4, Raw!$A:$A, 0), MATCH(1, (Raw!$B$1:$FB$1=$I88)*(Raw!$B$2:$FB$2=$H88), 0))</f>
        <v>732000000</v>
      </c>
      <c r="W88" s="11" cm="1">
        <f t="array" ref="W88">INDEX(Raw!O:FO, MATCH(W$4, Raw!$A:$A, 0), MATCH(1, (Raw!$B$1:$FB$1=$I88)*(Raw!$B$2:$FB$2=$H88), 0))</f>
        <v>0</v>
      </c>
      <c r="X88" s="11" cm="1">
        <f t="array" ref="X88">INDEX(Raw!P:FP, MATCH(X$4, Raw!$A:$A, 0), MATCH(1, (Raw!$B$1:$FB$1=$I88)*(Raw!$B$2:$FB$2=$H88), 0))</f>
        <v>1074000000</v>
      </c>
      <c r="Y88" s="11" cm="1">
        <f t="array" ref="Y88">INDEX(Raw!Q:FQ, MATCH(Y$4, Raw!$A:$A, 0), MATCH(1, (Raw!$B$1:$FB$1=$I88)*(Raw!$B$2:$FB$2=$H88), 0))</f>
        <v>0</v>
      </c>
      <c r="Z88" s="11" cm="1">
        <f t="array" ref="Z88">INDEX(Raw!R:FR, MATCH(Z$4, Raw!$A:$A, 0), MATCH(1, (Raw!$B$1:$FB$1=$I88)*(Raw!$B$2:$FB$2=$H88), 0))</f>
        <v>0</v>
      </c>
      <c r="AA88" s="11" cm="1">
        <f t="array" ref="AA88">INDEX(Raw!S:FS, MATCH(AA$4, Raw!$A:$A, 0), MATCH(1, (Raw!$B$1:$FB$1=$I88)*(Raw!$B$2:$FB$2=$H88), 0))</f>
        <v>0</v>
      </c>
      <c r="AB88" s="11" cm="1">
        <f t="array" ref="AB88">INDEX(Raw!T:FT, MATCH(AB$4, Raw!$A:$A, 0), MATCH(1, (Raw!$B$1:$FB$1=$I88)*(Raw!$B$2:$FB$2=$H88), 0))</f>
        <v>0</v>
      </c>
      <c r="AC88" s="11" cm="1">
        <f t="array" ref="AC88">INDEX(Raw!U:FU, MATCH(AC$4, Raw!$A:$A, 0), MATCH(1, (Raw!$B$1:$FB$1=$I88)*(Raw!$B$2:$FB$2=$H88), 0))</f>
        <v>0.185</v>
      </c>
      <c r="AD88" s="11" cm="1">
        <f t="array" ref="AD88">INDEX(Raw!V:FV, MATCH(AD$4, Raw!$A:$A, 0), MATCH(1, (Raw!$B$1:$FB$1=$I88)*(Raw!$B$2:$FB$2=$H88), 0))</f>
        <v>-0.01</v>
      </c>
    </row>
    <row r="89" spans="6:30" x14ac:dyDescent="0.25">
      <c r="F89" s="11" t="s">
        <v>28</v>
      </c>
      <c r="G89" s="15">
        <f t="shared" ca="1" si="2"/>
        <v>46088</v>
      </c>
      <c r="H89" s="11">
        <f>H85-1</f>
        <v>2004</v>
      </c>
      <c r="I89" s="11" t="s">
        <v>21</v>
      </c>
      <c r="J89" s="11" cm="1">
        <f t="array" ref="J89">INDEX(Raw!B:FB, MATCH(J$4, Raw!$A:$A, 0), MATCH(1, (Raw!$B$1:$FB$1=$I89)*(Raw!$B$2:$FB$2=$H89), 0))</f>
        <v>5154000000</v>
      </c>
      <c r="K89" s="11" cm="1">
        <f t="array" ref="K89">INDEX(Raw!C:FC, MATCH(K$4, Raw!$A:$A, 0), MATCH(1, (Raw!$B$1:$FB$1=$I89)*(Raw!$B$2:$FB$2=$H89), 0))</f>
        <v>2061000000</v>
      </c>
      <c r="L89" s="11" cm="1">
        <f t="array" ref="L89">INDEX(Raw!D:FD, MATCH(L$4, Raw!$A:$A, 0), MATCH(1, (Raw!$B$1:$FB$1=$I89)*(Raw!$B$2:$FB$2=$H89), 0))</f>
        <v>3875000000</v>
      </c>
      <c r="M89" s="11" cm="1">
        <f t="array" ref="M89">INDEX(Raw!E:FE, MATCH(M$4, Raw!$A:$A, 0), MATCH(1, (Raw!$B$1:$FB$1=$I89)*(Raw!$B$2:$FB$2=$H89), 0))</f>
        <v>1874000000</v>
      </c>
      <c r="N89" s="11" cm="1">
        <f t="array" ref="N89">INDEX(Raw!F:FF, MATCH(N$4, Raw!$A:$A, 0), MATCH(1, (Raw!$B$1:$FB$1=$I89)*(Raw!$B$2:$FB$2=$H89), 0))</f>
        <v>-289000000</v>
      </c>
      <c r="O89" s="11" cm="1">
        <f t="array" ref="O89">INDEX(Raw!G:FG, MATCH(O$4, Raw!$A:$A, 0), MATCH(1, (Raw!$B$1:$FB$1=$I89)*(Raw!$B$2:$FB$2=$H89), 0))</f>
        <v>2052000000</v>
      </c>
      <c r="P89" s="11" cm="1">
        <f t="array" ref="P89">INDEX(Raw!H:FH, MATCH(P$4, Raw!$A:$A, 0), MATCH(1, (Raw!$B$1:$FB$1=$I89)*(Raw!$B$2:$FB$2=$H89), 0))</f>
        <v>1602000000</v>
      </c>
      <c r="Q89" s="11" cm="1">
        <f t="array" ref="Q89">INDEX(Raw!I:FI, MATCH(Q$4, Raw!$A:$A, 0), MATCH(1, (Raw!$B$1:$FB$1=$I89)*(Raw!$B$2:$FB$2=$H89), 0))</f>
        <v>47000000</v>
      </c>
      <c r="R89" s="11" cm="1">
        <f t="array" ref="R89">INDEX(Raw!J:FJ, MATCH(R$4, Raw!$A:$A, 0), MATCH(1, (Raw!$B$1:$FB$1=$I89)*(Raw!$B$2:$FB$2=$H89), 0))</f>
        <v>1273000000</v>
      </c>
      <c r="S89" s="11" cm="1">
        <f t="array" ref="S89">INDEX(Raw!K:FK, MATCH(S$4, Raw!$A:$A, 0), MATCH(1, (Raw!$B$1:$FB$1=$I89)*(Raw!$B$2:$FB$2=$H89), 0))</f>
        <v>404000000</v>
      </c>
      <c r="T89" s="11" cm="1">
        <f t="array" ref="T89">INDEX(Raw!L:FL, MATCH(T$4, Raw!$A:$A, 0), MATCH(1, (Raw!$B$1:$FB$1=$I89)*(Raw!$B$2:$FB$2=$H89), 0))</f>
        <v>1223000000</v>
      </c>
      <c r="U89" s="11" cm="1">
        <f t="array" ref="U89">INDEX(Raw!M:FM, MATCH(U$4, Raw!$A:$A, 0), MATCH(1, (Raw!$B$1:$FB$1=$I89)*(Raw!$B$2:$FB$2=$H89), 0))</f>
        <v>0</v>
      </c>
      <c r="V89" s="11" cm="1">
        <f t="array" ref="V89">INDEX(Raw!N:FN, MATCH(V$4, Raw!$A:$A, 0), MATCH(1, (Raw!$B$1:$FB$1=$I89)*(Raw!$B$2:$FB$2=$H89), 0))</f>
        <v>914000000</v>
      </c>
      <c r="W89" s="11" cm="1">
        <f t="array" ref="W89">INDEX(Raw!O:FO, MATCH(W$4, Raw!$A:$A, 0), MATCH(1, (Raw!$B$1:$FB$1=$I89)*(Raw!$B$2:$FB$2=$H89), 0))</f>
        <v>0</v>
      </c>
      <c r="X89" s="11" cm="1">
        <f t="array" ref="X89">INDEX(Raw!P:FP, MATCH(X$4, Raw!$A:$A, 0), MATCH(1, (Raw!$B$1:$FB$1=$I89)*(Raw!$B$2:$FB$2=$H89), 0))</f>
        <v>1118000000</v>
      </c>
      <c r="Y89" s="11" cm="1">
        <f t="array" ref="Y89">INDEX(Raw!Q:FQ, MATCH(Y$4, Raw!$A:$A, 0), MATCH(1, (Raw!$B$1:$FB$1=$I89)*(Raw!$B$2:$FB$2=$H89), 0))</f>
        <v>0</v>
      </c>
      <c r="Z89" s="11" cm="1">
        <f t="array" ref="Z89">INDEX(Raw!R:FR, MATCH(Z$4, Raw!$A:$A, 0), MATCH(1, (Raw!$B$1:$FB$1=$I89)*(Raw!$B$2:$FB$2=$H89), 0))</f>
        <v>0</v>
      </c>
      <c r="AA89" s="11" cm="1">
        <f t="array" ref="AA89">INDEX(Raw!S:FS, MATCH(AA$4, Raw!$A:$A, 0), MATCH(1, (Raw!$B$1:$FB$1=$I89)*(Raw!$B$2:$FB$2=$H89), 0))</f>
        <v>0</v>
      </c>
      <c r="AB89" s="11" cm="1">
        <f t="array" ref="AB89">INDEX(Raw!T:FT, MATCH(AB$4, Raw!$A:$A, 0), MATCH(1, (Raw!$B$1:$FB$1=$I89)*(Raw!$B$2:$FB$2=$H89), 0))</f>
        <v>0</v>
      </c>
      <c r="AC89" s="11" cm="1">
        <f t="array" ref="AC89">INDEX(Raw!U:FU, MATCH(AC$4, Raw!$A:$A, 0), MATCH(1, (Raw!$B$1:$FB$1=$I89)*(Raw!$B$2:$FB$2=$H89), 0))</f>
        <v>-0.01</v>
      </c>
      <c r="AD89" s="11" cm="1">
        <f t="array" ref="AD89">INDEX(Raw!V:FV, MATCH(AD$4, Raw!$A:$A, 0), MATCH(1, (Raw!$B$1:$FB$1=$I89)*(Raw!$B$2:$FB$2=$H89), 0))</f>
        <v>-0.01</v>
      </c>
    </row>
    <row r="90" spans="6:30" x14ac:dyDescent="0.25">
      <c r="F90" s="11" t="s">
        <v>28</v>
      </c>
      <c r="G90" s="15">
        <f t="shared" ca="1" si="2"/>
        <v>46088</v>
      </c>
      <c r="H90" s="11">
        <f>H89</f>
        <v>2004</v>
      </c>
      <c r="I90" s="11" t="s">
        <v>22</v>
      </c>
      <c r="J90" s="11" cm="1">
        <f t="array" ref="J90">INDEX(Raw!B:FB, MATCH(J$4, Raw!$A:$A, 0), MATCH(1, (Raw!$B$1:$FB$1=$I90)*(Raw!$B$2:$FB$2=$H90), 0))</f>
        <v>5596000000</v>
      </c>
      <c r="K90" s="11" cm="1">
        <f t="array" ref="K90">INDEX(Raw!C:FC, MATCH(K$4, Raw!$A:$A, 0), MATCH(1, (Raw!$B$1:$FB$1=$I90)*(Raw!$B$2:$FB$2=$H90), 0))</f>
        <v>2039000000</v>
      </c>
      <c r="L90" s="11" cm="1">
        <f t="array" ref="L90">INDEX(Raw!D:FD, MATCH(L$4, Raw!$A:$A, 0), MATCH(1, (Raw!$B$1:$FB$1=$I90)*(Raw!$B$2:$FB$2=$H90), 0))</f>
        <v>3325000000</v>
      </c>
      <c r="M90" s="11" cm="1">
        <f t="array" ref="M90">INDEX(Raw!E:FE, MATCH(M$4, Raw!$A:$A, 0), MATCH(1, (Raw!$B$1:$FB$1=$I90)*(Raw!$B$2:$FB$2=$H90), 0))</f>
        <v>1744000000</v>
      </c>
      <c r="N90" s="11" cm="1">
        <f t="array" ref="N90">INDEX(Raw!F:FF, MATCH(N$4, Raw!$A:$A, 0), MATCH(1, (Raw!$B$1:$FB$1=$I90)*(Raw!$B$2:$FB$2=$H90), 0))</f>
        <v>-55000000</v>
      </c>
      <c r="O90" s="11" cm="1">
        <f t="array" ref="O90">INDEX(Raw!G:FG, MATCH(O$4, Raw!$A:$A, 0), MATCH(1, (Raw!$B$1:$FB$1=$I90)*(Raw!$B$2:$FB$2=$H90), 0))</f>
        <v>1966000000</v>
      </c>
      <c r="P90" s="11" cm="1">
        <f t="array" ref="P90">INDEX(Raw!H:FH, MATCH(P$4, Raw!$A:$A, 0), MATCH(1, (Raw!$B$1:$FB$1=$I90)*(Raw!$B$2:$FB$2=$H90), 0))</f>
        <v>1076000000</v>
      </c>
      <c r="Q90" s="11" cm="1">
        <f t="array" ref="Q90">INDEX(Raw!I:FI, MATCH(Q$4, Raw!$A:$A, 0), MATCH(1, (Raw!$B$1:$FB$1=$I90)*(Raw!$B$2:$FB$2=$H90), 0))</f>
        <v>-17000000</v>
      </c>
      <c r="R90" s="11" cm="1">
        <f t="array" ref="R90">INDEX(Raw!J:FJ, MATCH(R$4, Raw!$A:$A, 0), MATCH(1, (Raw!$B$1:$FB$1=$I90)*(Raw!$B$2:$FB$2=$H90), 0))</f>
        <v>1495000000</v>
      </c>
      <c r="S90" s="11" cm="1">
        <f t="array" ref="S90">INDEX(Raw!K:FK, MATCH(S$4, Raw!$A:$A, 0), MATCH(1, (Raw!$B$1:$FB$1=$I90)*(Raw!$B$2:$FB$2=$H90), 0))</f>
        <v>452000000</v>
      </c>
      <c r="T90" s="11" cm="1">
        <f t="array" ref="T90">INDEX(Raw!L:FL, MATCH(T$4, Raw!$A:$A, 0), MATCH(1, (Raw!$B$1:$FB$1=$I90)*(Raw!$B$2:$FB$2=$H90), 0))</f>
        <v>732000000</v>
      </c>
      <c r="U90" s="11" cm="1">
        <f t="array" ref="U90">INDEX(Raw!M:FM, MATCH(U$4, Raw!$A:$A, 0), MATCH(1, (Raw!$B$1:$FB$1=$I90)*(Raw!$B$2:$FB$2=$H90), 0))</f>
        <v>0</v>
      </c>
      <c r="V90" s="11" cm="1">
        <f t="array" ref="V90">INDEX(Raw!N:FN, MATCH(V$4, Raw!$A:$A, 0), MATCH(1, (Raw!$B$1:$FB$1=$I90)*(Raw!$B$2:$FB$2=$H90), 0))</f>
        <v>1074000000</v>
      </c>
      <c r="W90" s="11" cm="1">
        <f t="array" ref="W90">INDEX(Raw!O:FO, MATCH(W$4, Raw!$A:$A, 0), MATCH(1, (Raw!$B$1:$FB$1=$I90)*(Raw!$B$2:$FB$2=$H90), 0))</f>
        <v>0</v>
      </c>
      <c r="X90" s="11" cm="1">
        <f t="array" ref="X90">INDEX(Raw!P:FP, MATCH(X$4, Raw!$A:$A, 0), MATCH(1, (Raw!$B$1:$FB$1=$I90)*(Raw!$B$2:$FB$2=$H90), 0))</f>
        <v>863000000</v>
      </c>
      <c r="Y90" s="11" cm="1">
        <f t="array" ref="Y90">INDEX(Raw!Q:FQ, MATCH(Y$4, Raw!$A:$A, 0), MATCH(1, (Raw!$B$1:$FB$1=$I90)*(Raw!$B$2:$FB$2=$H90), 0))</f>
        <v>0</v>
      </c>
      <c r="Z90" s="11" cm="1">
        <f t="array" ref="Z90">INDEX(Raw!R:FR, MATCH(Z$4, Raw!$A:$A, 0), MATCH(1, (Raw!$B$1:$FB$1=$I90)*(Raw!$B$2:$FB$2=$H90), 0))</f>
        <v>0</v>
      </c>
      <c r="AA90" s="11" cm="1">
        <f t="array" ref="AA90">INDEX(Raw!S:FS, MATCH(AA$4, Raw!$A:$A, 0), MATCH(1, (Raw!$B$1:$FB$1=$I90)*(Raw!$B$2:$FB$2=$H90), 0))</f>
        <v>0</v>
      </c>
      <c r="AB90" s="11" cm="1">
        <f t="array" ref="AB90">INDEX(Raw!T:FT, MATCH(AB$4, Raw!$A:$A, 0), MATCH(1, (Raw!$B$1:$FB$1=$I90)*(Raw!$B$2:$FB$2=$H90), 0))</f>
        <v>0</v>
      </c>
      <c r="AC90" s="11" cm="1">
        <f t="array" ref="AC90">INDEX(Raw!U:FU, MATCH(AC$4, Raw!$A:$A, 0), MATCH(1, (Raw!$B$1:$FB$1=$I90)*(Raw!$B$2:$FB$2=$H90), 0))</f>
        <v>-0.01</v>
      </c>
      <c r="AD90" s="11" cm="1">
        <f t="array" ref="AD90">INDEX(Raw!V:FV, MATCH(AD$4, Raw!$A:$A, 0), MATCH(1, (Raw!$B$1:$FB$1=$I90)*(Raw!$B$2:$FB$2=$H90), 0))</f>
        <v>0.16</v>
      </c>
    </row>
    <row r="91" spans="6:30" x14ac:dyDescent="0.25">
      <c r="F91" s="11" t="s">
        <v>28</v>
      </c>
      <c r="G91" s="15">
        <f t="shared" ca="1" si="2"/>
        <v>46088</v>
      </c>
      <c r="H91" s="11">
        <f>H90</f>
        <v>2004</v>
      </c>
      <c r="I91" s="11" t="s">
        <v>23</v>
      </c>
      <c r="J91" s="11" cm="1">
        <f t="array" ref="J91">INDEX(Raw!B:FB, MATCH(J$4, Raw!$A:$A, 0), MATCH(1, (Raw!$B$1:$FB$1=$I91)*(Raw!$B$2:$FB$2=$H91), 0))</f>
        <v>5914000000</v>
      </c>
      <c r="K91" s="11" cm="1">
        <f t="array" ref="K91">INDEX(Raw!C:FC, MATCH(K$4, Raw!$A:$A, 0), MATCH(1, (Raw!$B$1:$FB$1=$I91)*(Raw!$B$2:$FB$2=$H91), 0))</f>
        <v>1753000000</v>
      </c>
      <c r="L91" s="11" cm="1">
        <f t="array" ref="L91">INDEX(Raw!D:FD, MATCH(L$4, Raw!$A:$A, 0), MATCH(1, (Raw!$B$1:$FB$1=$I91)*(Raw!$B$2:$FB$2=$H91), 0))</f>
        <v>3125000000</v>
      </c>
      <c r="M91" s="11" cm="1">
        <f t="array" ref="M91">INDEX(Raw!E:FE, MATCH(M$4, Raw!$A:$A, 0), MATCH(1, (Raw!$B$1:$FB$1=$I91)*(Raw!$B$2:$FB$2=$H91), 0))</f>
        <v>1997000000</v>
      </c>
      <c r="N91" s="11" cm="1">
        <f t="array" ref="N91">INDEX(Raw!F:FF, MATCH(N$4, Raw!$A:$A, 0), MATCH(1, (Raw!$B$1:$FB$1=$I91)*(Raw!$B$2:$FB$2=$H91), 0))</f>
        <v>-70000000</v>
      </c>
      <c r="O91" s="11" cm="1">
        <f t="array" ref="O91">INDEX(Raw!G:FG, MATCH(O$4, Raw!$A:$A, 0), MATCH(1, (Raw!$B$1:$FB$1=$I91)*(Raw!$B$2:$FB$2=$H91), 0))</f>
        <v>1809000000</v>
      </c>
      <c r="P91" s="11" cm="1">
        <f t="array" ref="P91">INDEX(Raw!H:FH, MATCH(P$4, Raw!$A:$A, 0), MATCH(1, (Raw!$B$1:$FB$1=$I91)*(Raw!$B$2:$FB$2=$H91), 0))</f>
        <v>1290000000</v>
      </c>
      <c r="Q91" s="11" cm="1">
        <f t="array" ref="Q91">INDEX(Raw!I:FI, MATCH(Q$4, Raw!$A:$A, 0), MATCH(1, (Raw!$B$1:$FB$1=$I91)*(Raw!$B$2:$FB$2=$H91), 0))</f>
        <v>45000000</v>
      </c>
      <c r="R91" s="11" cm="1">
        <f t="array" ref="R91">INDEX(Raw!J:FJ, MATCH(R$4, Raw!$A:$A, 0), MATCH(1, (Raw!$B$1:$FB$1=$I91)*(Raw!$B$2:$FB$2=$H91), 0))</f>
        <v>1675000000</v>
      </c>
      <c r="S91" s="11" cm="1">
        <f t="array" ref="S91">INDEX(Raw!K:FK, MATCH(S$4, Raw!$A:$A, 0), MATCH(1, (Raw!$B$1:$FB$1=$I91)*(Raw!$B$2:$FB$2=$H91), 0))</f>
        <v>324000000</v>
      </c>
      <c r="T91" s="11" cm="1">
        <f t="array" ref="T91">INDEX(Raw!L:FL, MATCH(T$4, Raw!$A:$A, 0), MATCH(1, (Raw!$B$1:$FB$1=$I91)*(Raw!$B$2:$FB$2=$H91), 0))</f>
        <v>914000000</v>
      </c>
      <c r="U91" s="11" cm="1">
        <f t="array" ref="U91">INDEX(Raw!M:FM, MATCH(U$4, Raw!$A:$A, 0), MATCH(1, (Raw!$B$1:$FB$1=$I91)*(Raw!$B$2:$FB$2=$H91), 0))</f>
        <v>0</v>
      </c>
      <c r="V91" s="11" cm="1">
        <f t="array" ref="V91">INDEX(Raw!N:FN, MATCH(V$4, Raw!$A:$A, 0), MATCH(1, (Raw!$B$1:$FB$1=$I91)*(Raw!$B$2:$FB$2=$H91), 0))</f>
        <v>1118000000</v>
      </c>
      <c r="W91" s="11" cm="1">
        <f t="array" ref="W91">INDEX(Raw!O:FO, MATCH(W$4, Raw!$A:$A, 0), MATCH(1, (Raw!$B$1:$FB$1=$I91)*(Raw!$B$2:$FB$2=$H91), 0))</f>
        <v>0</v>
      </c>
      <c r="X91" s="11" cm="1">
        <f t="array" ref="X91">INDEX(Raw!P:FP, MATCH(X$4, Raw!$A:$A, 0), MATCH(1, (Raw!$B$1:$FB$1=$I91)*(Raw!$B$2:$FB$2=$H91), 0))</f>
        <v>242000000</v>
      </c>
      <c r="Y91" s="11" cm="1">
        <f t="array" ref="Y91">INDEX(Raw!Q:FQ, MATCH(Y$4, Raw!$A:$A, 0), MATCH(1, (Raw!$B$1:$FB$1=$I91)*(Raw!$B$2:$FB$2=$H91), 0))</f>
        <v>0</v>
      </c>
      <c r="Z91" s="11" cm="1">
        <f t="array" ref="Z91">INDEX(Raw!R:FR, MATCH(Z$4, Raw!$A:$A, 0), MATCH(1, (Raw!$B$1:$FB$1=$I91)*(Raw!$B$2:$FB$2=$H91), 0))</f>
        <v>0</v>
      </c>
      <c r="AA91" s="11" cm="1">
        <f t="array" ref="AA91">INDEX(Raw!S:FS, MATCH(AA$4, Raw!$A:$A, 0), MATCH(1, (Raw!$B$1:$FB$1=$I91)*(Raw!$B$2:$FB$2=$H91), 0))</f>
        <v>0</v>
      </c>
      <c r="AB91" s="11" cm="1">
        <f t="array" ref="AB91">INDEX(Raw!T:FT, MATCH(AB$4, Raw!$A:$A, 0), MATCH(1, (Raw!$B$1:$FB$1=$I91)*(Raw!$B$2:$FB$2=$H91), 0))</f>
        <v>0</v>
      </c>
      <c r="AC91" s="11" cm="1">
        <f t="array" ref="AC91">INDEX(Raw!U:FU, MATCH(AC$4, Raw!$A:$A, 0), MATCH(1, (Raw!$B$1:$FB$1=$I91)*(Raw!$B$2:$FB$2=$H91), 0))</f>
        <v>0.16</v>
      </c>
      <c r="AD91" s="11" cm="1">
        <f t="array" ref="AD91">INDEX(Raw!V:FV, MATCH(AD$4, Raw!$A:$A, 0), MATCH(1, (Raw!$B$1:$FB$1=$I91)*(Raw!$B$2:$FB$2=$H91), 0))</f>
        <v>0.19</v>
      </c>
    </row>
    <row r="92" spans="6:30" x14ac:dyDescent="0.25">
      <c r="F92" s="11" t="s">
        <v>28</v>
      </c>
      <c r="G92" s="15">
        <f t="shared" ca="1" si="2"/>
        <v>46088</v>
      </c>
      <c r="H92" s="11">
        <f>H91</f>
        <v>2004</v>
      </c>
      <c r="I92" s="11" t="s">
        <v>24</v>
      </c>
      <c r="J92" s="11" cm="1">
        <f t="array" ref="J92">INDEX(Raw!B:FB, MATCH(J$4, Raw!$A:$A, 0), MATCH(1, (Raw!$B$1:$FB$1=$I92)*(Raw!$B$2:$FB$2=$H92), 0))</f>
        <v>5078000000</v>
      </c>
      <c r="K92" s="11" cm="1">
        <f t="array" ref="K92">INDEX(Raw!C:FC, MATCH(K$4, Raw!$A:$A, 0), MATCH(1, (Raw!$B$1:$FB$1=$I92)*(Raw!$B$2:$FB$2=$H92), 0))</f>
        <v>1864000000</v>
      </c>
      <c r="L92" s="11" cm="1">
        <f t="array" ref="L92">INDEX(Raw!D:FD, MATCH(L$4, Raw!$A:$A, 0), MATCH(1, (Raw!$B$1:$FB$1=$I92)*(Raw!$B$2:$FB$2=$H92), 0))</f>
        <v>3503000000</v>
      </c>
      <c r="M92" s="11" cm="1">
        <f t="array" ref="M92">INDEX(Raw!E:FE, MATCH(M$4, Raw!$A:$A, 0), MATCH(1, (Raw!$B$1:$FB$1=$I92)*(Raw!$B$2:$FB$2=$H92), 0))</f>
        <v>1896000000</v>
      </c>
      <c r="N92" s="11" cm="1">
        <f t="array" ref="N92">INDEX(Raw!F:FF, MATCH(N$4, Raw!$A:$A, 0), MATCH(1, (Raw!$B$1:$FB$1=$I92)*(Raw!$B$2:$FB$2=$H92), 0))</f>
        <v>-159000000</v>
      </c>
      <c r="O92" s="11" cm="1">
        <f t="array" ref="O92">INDEX(Raw!G:FG, MATCH(O$4, Raw!$A:$A, 0), MATCH(1, (Raw!$B$1:$FB$1=$I92)*(Raw!$B$2:$FB$2=$H92), 0))</f>
        <v>1804000000</v>
      </c>
      <c r="P92" s="11" cm="1">
        <f t="array" ref="P92">INDEX(Raw!H:FH, MATCH(P$4, Raw!$A:$A, 0), MATCH(1, (Raw!$B$1:$FB$1=$I92)*(Raw!$B$2:$FB$2=$H92), 0))</f>
        <v>1450000000</v>
      </c>
      <c r="Q92" s="11" cm="1">
        <f t="array" ref="Q92">INDEX(Raw!I:FI, MATCH(Q$4, Raw!$A:$A, 0), MATCH(1, (Raw!$B$1:$FB$1=$I92)*(Raw!$B$2:$FB$2=$H92), 0))</f>
        <v>115000000</v>
      </c>
      <c r="R92" s="11" cm="1">
        <f t="array" ref="R92">INDEX(Raw!J:FJ, MATCH(R$4, Raw!$A:$A, 0), MATCH(1, (Raw!$B$1:$FB$1=$I92)*(Raw!$B$2:$FB$2=$H92), 0))</f>
        <v>1056000000</v>
      </c>
      <c r="S92" s="11" cm="1">
        <f t="array" ref="S92">INDEX(Raw!K:FK, MATCH(S$4, Raw!$A:$A, 0), MATCH(1, (Raw!$B$1:$FB$1=$I92)*(Raw!$B$2:$FB$2=$H92), 0))</f>
        <v>378000000</v>
      </c>
      <c r="T92" s="11" cm="1">
        <f t="array" ref="T92">INDEX(Raw!L:FL, MATCH(T$4, Raw!$A:$A, 0), MATCH(1, (Raw!$B$1:$FB$1=$I92)*(Raw!$B$2:$FB$2=$H92), 0))</f>
        <v>1074000000</v>
      </c>
      <c r="U92" s="11" cm="1">
        <f t="array" ref="U92">INDEX(Raw!M:FM, MATCH(U$4, Raw!$A:$A, 0), MATCH(1, (Raw!$B$1:$FB$1=$I92)*(Raw!$B$2:$FB$2=$H92), 0))</f>
        <v>0</v>
      </c>
      <c r="V92" s="11" cm="1">
        <f t="array" ref="V92">INDEX(Raw!N:FN, MATCH(V$4, Raw!$A:$A, 0), MATCH(1, (Raw!$B$1:$FB$1=$I92)*(Raw!$B$2:$FB$2=$H92), 0))</f>
        <v>873000000</v>
      </c>
      <c r="W92" s="11" cm="1">
        <f t="array" ref="W92">INDEX(Raw!O:FO, MATCH(W$4, Raw!$A:$A, 0), MATCH(1, (Raw!$B$1:$FB$1=$I92)*(Raw!$B$2:$FB$2=$H92), 0))</f>
        <v>0</v>
      </c>
      <c r="X92" s="11" cm="1">
        <f t="array" ref="X92">INDEX(Raw!P:FP, MATCH(X$4, Raw!$A:$A, 0), MATCH(1, (Raw!$B$1:$FB$1=$I92)*(Raw!$B$2:$FB$2=$H92), 0))</f>
        <v>1067000000</v>
      </c>
      <c r="Y92" s="11" cm="1">
        <f t="array" ref="Y92">INDEX(Raw!Q:FQ, MATCH(Y$4, Raw!$A:$A, 0), MATCH(1, (Raw!$B$1:$FB$1=$I92)*(Raw!$B$2:$FB$2=$H92), 0))</f>
        <v>0</v>
      </c>
      <c r="Z92" s="11" cm="1">
        <f t="array" ref="Z92">INDEX(Raw!R:FR, MATCH(Z$4, Raw!$A:$A, 0), MATCH(1, (Raw!$B$1:$FB$1=$I92)*(Raw!$B$2:$FB$2=$H92), 0))</f>
        <v>0</v>
      </c>
      <c r="AA92" s="11" cm="1">
        <f t="array" ref="AA92">INDEX(Raw!S:FS, MATCH(AA$4, Raw!$A:$A, 0), MATCH(1, (Raw!$B$1:$FB$1=$I92)*(Raw!$B$2:$FB$2=$H92), 0))</f>
        <v>0</v>
      </c>
      <c r="AB92" s="11" cm="1">
        <f t="array" ref="AB92">INDEX(Raw!T:FT, MATCH(AB$4, Raw!$A:$A, 0), MATCH(1, (Raw!$B$1:$FB$1=$I92)*(Raw!$B$2:$FB$2=$H92), 0))</f>
        <v>0</v>
      </c>
      <c r="AC92" s="11" cm="1">
        <f t="array" ref="AC92">INDEX(Raw!U:FU, MATCH(AC$4, Raw!$A:$A, 0), MATCH(1, (Raw!$B$1:$FB$1=$I92)*(Raw!$B$2:$FB$2=$H92), 0))</f>
        <v>0.19</v>
      </c>
      <c r="AD92" s="11" cm="1">
        <f t="array" ref="AD92">INDEX(Raw!V:FV, MATCH(AD$4, Raw!$A:$A, 0), MATCH(1, (Raw!$B$1:$FB$1=$I92)*(Raw!$B$2:$FB$2=$H92), 0))</f>
        <v>0.15</v>
      </c>
    </row>
    <row r="93" spans="6:30" x14ac:dyDescent="0.25">
      <c r="F93" s="11" t="s">
        <v>28</v>
      </c>
      <c r="G93" s="15">
        <f t="shared" ca="1" si="2"/>
        <v>46088</v>
      </c>
      <c r="H93" s="11">
        <f>H89-1</f>
        <v>2003</v>
      </c>
      <c r="I93" s="11" t="s">
        <v>21</v>
      </c>
      <c r="J93" s="11" cm="1">
        <f t="array" ref="J93">INDEX(Raw!B:FB, MATCH(J$4, Raw!$A:$A, 0), MATCH(1, (Raw!$B$1:$FB$1=$I93)*(Raw!$B$2:$FB$2=$H93), 0))</f>
        <v>4989000000</v>
      </c>
      <c r="K93" s="11" cm="1">
        <f t="array" ref="K93">INDEX(Raw!C:FC, MATCH(K$4, Raw!$A:$A, 0), MATCH(1, (Raw!$B$1:$FB$1=$I93)*(Raw!$B$2:$FB$2=$H93), 0))</f>
        <v>2168000000</v>
      </c>
      <c r="L93" s="11" cm="1">
        <f t="array" ref="L93">INDEX(Raw!D:FD, MATCH(L$4, Raw!$A:$A, 0), MATCH(1, (Raw!$B$1:$FB$1=$I93)*(Raw!$B$2:$FB$2=$H93), 0))</f>
        <v>3568000000</v>
      </c>
      <c r="M93" s="11" cm="1">
        <f t="array" ref="M93">INDEX(Raw!E:FE, MATCH(M$4, Raw!$A:$A, 0), MATCH(1, (Raw!$B$1:$FB$1=$I93)*(Raw!$B$2:$FB$2=$H93), 0))</f>
        <v>1650000000</v>
      </c>
      <c r="N93" s="11" cm="1">
        <f t="array" ref="N93">INDEX(Raw!F:FF, MATCH(N$4, Raw!$A:$A, 0), MATCH(1, (Raw!$B$1:$FB$1=$I93)*(Raw!$B$2:$FB$2=$H93), 0))</f>
        <v>0</v>
      </c>
      <c r="O93" s="11" cm="1">
        <f t="array" ref="O93">INDEX(Raw!G:FG, MATCH(O$4, Raw!$A:$A, 0), MATCH(1, (Raw!$B$1:$FB$1=$I93)*(Raw!$B$2:$FB$2=$H93), 0))</f>
        <v>1789000000</v>
      </c>
      <c r="P93" s="11" cm="1">
        <f t="array" ref="P93">INDEX(Raw!H:FH, MATCH(P$4, Raw!$A:$A, 0), MATCH(1, (Raw!$B$1:$FB$1=$I93)*(Raw!$B$2:$FB$2=$H93), 0))</f>
        <v>1560000000</v>
      </c>
      <c r="Q93" s="11" cm="1">
        <f t="array" ref="Q93">INDEX(Raw!I:FI, MATCH(Q$4, Raw!$A:$A, 0), MATCH(1, (Raw!$B$1:$FB$1=$I93)*(Raw!$B$2:$FB$2=$H93), 0))</f>
        <v>-102000000</v>
      </c>
      <c r="R93" s="11" cm="1">
        <f t="array" ref="R93">INDEX(Raw!J:FJ, MATCH(R$4, Raw!$A:$A, 0), MATCH(1, (Raw!$B$1:$FB$1=$I93)*(Raw!$B$2:$FB$2=$H93), 0))</f>
        <v>1292000000</v>
      </c>
      <c r="S93" s="11" cm="1">
        <f t="array" ref="S93">INDEX(Raw!K:FK, MATCH(S$4, Raw!$A:$A, 0), MATCH(1, (Raw!$B$1:$FB$1=$I93)*(Raw!$B$2:$FB$2=$H93), 0))</f>
        <v>460000000</v>
      </c>
      <c r="T93" s="11" cm="1">
        <f t="array" ref="T93">INDEX(Raw!L:FL, MATCH(T$4, Raw!$A:$A, 0), MATCH(1, (Raw!$B$1:$FB$1=$I93)*(Raw!$B$2:$FB$2=$H93), 0))</f>
        <v>1118000000</v>
      </c>
      <c r="U93" s="11" cm="1">
        <f t="array" ref="U93">INDEX(Raw!M:FM, MATCH(U$4, Raw!$A:$A, 0), MATCH(1, (Raw!$B$1:$FB$1=$I93)*(Raw!$B$2:$FB$2=$H93), 0))</f>
        <v>0</v>
      </c>
      <c r="V93" s="11" cm="1">
        <f t="array" ref="V93">INDEX(Raw!N:FN, MATCH(V$4, Raw!$A:$A, 0), MATCH(1, (Raw!$B$1:$FB$1=$I93)*(Raw!$B$2:$FB$2=$H93), 0))</f>
        <v>242000000</v>
      </c>
      <c r="W93" s="11" cm="1">
        <f t="array" ref="W93">INDEX(Raw!O:FO, MATCH(W$4, Raw!$A:$A, 0), MATCH(1, (Raw!$B$1:$FB$1=$I93)*(Raw!$B$2:$FB$2=$H93), 0))</f>
        <v>0</v>
      </c>
      <c r="X93" s="11" cm="1">
        <f t="array" ref="X93">INDEX(Raw!P:FP, MATCH(X$4, Raw!$A:$A, 0), MATCH(1, (Raw!$B$1:$FB$1=$I93)*(Raw!$B$2:$FB$2=$H93), 0))</f>
        <v>926000000</v>
      </c>
      <c r="Y93" s="11" cm="1">
        <f t="array" ref="Y93">INDEX(Raw!Q:FQ, MATCH(Y$4, Raw!$A:$A, 0), MATCH(1, (Raw!$B$1:$FB$1=$I93)*(Raw!$B$2:$FB$2=$H93), 0))</f>
        <v>0</v>
      </c>
      <c r="Z93" s="11" cm="1">
        <f t="array" ref="Z93">INDEX(Raw!R:FR, MATCH(Z$4, Raw!$A:$A, 0), MATCH(1, (Raw!$B$1:$FB$1=$I93)*(Raw!$B$2:$FB$2=$H93), 0))</f>
        <v>0</v>
      </c>
      <c r="AA93" s="11" cm="1">
        <f t="array" ref="AA93">INDEX(Raw!S:FS, MATCH(AA$4, Raw!$A:$A, 0), MATCH(1, (Raw!$B$1:$FB$1=$I93)*(Raw!$B$2:$FB$2=$H93), 0))</f>
        <v>0</v>
      </c>
      <c r="AB93" s="11" cm="1">
        <f t="array" ref="AB93">INDEX(Raw!T:FT, MATCH(AB$4, Raw!$A:$A, 0), MATCH(1, (Raw!$B$1:$FB$1=$I93)*(Raw!$B$2:$FB$2=$H93), 0))</f>
        <v>0</v>
      </c>
      <c r="AC93" s="11" cm="1">
        <f t="array" ref="AC93">INDEX(Raw!U:FU, MATCH(AC$4, Raw!$A:$A, 0), MATCH(1, (Raw!$B$1:$FB$1=$I93)*(Raw!$B$2:$FB$2=$H93), 0))</f>
        <v>0.15</v>
      </c>
      <c r="AD93" s="11" cm="1">
        <f t="array" ref="AD93">INDEX(Raw!V:FV, MATCH(AD$4, Raw!$A:$A, 0), MATCH(1, (Raw!$B$1:$FB$1=$I93)*(Raw!$B$2:$FB$2=$H93), 0))</f>
        <v>0.12</v>
      </c>
    </row>
    <row r="94" spans="6:30" x14ac:dyDescent="0.25">
      <c r="F94" s="11" t="s">
        <v>28</v>
      </c>
      <c r="G94" s="15">
        <f t="shared" ca="1" si="2"/>
        <v>46088</v>
      </c>
      <c r="H94" s="11">
        <f>H93</f>
        <v>2003</v>
      </c>
      <c r="I94" s="11" t="s">
        <v>22</v>
      </c>
      <c r="J94" s="11" cm="1">
        <f t="array" ref="J94">INDEX(Raw!B:FB, MATCH(J$4, Raw!$A:$A, 0), MATCH(1, (Raw!$B$1:$FB$1=$I94)*(Raw!$B$2:$FB$2=$H94), 0))</f>
        <v>5671000000</v>
      </c>
      <c r="K94" s="11" cm="1">
        <f t="array" ref="K94">INDEX(Raw!C:FC, MATCH(K$4, Raw!$A:$A, 0), MATCH(1, (Raw!$B$1:$FB$1=$I94)*(Raw!$B$2:$FB$2=$H94), 0))</f>
        <v>2127000000</v>
      </c>
      <c r="L94" s="11" cm="1">
        <f t="array" ref="L94">INDEX(Raw!D:FD, MATCH(L$4, Raw!$A:$A, 0), MATCH(1, (Raw!$B$1:$FB$1=$I94)*(Raw!$B$2:$FB$2=$H94), 0))</f>
        <v>2885000000</v>
      </c>
      <c r="M94" s="11" cm="1">
        <f t="array" ref="M94">INDEX(Raw!E:FE, MATCH(M$4, Raw!$A:$A, 0), MATCH(1, (Raw!$B$1:$FB$1=$I94)*(Raw!$B$2:$FB$2=$H94), 0))</f>
        <v>1804000000</v>
      </c>
      <c r="N94" s="11" cm="1">
        <f t="array" ref="N94">INDEX(Raw!F:FF, MATCH(N$4, Raw!$A:$A, 0), MATCH(1, (Raw!$B$1:$FB$1=$I94)*(Raw!$B$2:$FB$2=$H94), 0))</f>
        <v>0</v>
      </c>
      <c r="O94" s="11" cm="1">
        <f t="array" ref="O94">INDEX(Raw!G:FG, MATCH(O$4, Raw!$A:$A, 0), MATCH(1, (Raw!$B$1:$FB$1=$I94)*(Raw!$B$2:$FB$2=$H94), 0))</f>
        <v>1881000000</v>
      </c>
      <c r="P94" s="11" cm="1">
        <f t="array" ref="P94">INDEX(Raw!H:FH, MATCH(P$4, Raw!$A:$A, 0), MATCH(1, (Raw!$B$1:$FB$1=$I94)*(Raw!$B$2:$FB$2=$H94), 0))</f>
        <v>1158000000</v>
      </c>
      <c r="Q94" s="11" cm="1">
        <f t="array" ref="Q94">INDEX(Raw!I:FI, MATCH(Q$4, Raw!$A:$A, 0), MATCH(1, (Raw!$B$1:$FB$1=$I94)*(Raw!$B$2:$FB$2=$H94), 0))</f>
        <v>44000000</v>
      </c>
      <c r="R94" s="11" cm="1">
        <f t="array" ref="R94">INDEX(Raw!J:FJ, MATCH(R$4, Raw!$A:$A, 0), MATCH(1, (Raw!$B$1:$FB$1=$I94)*(Raw!$B$2:$FB$2=$H94), 0))</f>
        <v>1534000000</v>
      </c>
      <c r="S94" s="11" cm="1">
        <f t="array" ref="S94">INDEX(Raw!K:FK, MATCH(S$4, Raw!$A:$A, 0), MATCH(1, (Raw!$B$1:$FB$1=$I94)*(Raw!$B$2:$FB$2=$H94), 0))</f>
        <v>479000000</v>
      </c>
      <c r="T94" s="11" cm="1">
        <f t="array" ref="T94">INDEX(Raw!L:FL, MATCH(T$4, Raw!$A:$A, 0), MATCH(1, (Raw!$B$1:$FB$1=$I94)*(Raw!$B$2:$FB$2=$H94), 0))</f>
        <v>873000000</v>
      </c>
      <c r="U94" s="11" cm="1">
        <f t="array" ref="U94">INDEX(Raw!M:FM, MATCH(U$4, Raw!$A:$A, 0), MATCH(1, (Raw!$B$1:$FB$1=$I94)*(Raw!$B$2:$FB$2=$H94), 0))</f>
        <v>0</v>
      </c>
      <c r="V94" s="11" cm="1">
        <f t="array" ref="V94">INDEX(Raw!N:FN, MATCH(V$4, Raw!$A:$A, 0), MATCH(1, (Raw!$B$1:$FB$1=$I94)*(Raw!$B$2:$FB$2=$H94), 0))</f>
        <v>1067000000</v>
      </c>
      <c r="W94" s="11" cm="1">
        <f t="array" ref="W94">INDEX(Raw!O:FO, MATCH(W$4, Raw!$A:$A, 0), MATCH(1, (Raw!$B$1:$FB$1=$I94)*(Raw!$B$2:$FB$2=$H94), 0))</f>
        <v>0</v>
      </c>
      <c r="X94" s="11" cm="1">
        <f t="array" ref="X94">INDEX(Raw!P:FP, MATCH(X$4, Raw!$A:$A, 0), MATCH(1, (Raw!$B$1:$FB$1=$I94)*(Raw!$B$2:$FB$2=$H94), 0))</f>
        <v>-58000000</v>
      </c>
      <c r="Y94" s="11" cm="1">
        <f t="array" ref="Y94">INDEX(Raw!Q:FQ, MATCH(Y$4, Raw!$A:$A, 0), MATCH(1, (Raw!$B$1:$FB$1=$I94)*(Raw!$B$2:$FB$2=$H94), 0))</f>
        <v>0</v>
      </c>
      <c r="Z94" s="11" cm="1">
        <f t="array" ref="Z94">INDEX(Raw!R:FR, MATCH(Z$4, Raw!$A:$A, 0), MATCH(1, (Raw!$B$1:$FB$1=$I94)*(Raw!$B$2:$FB$2=$H94), 0))</f>
        <v>0</v>
      </c>
      <c r="AA94" s="11" cm="1">
        <f t="array" ref="AA94">INDEX(Raw!S:FS, MATCH(AA$4, Raw!$A:$A, 0), MATCH(1, (Raw!$B$1:$FB$1=$I94)*(Raw!$B$2:$FB$2=$H94), 0))</f>
        <v>0</v>
      </c>
      <c r="AB94" s="11" cm="1">
        <f t="array" ref="AB94">INDEX(Raw!T:FT, MATCH(AB$4, Raw!$A:$A, 0), MATCH(1, (Raw!$B$1:$FB$1=$I94)*(Raw!$B$2:$FB$2=$H94), 0))</f>
        <v>0</v>
      </c>
      <c r="AC94" s="11" cm="1">
        <f t="array" ref="AC94">INDEX(Raw!U:FU, MATCH(AC$4, Raw!$A:$A, 0), MATCH(1, (Raw!$B$1:$FB$1=$I94)*(Raw!$B$2:$FB$2=$H94), 0))</f>
        <v>0.12</v>
      </c>
      <c r="AD94" s="11" cm="1">
        <f t="array" ref="AD94">INDEX(Raw!V:FV, MATCH(AD$4, Raw!$A:$A, 0), MATCH(1, (Raw!$B$1:$FB$1=$I94)*(Raw!$B$2:$FB$2=$H94), 0))</f>
        <v>0.18</v>
      </c>
    </row>
    <row r="95" spans="6:30" x14ac:dyDescent="0.25">
      <c r="F95" s="11" t="s">
        <v>28</v>
      </c>
      <c r="G95" s="15">
        <f t="shared" ca="1" si="2"/>
        <v>46088</v>
      </c>
      <c r="H95" s="11">
        <f>H94</f>
        <v>2003</v>
      </c>
      <c r="I95" s="11" t="s">
        <v>23</v>
      </c>
      <c r="J95" s="11" cm="1">
        <f t="array" ref="J95">INDEX(Raw!B:FB, MATCH(J$4, Raw!$A:$A, 0), MATCH(1, (Raw!$B$1:$FB$1=$I95)*(Raw!$B$2:$FB$2=$H95), 0))</f>
        <v>5695000000</v>
      </c>
      <c r="K95" s="11" cm="1">
        <f t="array" ref="K95">INDEX(Raw!C:FC, MATCH(K$4, Raw!$A:$A, 0), MATCH(1, (Raw!$B$1:$FB$1=$I95)*(Raw!$B$2:$FB$2=$H95), 0))</f>
        <v>1617000000</v>
      </c>
      <c r="L95" s="11" cm="1">
        <f t="array" ref="L95">INDEX(Raw!D:FD, MATCH(L$4, Raw!$A:$A, 0), MATCH(1, (Raw!$B$1:$FB$1=$I95)*(Raw!$B$2:$FB$2=$H95), 0))</f>
        <v>3094000000</v>
      </c>
      <c r="M95" s="11" cm="1">
        <f t="array" ref="M95">INDEX(Raw!E:FE, MATCH(M$4, Raw!$A:$A, 0), MATCH(1, (Raw!$B$1:$FB$1=$I95)*(Raw!$B$2:$FB$2=$H95), 0))</f>
        <v>1789000000</v>
      </c>
      <c r="N95" s="11" cm="1">
        <f t="array" ref="N95">INDEX(Raw!F:FF, MATCH(N$4, Raw!$A:$A, 0), MATCH(1, (Raw!$B$1:$FB$1=$I95)*(Raw!$B$2:$FB$2=$H95), 0))</f>
        <v>0</v>
      </c>
      <c r="O95" s="11" cm="1">
        <f t="array" ref="O95">INDEX(Raw!G:FG, MATCH(O$4, Raw!$A:$A, 0), MATCH(1, (Raw!$B$1:$FB$1=$I95)*(Raw!$B$2:$FB$2=$H95), 0))</f>
        <v>1527000000</v>
      </c>
      <c r="P95" s="11" cm="1">
        <f t="array" ref="P95">INDEX(Raw!H:FH, MATCH(P$4, Raw!$A:$A, 0), MATCH(1, (Raw!$B$1:$FB$1=$I95)*(Raw!$B$2:$FB$2=$H95), 0))</f>
        <v>1248000000</v>
      </c>
      <c r="Q95" s="11" cm="1">
        <f t="array" ref="Q95">INDEX(Raw!I:FI, MATCH(Q$4, Raw!$A:$A, 0), MATCH(1, (Raw!$B$1:$FB$1=$I95)*(Raw!$B$2:$FB$2=$H95), 0))</f>
        <v>223000000</v>
      </c>
      <c r="R95" s="11" cm="1">
        <f t="array" ref="R95">INDEX(Raw!J:FJ, MATCH(R$4, Raw!$A:$A, 0), MATCH(1, (Raw!$B$1:$FB$1=$I95)*(Raw!$B$2:$FB$2=$H95), 0))</f>
        <v>1597000000</v>
      </c>
      <c r="S95" s="11" cm="1">
        <f t="array" ref="S95">INDEX(Raw!K:FK, MATCH(S$4, Raw!$A:$A, 0), MATCH(1, (Raw!$B$1:$FB$1=$I95)*(Raw!$B$2:$FB$2=$H95), 0))</f>
        <v>374000000</v>
      </c>
      <c r="T95" s="11" cm="1">
        <f t="array" ref="T95">INDEX(Raw!L:FL, MATCH(T$4, Raw!$A:$A, 0), MATCH(1, (Raw!$B$1:$FB$1=$I95)*(Raw!$B$2:$FB$2=$H95), 0))</f>
        <v>242000000</v>
      </c>
      <c r="U95" s="11" cm="1">
        <f t="array" ref="U95">INDEX(Raw!M:FM, MATCH(U$4, Raw!$A:$A, 0), MATCH(1, (Raw!$B$1:$FB$1=$I95)*(Raw!$B$2:$FB$2=$H95), 0))</f>
        <v>0</v>
      </c>
      <c r="V95" s="11" cm="1">
        <f t="array" ref="V95">INDEX(Raw!N:FN, MATCH(V$4, Raw!$A:$A, 0), MATCH(1, (Raw!$B$1:$FB$1=$I95)*(Raw!$B$2:$FB$2=$H95), 0))</f>
        <v>926000000</v>
      </c>
      <c r="W95" s="11" cm="1">
        <f t="array" ref="W95">INDEX(Raw!O:FO, MATCH(W$4, Raw!$A:$A, 0), MATCH(1, (Raw!$B$1:$FB$1=$I95)*(Raw!$B$2:$FB$2=$H95), 0))</f>
        <v>0</v>
      </c>
      <c r="X95" s="11" cm="1">
        <f t="array" ref="X95">INDEX(Raw!P:FP, MATCH(X$4, Raw!$A:$A, 0), MATCH(1, (Raw!$B$1:$FB$1=$I95)*(Raw!$B$2:$FB$2=$H95), 0))</f>
        <v>-45000000</v>
      </c>
      <c r="Y95" s="11" cm="1">
        <f t="array" ref="Y95">INDEX(Raw!Q:FQ, MATCH(Y$4, Raw!$A:$A, 0), MATCH(1, (Raw!$B$1:$FB$1=$I95)*(Raw!$B$2:$FB$2=$H95), 0))</f>
        <v>0</v>
      </c>
      <c r="Z95" s="11" cm="1">
        <f t="array" ref="Z95">INDEX(Raw!R:FR, MATCH(Z$4, Raw!$A:$A, 0), MATCH(1, (Raw!$B$1:$FB$1=$I95)*(Raw!$B$2:$FB$2=$H95), 0))</f>
        <v>0</v>
      </c>
      <c r="AA95" s="11" cm="1">
        <f t="array" ref="AA95">INDEX(Raw!S:FS, MATCH(AA$4, Raw!$A:$A, 0), MATCH(1, (Raw!$B$1:$FB$1=$I95)*(Raw!$B$2:$FB$2=$H95), 0))</f>
        <v>0</v>
      </c>
      <c r="AB95" s="11" cm="1">
        <f t="array" ref="AB95">INDEX(Raw!T:FT, MATCH(AB$4, Raw!$A:$A, 0), MATCH(1, (Raw!$B$1:$FB$1=$I95)*(Raw!$B$2:$FB$2=$H95), 0))</f>
        <v>0</v>
      </c>
      <c r="AC95" s="11" cm="1">
        <f t="array" ref="AC95">INDEX(Raw!U:FU, MATCH(AC$4, Raw!$A:$A, 0), MATCH(1, (Raw!$B$1:$FB$1=$I95)*(Raw!$B$2:$FB$2=$H95), 0))</f>
        <v>0.18</v>
      </c>
      <c r="AD95" s="11" cm="1">
        <f t="array" ref="AD95">INDEX(Raw!V:FV, MATCH(AD$4, Raw!$A:$A, 0), MATCH(1, (Raw!$B$1:$FB$1=$I95)*(Raw!$B$2:$FB$2=$H95), 0))</f>
        <v>0.24</v>
      </c>
    </row>
    <row r="96" spans="6:30" x14ac:dyDescent="0.25">
      <c r="F96" s="11" t="s">
        <v>28</v>
      </c>
      <c r="G96" s="15">
        <f t="shared" ca="1" si="2"/>
        <v>46088</v>
      </c>
      <c r="H96" s="11">
        <f>H95</f>
        <v>2003</v>
      </c>
      <c r="I96" s="11" t="s">
        <v>24</v>
      </c>
      <c r="J96" s="11" cm="1">
        <f t="array" ref="J96">INDEX(Raw!B:FB, MATCH(J$4, Raw!$A:$A, 0), MATCH(1, (Raw!$B$1:$FB$1=$I96)*(Raw!$B$2:$FB$2=$H96), 0))</f>
        <v>4502000000</v>
      </c>
      <c r="K96" s="11" cm="1">
        <f t="array" ref="K96">INDEX(Raw!C:FC, MATCH(K$4, Raw!$A:$A, 0), MATCH(1, (Raw!$B$1:$FB$1=$I96)*(Raw!$B$2:$FB$2=$H96), 0))</f>
        <v>1701000000</v>
      </c>
      <c r="L96" s="11" cm="1">
        <f t="array" ref="L96">INDEX(Raw!D:FD, MATCH(L$4, Raw!$A:$A, 0), MATCH(1, (Raw!$B$1:$FB$1=$I96)*(Raw!$B$2:$FB$2=$H96), 0))</f>
        <v>3239000000</v>
      </c>
      <c r="M96" s="11" cm="1">
        <f t="array" ref="M96">INDEX(Raw!E:FE, MATCH(M$4, Raw!$A:$A, 0), MATCH(1, (Raw!$B$1:$FB$1=$I96)*(Raw!$B$2:$FB$2=$H96), 0))</f>
        <v>1881000000</v>
      </c>
      <c r="N96" s="11" cm="1">
        <f t="array" ref="N96">INDEX(Raw!F:FF, MATCH(N$4, Raw!$A:$A, 0), MATCH(1, (Raw!$B$1:$FB$1=$I96)*(Raw!$B$2:$FB$2=$H96), 0))</f>
        <v>0</v>
      </c>
      <c r="O96" s="11" cm="1">
        <f t="array" ref="O96">INDEX(Raw!G:FG, MATCH(O$4, Raw!$A:$A, 0), MATCH(1, (Raw!$B$1:$FB$1=$I96)*(Raw!$B$2:$FB$2=$H96), 0))</f>
        <v>1562000000</v>
      </c>
      <c r="P96" s="11" cm="1">
        <f t="array" ref="P96">INDEX(Raw!H:FH, MATCH(P$4, Raw!$A:$A, 0), MATCH(1, (Raw!$B$1:$FB$1=$I96)*(Raw!$B$2:$FB$2=$H96), 0))</f>
        <v>1311000000</v>
      </c>
      <c r="Q96" s="11" cm="1">
        <f t="array" ref="Q96">INDEX(Raw!I:FI, MATCH(Q$4, Raw!$A:$A, 0), MATCH(1, (Raw!$B$1:$FB$1=$I96)*(Raw!$B$2:$FB$2=$H96), 0))</f>
        <v>84000000</v>
      </c>
      <c r="R96" s="11" cm="1">
        <f t="array" ref="R96">INDEX(Raw!J:FJ, MATCH(R$4, Raw!$A:$A, 0), MATCH(1, (Raw!$B$1:$FB$1=$I96)*(Raw!$B$2:$FB$2=$H96), 0))</f>
        <v>1247000000</v>
      </c>
      <c r="S96" s="11" cm="1">
        <f t="array" ref="S96">INDEX(Raw!K:FK, MATCH(S$4, Raw!$A:$A, 0), MATCH(1, (Raw!$B$1:$FB$1=$I96)*(Raw!$B$2:$FB$2=$H96), 0))</f>
        <v>235000000</v>
      </c>
      <c r="T96" s="11" cm="1">
        <f t="array" ref="T96">INDEX(Raw!L:FL, MATCH(T$4, Raw!$A:$A, 0), MATCH(1, (Raw!$B$1:$FB$1=$I96)*(Raw!$B$2:$FB$2=$H96), 0))</f>
        <v>1067000000</v>
      </c>
      <c r="U96" s="11" cm="1">
        <f t="array" ref="U96">INDEX(Raw!M:FM, MATCH(U$4, Raw!$A:$A, 0), MATCH(1, (Raw!$B$1:$FB$1=$I96)*(Raw!$B$2:$FB$2=$H96), 0))</f>
        <v>0</v>
      </c>
      <c r="V96" s="11" cm="1">
        <f t="array" ref="V96">INDEX(Raw!N:FN, MATCH(V$4, Raw!$A:$A, 0), MATCH(1, (Raw!$B$1:$FB$1=$I96)*(Raw!$B$2:$FB$2=$H96), 0))</f>
        <v>-58000000</v>
      </c>
      <c r="W96" s="11" cm="1">
        <f t="array" ref="W96">INDEX(Raw!O:FO, MATCH(W$4, Raw!$A:$A, 0), MATCH(1, (Raw!$B$1:$FB$1=$I96)*(Raw!$B$2:$FB$2=$H96), 0))</f>
        <v>0</v>
      </c>
      <c r="X96" s="11" cm="1">
        <f t="array" ref="X96">INDEX(Raw!P:FP, MATCH(X$4, Raw!$A:$A, 0), MATCH(1, (Raw!$B$1:$FB$1=$I96)*(Raw!$B$2:$FB$2=$H96), 0))</f>
        <v>787000000</v>
      </c>
      <c r="Y96" s="11" cm="1">
        <f t="array" ref="Y96">INDEX(Raw!Q:FQ, MATCH(Y$4, Raw!$A:$A, 0), MATCH(1, (Raw!$B$1:$FB$1=$I96)*(Raw!$B$2:$FB$2=$H96), 0))</f>
        <v>0</v>
      </c>
      <c r="Z96" s="11" cm="1">
        <f t="array" ref="Z96">INDEX(Raw!R:FR, MATCH(Z$4, Raw!$A:$A, 0), MATCH(1, (Raw!$B$1:$FB$1=$I96)*(Raw!$B$2:$FB$2=$H96), 0))</f>
        <v>0</v>
      </c>
      <c r="AA96" s="11" cm="1">
        <f t="array" ref="AA96">INDEX(Raw!S:FS, MATCH(AA$4, Raw!$A:$A, 0), MATCH(1, (Raw!$B$1:$FB$1=$I96)*(Raw!$B$2:$FB$2=$H96), 0))</f>
        <v>0</v>
      </c>
      <c r="AB96" s="11" cm="1">
        <f t="array" ref="AB96">INDEX(Raw!T:FT, MATCH(AB$4, Raw!$A:$A, 0), MATCH(1, (Raw!$B$1:$FB$1=$I96)*(Raw!$B$2:$FB$2=$H96), 0))</f>
        <v>0</v>
      </c>
      <c r="AC96" s="11" cm="1">
        <f t="array" ref="AC96">INDEX(Raw!U:FU, MATCH(AC$4, Raw!$A:$A, 0), MATCH(1, (Raw!$B$1:$FB$1=$I96)*(Raw!$B$2:$FB$2=$H96), 0))</f>
        <v>0.24</v>
      </c>
      <c r="AD96" s="11" cm="1">
        <f t="array" ref="AD96">INDEX(Raw!V:FV, MATCH(AD$4, Raw!$A:$A, 0), MATCH(1, (Raw!$B$1:$FB$1=$I96)*(Raw!$B$2:$FB$2=$H96), 0))</f>
        <v>0.17</v>
      </c>
    </row>
    <row r="97" spans="6:30" x14ac:dyDescent="0.25">
      <c r="F97" s="11" t="s">
        <v>28</v>
      </c>
      <c r="G97" s="15">
        <f t="shared" ca="1" si="2"/>
        <v>46088</v>
      </c>
      <c r="H97" s="11">
        <f>H93-1</f>
        <v>2002</v>
      </c>
      <c r="I97" s="11" t="s">
        <v>21</v>
      </c>
      <c r="J97" s="11" cm="1">
        <f t="array" ref="J97">INDEX(Raw!B:FB, MATCH(J$4, Raw!$A:$A, 0), MATCH(1, (Raw!$B$1:$FB$1=$I97)*(Raw!$B$2:$FB$2=$H97), 0))</f>
        <v>4795000000</v>
      </c>
      <c r="K97" s="11" cm="1">
        <f t="array" ref="K97">INDEX(Raw!C:FC, MATCH(K$4, Raw!$A:$A, 0), MATCH(1, (Raw!$B$1:$FB$1=$I97)*(Raw!$B$2:$FB$2=$H97), 0))</f>
        <v>2083000000</v>
      </c>
      <c r="L97" s="11" cm="1">
        <f t="array" ref="L97">INDEX(Raw!D:FD, MATCH(L$4, Raw!$A:$A, 0), MATCH(1, (Raw!$B$1:$FB$1=$I97)*(Raw!$B$2:$FB$2=$H97), 0))</f>
        <v>3441000000</v>
      </c>
      <c r="M97" s="11" cm="1">
        <f t="array" ref="M97">INDEX(Raw!E:FE, MATCH(M$4, Raw!$A:$A, 0), MATCH(1, (Raw!$B$1:$FB$1=$I97)*(Raw!$B$2:$FB$2=$H97), 0))</f>
        <v>1527000000</v>
      </c>
      <c r="N97" s="11" cm="1">
        <f t="array" ref="N97">INDEX(Raw!F:FF, MATCH(N$4, Raw!$A:$A, 0), MATCH(1, (Raw!$B$1:$FB$1=$I97)*(Raw!$B$2:$FB$2=$H97), 0))</f>
        <v>0</v>
      </c>
      <c r="O97" s="11" cm="1">
        <f t="array" ref="O97">INDEX(Raw!G:FG, MATCH(O$4, Raw!$A:$A, 0), MATCH(1, (Raw!$B$1:$FB$1=$I97)*(Raw!$B$2:$FB$2=$H97), 0))</f>
        <v>1692000000</v>
      </c>
      <c r="P97" s="11" cm="1">
        <f t="array" ref="P97">INDEX(Raw!H:FH, MATCH(P$4, Raw!$A:$A, 0), MATCH(1, (Raw!$B$1:$FB$1=$I97)*(Raw!$B$2:$FB$2=$H97), 0))</f>
        <v>1513000000</v>
      </c>
      <c r="Q97" s="11" cm="1">
        <f t="array" ref="Q97">INDEX(Raw!I:FI, MATCH(Q$4, Raw!$A:$A, 0), MATCH(1, (Raw!$B$1:$FB$1=$I97)*(Raw!$B$2:$FB$2=$H97), 0))</f>
        <v>-33000000</v>
      </c>
      <c r="R97" s="11" cm="1">
        <f t="array" ref="R97">INDEX(Raw!J:FJ, MATCH(R$4, Raw!$A:$A, 0), MATCH(1, (Raw!$B$1:$FB$1=$I97)*(Raw!$B$2:$FB$2=$H97), 0))</f>
        <v>477000000</v>
      </c>
      <c r="S97" s="11" cm="1">
        <f t="array" ref="S97">INDEX(Raw!K:FK, MATCH(S$4, Raw!$A:$A, 0), MATCH(1, (Raw!$B$1:$FB$1=$I97)*(Raw!$B$2:$FB$2=$H97), 0))</f>
        <v>416000000</v>
      </c>
      <c r="T97" s="11" cm="1">
        <f t="array" ref="T97">INDEX(Raw!L:FL, MATCH(T$4, Raw!$A:$A, 0), MATCH(1, (Raw!$B$1:$FB$1=$I97)*(Raw!$B$2:$FB$2=$H97), 0))</f>
        <v>926000000</v>
      </c>
      <c r="U97" s="11" cm="1">
        <f t="array" ref="U97">INDEX(Raw!M:FM, MATCH(U$4, Raw!$A:$A, 0), MATCH(1, (Raw!$B$1:$FB$1=$I97)*(Raw!$B$2:$FB$2=$H97), 0))</f>
        <v>0</v>
      </c>
      <c r="V97" s="11" cm="1">
        <f t="array" ref="V97">INDEX(Raw!N:FN, MATCH(V$4, Raw!$A:$A, 0), MATCH(1, (Raw!$B$1:$FB$1=$I97)*(Raw!$B$2:$FB$2=$H97), 0))</f>
        <v>-45000000</v>
      </c>
      <c r="W97" s="11" cm="1">
        <f t="array" ref="W97">INDEX(Raw!O:FO, MATCH(W$4, Raw!$A:$A, 0), MATCH(1, (Raw!$B$1:$FB$1=$I97)*(Raw!$B$2:$FB$2=$H97), 0))</f>
        <v>0</v>
      </c>
      <c r="X97" s="11" cm="1">
        <f t="array" ref="X97">INDEX(Raw!P:FP, MATCH(X$4, Raw!$A:$A, 0), MATCH(1, (Raw!$B$1:$FB$1=$I97)*(Raw!$B$2:$FB$2=$H97), 0))</f>
        <v>942000000</v>
      </c>
      <c r="Y97" s="11" cm="1">
        <f t="array" ref="Y97">INDEX(Raw!Q:FQ, MATCH(Y$4, Raw!$A:$A, 0), MATCH(1, (Raw!$B$1:$FB$1=$I97)*(Raw!$B$2:$FB$2=$H97), 0))</f>
        <v>0</v>
      </c>
      <c r="Z97" s="11" cm="1">
        <f t="array" ref="Z97">INDEX(Raw!R:FR, MATCH(Z$4, Raw!$A:$A, 0), MATCH(1, (Raw!$B$1:$FB$1=$I97)*(Raw!$B$2:$FB$2=$H97), 0))</f>
        <v>0</v>
      </c>
      <c r="AA97" s="11" cm="1">
        <f t="array" ref="AA97">INDEX(Raw!S:FS, MATCH(AA$4, Raw!$A:$A, 0), MATCH(1, (Raw!$B$1:$FB$1=$I97)*(Raw!$B$2:$FB$2=$H97), 0))</f>
        <v>0</v>
      </c>
      <c r="AB97" s="11" cm="1">
        <f t="array" ref="AB97">INDEX(Raw!T:FT, MATCH(AB$4, Raw!$A:$A, 0), MATCH(1, (Raw!$B$1:$FB$1=$I97)*(Raw!$B$2:$FB$2=$H97), 0))</f>
        <v>0</v>
      </c>
      <c r="AC97" s="11" cm="1">
        <f t="array" ref="AC97">INDEX(Raw!U:FU, MATCH(AC$4, Raw!$A:$A, 0), MATCH(1, (Raw!$B$1:$FB$1=$I97)*(Raw!$B$2:$FB$2=$H97), 0))</f>
        <v>0.17499999999999999</v>
      </c>
      <c r="AD97" s="11" cm="1">
        <f t="array" ref="AD97">INDEX(Raw!V:FV, MATCH(AD$4, Raw!$A:$A, 0), MATCH(1, (Raw!$B$1:$FB$1=$I97)*(Raw!$B$2:$FB$2=$H97), 0))</f>
        <v>0.16500000000000001</v>
      </c>
    </row>
    <row r="98" spans="6:30" x14ac:dyDescent="0.25">
      <c r="F98" s="11" t="s">
        <v>28</v>
      </c>
      <c r="G98" s="15">
        <f t="shared" ca="1" si="2"/>
        <v>46088</v>
      </c>
      <c r="H98" s="11">
        <f>H97</f>
        <v>2002</v>
      </c>
      <c r="I98" s="11" t="s">
        <v>22</v>
      </c>
      <c r="J98" s="11" cm="1">
        <f t="array" ref="J98">INDEX(Raw!B:FB, MATCH(J$4, Raw!$A:$A, 0), MATCH(1, (Raw!$B$1:$FB$1=$I98)*(Raw!$B$2:$FB$2=$H98), 0))</f>
        <v>5322000000</v>
      </c>
      <c r="K98" s="11" cm="1">
        <f t="array" ref="K98">INDEX(Raw!C:FC, MATCH(K$4, Raw!$A:$A, 0), MATCH(1, (Raw!$B$1:$FB$1=$I98)*(Raw!$B$2:$FB$2=$H98), 0))</f>
        <v>1927000000</v>
      </c>
      <c r="L98" s="11" cm="1">
        <f t="array" ref="L98">INDEX(Raw!D:FD, MATCH(L$4, Raw!$A:$A, 0), MATCH(1, (Raw!$B$1:$FB$1=$I98)*(Raw!$B$2:$FB$2=$H98), 0))</f>
        <v>2685000000</v>
      </c>
      <c r="M98" s="11" cm="1">
        <f t="array" ref="M98">INDEX(Raw!E:FE, MATCH(M$4, Raw!$A:$A, 0), MATCH(1, (Raw!$B$1:$FB$1=$I98)*(Raw!$B$2:$FB$2=$H98), 0))</f>
        <v>1562000000</v>
      </c>
      <c r="N98" s="11" cm="1">
        <f t="array" ref="N98">INDEX(Raw!F:FF, MATCH(N$4, Raw!$A:$A, 0), MATCH(1, (Raw!$B$1:$FB$1=$I98)*(Raw!$B$2:$FB$2=$H98), 0))</f>
        <v>0</v>
      </c>
      <c r="O98" s="11" cm="1">
        <f t="array" ref="O98">INDEX(Raw!G:FG, MATCH(O$4, Raw!$A:$A, 0), MATCH(1, (Raw!$B$1:$FB$1=$I98)*(Raw!$B$2:$FB$2=$H98), 0))</f>
        <v>1561000000</v>
      </c>
      <c r="P98" s="11" cm="1">
        <f t="array" ref="P98">INDEX(Raw!H:FH, MATCH(P$4, Raw!$A:$A, 0), MATCH(1, (Raw!$B$1:$FB$1=$I98)*(Raw!$B$2:$FB$2=$H98), 0))</f>
        <v>1280000000</v>
      </c>
      <c r="Q98" s="11" cm="1">
        <f t="array" ref="Q98">INDEX(Raw!I:FI, MATCH(Q$4, Raw!$A:$A, 0), MATCH(1, (Raw!$B$1:$FB$1=$I98)*(Raw!$B$2:$FB$2=$H98), 0))</f>
        <v>318000000</v>
      </c>
      <c r="R98" s="11" cm="1">
        <f t="array" ref="R98">INDEX(Raw!J:FJ, MATCH(R$4, Raw!$A:$A, 0), MATCH(1, (Raw!$B$1:$FB$1=$I98)*(Raw!$B$2:$FB$2=$H98), 0))</f>
        <v>1483000000</v>
      </c>
      <c r="S98" s="11" cm="1">
        <f t="array" ref="S98">INDEX(Raw!K:FK, MATCH(S$4, Raw!$A:$A, 0), MATCH(1, (Raw!$B$1:$FB$1=$I98)*(Raw!$B$2:$FB$2=$H98), 0))</f>
        <v>416000000</v>
      </c>
      <c r="T98" s="11" cm="1">
        <f t="array" ref="T98">INDEX(Raw!L:FL, MATCH(T$4, Raw!$A:$A, 0), MATCH(1, (Raw!$B$1:$FB$1=$I98)*(Raw!$B$2:$FB$2=$H98), 0))</f>
        <v>-58000000</v>
      </c>
      <c r="U98" s="11" cm="1">
        <f t="array" ref="U98">INDEX(Raw!M:FM, MATCH(U$4, Raw!$A:$A, 0), MATCH(1, (Raw!$B$1:$FB$1=$I98)*(Raw!$B$2:$FB$2=$H98), 0))</f>
        <v>0</v>
      </c>
      <c r="V98" s="11" cm="1">
        <f t="array" ref="V98">INDEX(Raw!N:FN, MATCH(V$4, Raw!$A:$A, 0), MATCH(1, (Raw!$B$1:$FB$1=$I98)*(Raw!$B$2:$FB$2=$H98), 0))</f>
        <v>787000000</v>
      </c>
      <c r="W98" s="11" cm="1">
        <f t="array" ref="W98">INDEX(Raw!O:FO, MATCH(W$4, Raw!$A:$A, 0), MATCH(1, (Raw!$B$1:$FB$1=$I98)*(Raw!$B$2:$FB$2=$H98), 0))</f>
        <v>0</v>
      </c>
      <c r="X98" s="11" cm="1">
        <f t="array" ref="X98">INDEX(Raw!P:FP, MATCH(X$4, Raw!$A:$A, 0), MATCH(1, (Raw!$B$1:$FB$1=$I98)*(Raw!$B$2:$FB$2=$H98), 0))</f>
        <v>747000000</v>
      </c>
      <c r="Y98" s="11" cm="1">
        <f t="array" ref="Y98">INDEX(Raw!Q:FQ, MATCH(Y$4, Raw!$A:$A, 0), MATCH(1, (Raw!$B$1:$FB$1=$I98)*(Raw!$B$2:$FB$2=$H98), 0))</f>
        <v>0</v>
      </c>
      <c r="Z98" s="11" cm="1">
        <f t="array" ref="Z98">INDEX(Raw!R:FR, MATCH(Z$4, Raw!$A:$A, 0), MATCH(1, (Raw!$B$1:$FB$1=$I98)*(Raw!$B$2:$FB$2=$H98), 0))</f>
        <v>0</v>
      </c>
      <c r="AA98" s="11" cm="1">
        <f t="array" ref="AA98">INDEX(Raw!S:FS, MATCH(AA$4, Raw!$A:$A, 0), MATCH(1, (Raw!$B$1:$FB$1=$I98)*(Raw!$B$2:$FB$2=$H98), 0))</f>
        <v>0</v>
      </c>
      <c r="AB98" s="11" cm="1">
        <f t="array" ref="AB98">INDEX(Raw!T:FT, MATCH(AB$4, Raw!$A:$A, 0), MATCH(1, (Raw!$B$1:$FB$1=$I98)*(Raw!$B$2:$FB$2=$H98), 0))</f>
        <v>0</v>
      </c>
      <c r="AC98" s="11" cm="1">
        <f t="array" ref="AC98">INDEX(Raw!U:FU, MATCH(AC$4, Raw!$A:$A, 0), MATCH(1, (Raw!$B$1:$FB$1=$I98)*(Raw!$B$2:$FB$2=$H98), 0))</f>
        <v>0.16500000000000001</v>
      </c>
      <c r="AD98" s="11" cm="1">
        <f t="array" ref="AD98">INDEX(Raw!V:FV, MATCH(AD$4, Raw!$A:$A, 0), MATCH(1, (Raw!$B$1:$FB$1=$I98)*(Raw!$B$2:$FB$2=$H98), 0))</f>
        <v>0.20499999999999999</v>
      </c>
    </row>
    <row r="99" spans="6:30" x14ac:dyDescent="0.25">
      <c r="F99" s="11" t="s">
        <v>28</v>
      </c>
      <c r="G99" s="15">
        <f t="shared" ca="1" si="2"/>
        <v>46088</v>
      </c>
      <c r="H99" s="11">
        <f>H98</f>
        <v>2002</v>
      </c>
      <c r="I99" s="11" t="s">
        <v>23</v>
      </c>
      <c r="J99" s="11" cm="1">
        <f t="array" ref="J99">INDEX(Raw!B:FB, MATCH(J$4, Raw!$A:$A, 0), MATCH(1, (Raw!$B$1:$FB$1=$I99)*(Raw!$B$2:$FB$2=$H99), 0))</f>
        <v>5368000000</v>
      </c>
      <c r="K99" s="11" cm="1">
        <f t="array" ref="K99">INDEX(Raw!C:FC, MATCH(K$4, Raw!$A:$A, 0), MATCH(1, (Raw!$B$1:$FB$1=$I99)*(Raw!$B$2:$FB$2=$H99), 0))</f>
        <v>1394000000</v>
      </c>
      <c r="L99" s="11" cm="1">
        <f t="array" ref="L99">INDEX(Raw!D:FD, MATCH(L$4, Raw!$A:$A, 0), MATCH(1, (Raw!$B$1:$FB$1=$I99)*(Raw!$B$2:$FB$2=$H99), 0))</f>
        <v>2810000000</v>
      </c>
      <c r="M99" s="11" cm="1">
        <f t="array" ref="M99">INDEX(Raw!E:FE, MATCH(M$4, Raw!$A:$A, 0), MATCH(1, (Raw!$B$1:$FB$1=$I99)*(Raw!$B$2:$FB$2=$H99), 0))</f>
        <v>1692000000</v>
      </c>
      <c r="N99" s="11" cm="1">
        <f t="array" ref="N99">INDEX(Raw!F:FF, MATCH(N$4, Raw!$A:$A, 0), MATCH(1, (Raw!$B$1:$FB$1=$I99)*(Raw!$B$2:$FB$2=$H99), 0))</f>
        <v>0</v>
      </c>
      <c r="O99" s="11" cm="1">
        <f t="array" ref="O99">INDEX(Raw!G:FG, MATCH(O$4, Raw!$A:$A, 0), MATCH(1, (Raw!$B$1:$FB$1=$I99)*(Raw!$B$2:$FB$2=$H99), 0))</f>
        <v>1334000000</v>
      </c>
      <c r="P99" s="11" cm="1">
        <f t="array" ref="P99">INDEX(Raw!H:FH, MATCH(P$4, Raw!$A:$A, 0), MATCH(1, (Raw!$B$1:$FB$1=$I99)*(Raw!$B$2:$FB$2=$H99), 0))</f>
        <v>159000000</v>
      </c>
      <c r="Q99" s="11" cm="1">
        <f t="array" ref="Q99">INDEX(Raw!I:FI, MATCH(Q$4, Raw!$A:$A, 0), MATCH(1, (Raw!$B$1:$FB$1=$I99)*(Raw!$B$2:$FB$2=$H99), 0))</f>
        <v>156000000</v>
      </c>
      <c r="R99" s="11" cm="1">
        <f t="array" ref="R99">INDEX(Raw!J:FJ, MATCH(R$4, Raw!$A:$A, 0), MATCH(1, (Raw!$B$1:$FB$1=$I99)*(Raw!$B$2:$FB$2=$H99), 0))</f>
        <v>1342000000</v>
      </c>
      <c r="S99" s="11" cm="1">
        <f t="array" ref="S99">INDEX(Raw!K:FK, MATCH(S$4, Raw!$A:$A, 0), MATCH(1, (Raw!$B$1:$FB$1=$I99)*(Raw!$B$2:$FB$2=$H99), 0))</f>
        <v>155000000</v>
      </c>
      <c r="T99" s="11" cm="1">
        <f t="array" ref="T99">INDEX(Raw!L:FL, MATCH(T$4, Raw!$A:$A, 0), MATCH(1, (Raw!$B$1:$FB$1=$I99)*(Raw!$B$2:$FB$2=$H99), 0))</f>
        <v>-45000000</v>
      </c>
      <c r="U99" s="11" cm="1">
        <f t="array" ref="U99">INDEX(Raw!M:FM, MATCH(U$4, Raw!$A:$A, 0), MATCH(1, (Raw!$B$1:$FB$1=$I99)*(Raw!$B$2:$FB$2=$H99), 0))</f>
        <v>0</v>
      </c>
      <c r="V99" s="11" cm="1">
        <f t="array" ref="V99">INDEX(Raw!N:FN, MATCH(V$4, Raw!$A:$A, 0), MATCH(1, (Raw!$B$1:$FB$1=$I99)*(Raw!$B$2:$FB$2=$H99), 0))</f>
        <v>942000000</v>
      </c>
      <c r="W99" s="11" cm="1">
        <f t="array" ref="W99">INDEX(Raw!O:FO, MATCH(W$4, Raw!$A:$A, 0), MATCH(1, (Raw!$B$1:$FB$1=$I99)*(Raw!$B$2:$FB$2=$H99), 0))</f>
        <v>0</v>
      </c>
      <c r="X99" s="11" cm="1">
        <f t="array" ref="X99">INDEX(Raw!P:FP, MATCH(X$4, Raw!$A:$A, 0), MATCH(1, (Raw!$B$1:$FB$1=$I99)*(Raw!$B$2:$FB$2=$H99), 0))</f>
        <v>597000000</v>
      </c>
      <c r="Y99" s="11" cm="1">
        <f t="array" ref="Y99">INDEX(Raw!Q:FQ, MATCH(Y$4, Raw!$A:$A, 0), MATCH(1, (Raw!$B$1:$FB$1=$I99)*(Raw!$B$2:$FB$2=$H99), 0))</f>
        <v>0</v>
      </c>
      <c r="Z99" s="11" cm="1">
        <f t="array" ref="Z99">INDEX(Raw!R:FR, MATCH(Z$4, Raw!$A:$A, 0), MATCH(1, (Raw!$B$1:$FB$1=$I99)*(Raw!$B$2:$FB$2=$H99), 0))</f>
        <v>0</v>
      </c>
      <c r="AA99" s="11" cm="1">
        <f t="array" ref="AA99">INDEX(Raw!S:FS, MATCH(AA$4, Raw!$A:$A, 0), MATCH(1, (Raw!$B$1:$FB$1=$I99)*(Raw!$B$2:$FB$2=$H99), 0))</f>
        <v>0</v>
      </c>
      <c r="AB99" s="11" cm="1">
        <f t="array" ref="AB99">INDEX(Raw!T:FT, MATCH(AB$4, Raw!$A:$A, 0), MATCH(1, (Raw!$B$1:$FB$1=$I99)*(Raw!$B$2:$FB$2=$H99), 0))</f>
        <v>0</v>
      </c>
      <c r="AC99" s="11" cm="1">
        <f t="array" ref="AC99">INDEX(Raw!U:FU, MATCH(AC$4, Raw!$A:$A, 0), MATCH(1, (Raw!$B$1:$FB$1=$I99)*(Raw!$B$2:$FB$2=$H99), 0))</f>
        <v>0.20499999999999999</v>
      </c>
      <c r="AD99" s="11" cm="1">
        <f t="array" ref="AD99">INDEX(Raw!V:FV, MATCH(AD$4, Raw!$A:$A, 0), MATCH(1, (Raw!$B$1:$FB$1=$I99)*(Raw!$B$2:$FB$2=$H99), 0))</f>
        <v>0.26500000000000001</v>
      </c>
    </row>
    <row r="100" spans="6:30" x14ac:dyDescent="0.25">
      <c r="F100" s="11" t="s">
        <v>28</v>
      </c>
      <c r="G100" s="15">
        <f t="shared" ca="1" si="2"/>
        <v>46088</v>
      </c>
      <c r="H100" s="11">
        <f>H99</f>
        <v>2002</v>
      </c>
      <c r="I100" s="11" t="s">
        <v>24</v>
      </c>
      <c r="J100" s="11" cm="1">
        <f t="array" ref="J100">INDEX(Raw!B:FB, MATCH(J$4, Raw!$A:$A, 0), MATCH(1, (Raw!$B$1:$FB$1=$I100)*(Raw!$B$2:$FB$2=$H100), 0))</f>
        <v>4079000000</v>
      </c>
      <c r="K100" s="11" cm="1">
        <f t="array" ref="K100">INDEX(Raw!C:FC, MATCH(K$4, Raw!$A:$A, 0), MATCH(1, (Raw!$B$1:$FB$1=$I100)*(Raw!$B$2:$FB$2=$H100), 0))</f>
        <v>1428000000</v>
      </c>
      <c r="L100" s="11" cm="1">
        <f t="array" ref="L100">INDEX(Raw!D:FD, MATCH(L$4, Raw!$A:$A, 0), MATCH(1, (Raw!$B$1:$FB$1=$I100)*(Raw!$B$2:$FB$2=$H100), 0))</f>
        <v>3003000000</v>
      </c>
      <c r="M100" s="11" cm="1">
        <f t="array" ref="M100">INDEX(Raw!E:FE, MATCH(M$4, Raw!$A:$A, 0), MATCH(1, (Raw!$B$1:$FB$1=$I100)*(Raw!$B$2:$FB$2=$H100), 0))</f>
        <v>1561000000</v>
      </c>
      <c r="N100" s="11" cm="1">
        <f t="array" ref="N100">INDEX(Raw!F:FF, MATCH(N$4, Raw!$A:$A, 0), MATCH(1, (Raw!$B$1:$FB$1=$I100)*(Raw!$B$2:$FB$2=$H100), 0))</f>
        <v>0</v>
      </c>
      <c r="O100" s="11" cm="1">
        <f t="array" ref="O100">INDEX(Raw!G:FG, MATCH(O$4, Raw!$A:$A, 0), MATCH(1, (Raw!$B$1:$FB$1=$I100)*(Raw!$B$2:$FB$2=$H100), 0))</f>
        <v>3351000000</v>
      </c>
      <c r="P100" s="11" cm="1">
        <f t="array" ref="P100">INDEX(Raw!H:FH, MATCH(P$4, Raw!$A:$A, 0), MATCH(1, (Raw!$B$1:$FB$1=$I100)*(Raw!$B$2:$FB$2=$H100), 0))</f>
        <v>1327000000</v>
      </c>
      <c r="Q100" s="11" cm="1">
        <f t="array" ref="Q100">INDEX(Raw!I:FI, MATCH(Q$4, Raw!$A:$A, 0), MATCH(1, (Raw!$B$1:$FB$1=$I100)*(Raw!$B$2:$FB$2=$H100), 0))</f>
        <v>57000000</v>
      </c>
      <c r="R100" s="11" cm="1">
        <f t="array" ref="R100">INDEX(Raw!J:FJ, MATCH(R$4, Raw!$A:$A, 0), MATCH(1, (Raw!$B$1:$FB$1=$I100)*(Raw!$B$2:$FB$2=$H100), 0))</f>
        <v>97000000</v>
      </c>
      <c r="S100" s="11" cm="1">
        <f t="array" ref="S100">INDEX(Raw!K:FK, MATCH(S$4, Raw!$A:$A, 0), MATCH(1, (Raw!$B$1:$FB$1=$I100)*(Raw!$B$2:$FB$2=$H100), 0))</f>
        <v>275000000</v>
      </c>
      <c r="T100" s="11" cm="1">
        <f t="array" ref="T100">INDEX(Raw!L:FL, MATCH(T$4, Raw!$A:$A, 0), MATCH(1, (Raw!$B$1:$FB$1=$I100)*(Raw!$B$2:$FB$2=$H100), 0))</f>
        <v>787000000</v>
      </c>
      <c r="U100" s="11" cm="1">
        <f t="array" ref="U100">INDEX(Raw!M:FM, MATCH(U$4, Raw!$A:$A, 0), MATCH(1, (Raw!$B$1:$FB$1=$I100)*(Raw!$B$2:$FB$2=$H100), 0))</f>
        <v>0</v>
      </c>
      <c r="V100" s="11" cm="1">
        <f t="array" ref="V100">INDEX(Raw!N:FN, MATCH(V$4, Raw!$A:$A, 0), MATCH(1, (Raw!$B$1:$FB$1=$I100)*(Raw!$B$2:$FB$2=$H100), 0))</f>
        <v>747000000</v>
      </c>
      <c r="W100" s="11" cm="1">
        <f t="array" ref="W100">INDEX(Raw!O:FO, MATCH(W$4, Raw!$A:$A, 0), MATCH(1, (Raw!$B$1:$FB$1=$I100)*(Raw!$B$2:$FB$2=$H100), 0))</f>
        <v>0</v>
      </c>
      <c r="X100" s="11" cm="1">
        <f t="array" ref="X100">INDEX(Raw!P:FP, MATCH(X$4, Raw!$A:$A, 0), MATCH(1, (Raw!$B$1:$FB$1=$I100)*(Raw!$B$2:$FB$2=$H100), 0))</f>
        <v>888000000</v>
      </c>
      <c r="Y100" s="11" cm="1">
        <f t="array" ref="Y100">INDEX(Raw!Q:FQ, MATCH(Y$4, Raw!$A:$A, 0), MATCH(1, (Raw!$B$1:$FB$1=$I100)*(Raw!$B$2:$FB$2=$H100), 0))</f>
        <v>0</v>
      </c>
      <c r="Z100" s="11" cm="1">
        <f t="array" ref="Z100">INDEX(Raw!R:FR, MATCH(Z$4, Raw!$A:$A, 0), MATCH(1, (Raw!$B$1:$FB$1=$I100)*(Raw!$B$2:$FB$2=$H100), 0))</f>
        <v>0</v>
      </c>
      <c r="AA100" s="11" cm="1">
        <f t="array" ref="AA100">INDEX(Raw!S:FS, MATCH(AA$4, Raw!$A:$A, 0), MATCH(1, (Raw!$B$1:$FB$1=$I100)*(Raw!$B$2:$FB$2=$H100), 0))</f>
        <v>0</v>
      </c>
      <c r="AB100" s="11" cm="1">
        <f t="array" ref="AB100">INDEX(Raw!T:FT, MATCH(AB$4, Raw!$A:$A, 0), MATCH(1, (Raw!$B$1:$FB$1=$I100)*(Raw!$B$2:$FB$2=$H100), 0))</f>
        <v>0</v>
      </c>
      <c r="AC100" s="11" cm="1">
        <f t="array" ref="AC100">INDEX(Raw!U:FU, MATCH(AC$4, Raw!$A:$A, 0), MATCH(1, (Raw!$B$1:$FB$1=$I100)*(Raw!$B$2:$FB$2=$H100), 0))</f>
        <v>0.26500000000000001</v>
      </c>
      <c r="AD100" s="11" cm="1">
        <f t="array" ref="AD100">INDEX(Raw!V:FV, MATCH(AD$4, Raw!$A:$A, 0), MATCH(1, (Raw!$B$1:$FB$1=$I100)*(Raw!$B$2:$FB$2=$H100), 0))</f>
        <v>0.2</v>
      </c>
    </row>
    <row r="101" spans="6:30" x14ac:dyDescent="0.25">
      <c r="F101" s="11" t="s">
        <v>28</v>
      </c>
      <c r="G101" s="15">
        <f t="shared" ref="G101:G132" ca="1" si="3">TODAY()</f>
        <v>46088</v>
      </c>
      <c r="H101" s="11">
        <f>H97-1</f>
        <v>2001</v>
      </c>
      <c r="I101" s="11" t="s">
        <v>21</v>
      </c>
      <c r="J101" s="11" cm="1">
        <f t="array" ref="J101">INDEX(Raw!B:FB, MATCH(J$4, Raw!$A:$A, 0), MATCH(1, (Raw!$B$1:$FB$1=$I101)*(Raw!$B$2:$FB$2=$H101), 0))</f>
        <v>4238000000</v>
      </c>
      <c r="K101" s="11" cm="1">
        <f t="array" ref="K101">INDEX(Raw!C:FC, MATCH(K$4, Raw!$A:$A, 0), MATCH(1, (Raw!$B$1:$FB$1=$I101)*(Raw!$B$2:$FB$2=$H101), 0))</f>
        <v>1692000000</v>
      </c>
      <c r="L101" s="11" cm="1">
        <f t="array" ref="L101">INDEX(Raw!D:FD, MATCH(L$4, Raw!$A:$A, 0), MATCH(1, (Raw!$B$1:$FB$1=$I101)*(Raw!$B$2:$FB$2=$H101), 0))</f>
        <v>3074000000</v>
      </c>
      <c r="M101" s="11" cm="1">
        <f t="array" ref="M101">INDEX(Raw!E:FE, MATCH(M$4, Raw!$A:$A, 0), MATCH(1, (Raw!$B$1:$FB$1=$I101)*(Raw!$B$2:$FB$2=$H101), 0))</f>
        <v>1334000000</v>
      </c>
      <c r="N101" s="11" cm="1">
        <f t="array" ref="N101">INDEX(Raw!F:FF, MATCH(N$4, Raw!$A:$A, 0), MATCH(1, (Raw!$B$1:$FB$1=$I101)*(Raw!$B$2:$FB$2=$H101), 0))</f>
        <v>-478000000</v>
      </c>
      <c r="O101" s="11" cm="1">
        <f t="array" ref="O101">INDEX(Raw!G:FG, MATCH(O$4, Raw!$A:$A, 0), MATCH(1, (Raw!$B$1:$FB$1=$I101)*(Raw!$B$2:$FB$2=$H101), 0))</f>
        <v>2350000000</v>
      </c>
      <c r="P101" s="11" cm="1">
        <f t="array" ref="P101">INDEX(Raw!H:FH, MATCH(P$4, Raw!$A:$A, 0), MATCH(1, (Raw!$B$1:$FB$1=$I101)*(Raw!$B$2:$FB$2=$H101), 0))</f>
        <v>1285000000</v>
      </c>
      <c r="Q101" s="11" cm="1">
        <f t="array" ref="Q101">INDEX(Raw!I:FI, MATCH(Q$4, Raw!$A:$A, 0), MATCH(1, (Raw!$B$1:$FB$1=$I101)*(Raw!$B$2:$FB$2=$H101), 0))</f>
        <v>-143000000</v>
      </c>
      <c r="R101" s="11" cm="1">
        <f t="array" ref="R101">INDEX(Raw!J:FJ, MATCH(R$4, Raw!$A:$A, 0), MATCH(1, (Raw!$B$1:$FB$1=$I101)*(Raw!$B$2:$FB$2=$H101), 0))</f>
        <v>230000000</v>
      </c>
      <c r="S101" s="11" cm="1">
        <f t="array" ref="S101">INDEX(Raw!K:FK, MATCH(S$4, Raw!$A:$A, 0), MATCH(1, (Raw!$B$1:$FB$1=$I101)*(Raw!$B$2:$FB$2=$H101), 0))</f>
        <v>354000000</v>
      </c>
      <c r="T101" s="11" cm="1">
        <f t="array" ref="T101">INDEX(Raw!L:FL, MATCH(T$4, Raw!$A:$A, 0), MATCH(1, (Raw!$B$1:$FB$1=$I101)*(Raw!$B$2:$FB$2=$H101), 0))</f>
        <v>942000000</v>
      </c>
      <c r="U101" s="11" cm="1">
        <f t="array" ref="U101">INDEX(Raw!M:FM, MATCH(U$4, Raw!$A:$A, 0), MATCH(1, (Raw!$B$1:$FB$1=$I101)*(Raw!$B$2:$FB$2=$H101), 0))</f>
        <v>0</v>
      </c>
      <c r="V101" s="11" cm="1">
        <f t="array" ref="V101">INDEX(Raw!N:FN, MATCH(V$4, Raw!$A:$A, 0), MATCH(1, (Raw!$B$1:$FB$1=$I101)*(Raw!$B$2:$FB$2=$H101), 0))</f>
        <v>597000000</v>
      </c>
      <c r="W101" s="11" cm="1">
        <f t="array" ref="W101">INDEX(Raw!O:FO, MATCH(W$4, Raw!$A:$A, 0), MATCH(1, (Raw!$B$1:$FB$1=$I101)*(Raw!$B$2:$FB$2=$H101), 0))</f>
        <v>0</v>
      </c>
      <c r="X101" s="11" cm="1">
        <f t="array" ref="X101">INDEX(Raw!P:FP, MATCH(X$4, Raw!$A:$A, 0), MATCH(1, (Raw!$B$1:$FB$1=$I101)*(Raw!$B$2:$FB$2=$H101), 0))</f>
        <v>1191000000</v>
      </c>
      <c r="Y101" s="11" cm="1">
        <f t="array" ref="Y101">INDEX(Raw!Q:FQ, MATCH(Y$4, Raw!$A:$A, 0), MATCH(1, (Raw!$B$1:$FB$1=$I101)*(Raw!$B$2:$FB$2=$H101), 0))</f>
        <v>0</v>
      </c>
      <c r="Z101" s="11" cm="1">
        <f t="array" ref="Z101">INDEX(Raw!R:FR, MATCH(Z$4, Raw!$A:$A, 0), MATCH(1, (Raw!$B$1:$FB$1=$I101)*(Raw!$B$2:$FB$2=$H101), 0))</f>
        <v>0</v>
      </c>
      <c r="AA101" s="11" cm="1">
        <f t="array" ref="AA101">INDEX(Raw!S:FS, MATCH(AA$4, Raw!$A:$A, 0), MATCH(1, (Raw!$B$1:$FB$1=$I101)*(Raw!$B$2:$FB$2=$H101), 0))</f>
        <v>0</v>
      </c>
      <c r="AB101" s="11" cm="1">
        <f t="array" ref="AB101">INDEX(Raw!T:FT, MATCH(AB$4, Raw!$A:$A, 0), MATCH(1, (Raw!$B$1:$FB$1=$I101)*(Raw!$B$2:$FB$2=$H101), 0))</f>
        <v>0</v>
      </c>
      <c r="AC101" s="11" cm="1">
        <f t="array" ref="AC101">INDEX(Raw!U:FU, MATCH(AC$4, Raw!$A:$A, 0), MATCH(1, (Raw!$B$1:$FB$1=$I101)*(Raw!$B$2:$FB$2=$H101), 0))</f>
        <v>0.2</v>
      </c>
      <c r="AD101" s="11" cm="1">
        <f t="array" ref="AD101">INDEX(Raw!V:FV, MATCH(AD$4, Raw!$A:$A, 0), MATCH(1, (Raw!$B$1:$FB$1=$I101)*(Raw!$B$2:$FB$2=$H101), 0))</f>
        <v>0.155</v>
      </c>
    </row>
    <row r="102" spans="6:30" x14ac:dyDescent="0.25">
      <c r="F102" s="11" t="s">
        <v>28</v>
      </c>
      <c r="G102" s="15">
        <f t="shared" ca="1" si="3"/>
        <v>46088</v>
      </c>
      <c r="H102" s="11">
        <f>H101</f>
        <v>2001</v>
      </c>
      <c r="I102" s="11" t="s">
        <v>22</v>
      </c>
      <c r="J102" s="11" cm="1">
        <f t="array" ref="J102">INDEX(Raw!B:FB, MATCH(J$4, Raw!$A:$A, 0), MATCH(1, (Raw!$B$1:$FB$1=$I102)*(Raw!$B$2:$FB$2=$H102), 0))</f>
        <v>4695000000</v>
      </c>
      <c r="K102" s="11" cm="1">
        <f t="array" ref="K102">INDEX(Raw!C:FC, MATCH(K$4, Raw!$A:$A, 0), MATCH(1, (Raw!$B$1:$FB$1=$I102)*(Raw!$B$2:$FB$2=$H102), 0))</f>
        <v>1579000000</v>
      </c>
      <c r="L102" s="11" cm="1">
        <f t="array" ref="L102">INDEX(Raw!D:FD, MATCH(L$4, Raw!$A:$A, 0), MATCH(1, (Raw!$B$1:$FB$1=$I102)*(Raw!$B$2:$FB$2=$H102), 0))</f>
        <v>2614000000</v>
      </c>
      <c r="M102" s="11" cm="1">
        <f t="array" ref="M102">INDEX(Raw!E:FE, MATCH(M$4, Raw!$A:$A, 0), MATCH(1, (Raw!$B$1:$FB$1=$I102)*(Raw!$B$2:$FB$2=$H102), 0))</f>
        <v>3351000000</v>
      </c>
      <c r="N102" s="11" cm="1">
        <f t="array" ref="N102">INDEX(Raw!F:FF, MATCH(N$4, Raw!$A:$A, 0), MATCH(1, (Raw!$B$1:$FB$1=$I102)*(Raw!$B$2:$FB$2=$H102), 0))</f>
        <v>-94000000</v>
      </c>
      <c r="O102" s="11" cm="1">
        <f t="array" ref="O102">INDEX(Raw!G:FG, MATCH(O$4, Raw!$A:$A, 0), MATCH(1, (Raw!$B$1:$FB$1=$I102)*(Raw!$B$2:$FB$2=$H102), 0))</f>
        <v>2525000000</v>
      </c>
      <c r="P102" s="11" cm="1">
        <f t="array" ref="P102">INDEX(Raw!H:FH, MATCH(P$4, Raw!$A:$A, 0), MATCH(1, (Raw!$B$1:$FB$1=$I102)*(Raw!$B$2:$FB$2=$H102), 0))</f>
        <v>240000000</v>
      </c>
      <c r="Q102" s="11" cm="1">
        <f t="array" ref="Q102">INDEX(Raw!I:FI, MATCH(Q$4, Raw!$A:$A, 0), MATCH(1, (Raw!$B$1:$FB$1=$I102)*(Raw!$B$2:$FB$2=$H102), 0))</f>
        <v>-119000000</v>
      </c>
      <c r="R102" s="11" cm="1">
        <f t="array" ref="R102">INDEX(Raw!J:FJ, MATCH(R$4, Raw!$A:$A, 0), MATCH(1, (Raw!$B$1:$FB$1=$I102)*(Raw!$B$2:$FB$2=$H102), 0))</f>
        <v>1141000000</v>
      </c>
      <c r="S102" s="11" cm="1">
        <f t="array" ref="S102">INDEX(Raw!K:FK, MATCH(S$4, Raw!$A:$A, 0), MATCH(1, (Raw!$B$1:$FB$1=$I102)*(Raw!$B$2:$FB$2=$H102), 0))</f>
        <v>424000000</v>
      </c>
      <c r="T102" s="11" cm="1">
        <f t="array" ref="T102">INDEX(Raw!L:FL, MATCH(T$4, Raw!$A:$A, 0), MATCH(1, (Raw!$B$1:$FB$1=$I102)*(Raw!$B$2:$FB$2=$H102), 0))</f>
        <v>747000000</v>
      </c>
      <c r="U102" s="11" cm="1">
        <f t="array" ref="U102">INDEX(Raw!M:FM, MATCH(U$4, Raw!$A:$A, 0), MATCH(1, (Raw!$B$1:$FB$1=$I102)*(Raw!$B$2:$FB$2=$H102), 0))</f>
        <v>0</v>
      </c>
      <c r="V102" s="11" cm="1">
        <f t="array" ref="V102">INDEX(Raw!N:FN, MATCH(V$4, Raw!$A:$A, 0), MATCH(1, (Raw!$B$1:$FB$1=$I102)*(Raw!$B$2:$FB$2=$H102), 0))</f>
        <v>888000000</v>
      </c>
      <c r="W102" s="11" cm="1">
        <f t="array" ref="W102">INDEX(Raw!O:FO, MATCH(W$4, Raw!$A:$A, 0), MATCH(1, (Raw!$B$1:$FB$1=$I102)*(Raw!$B$2:$FB$2=$H102), 0))</f>
        <v>0</v>
      </c>
      <c r="X102" s="11" cm="1">
        <f t="array" ref="X102">INDEX(Raw!P:FP, MATCH(X$4, Raw!$A:$A, 0), MATCH(1, (Raw!$B$1:$FB$1=$I102)*(Raw!$B$2:$FB$2=$H102), 0))</f>
        <v>857000000</v>
      </c>
      <c r="Y102" s="11" cm="1">
        <f t="array" ref="Y102">INDEX(Raw!Q:FQ, MATCH(Y$4, Raw!$A:$A, 0), MATCH(1, (Raw!$B$1:$FB$1=$I102)*(Raw!$B$2:$FB$2=$H102), 0))</f>
        <v>0</v>
      </c>
      <c r="Z102" s="11" cm="1">
        <f t="array" ref="Z102">INDEX(Raw!R:FR, MATCH(Z$4, Raw!$A:$A, 0), MATCH(1, (Raw!$B$1:$FB$1=$I102)*(Raw!$B$2:$FB$2=$H102), 0))</f>
        <v>0</v>
      </c>
      <c r="AA102" s="11" cm="1">
        <f t="array" ref="AA102">INDEX(Raw!S:FS, MATCH(AA$4, Raw!$A:$A, 0), MATCH(1, (Raw!$B$1:$FB$1=$I102)*(Raw!$B$2:$FB$2=$H102), 0))</f>
        <v>0</v>
      </c>
      <c r="AB102" s="11" cm="1">
        <f t="array" ref="AB102">INDEX(Raw!T:FT, MATCH(AB$4, Raw!$A:$A, 0), MATCH(1, (Raw!$B$1:$FB$1=$I102)*(Raw!$B$2:$FB$2=$H102), 0))</f>
        <v>0</v>
      </c>
      <c r="AC102" s="11" cm="1">
        <f t="array" ref="AC102">INDEX(Raw!U:FU, MATCH(AC$4, Raw!$A:$A, 0), MATCH(1, (Raw!$B$1:$FB$1=$I102)*(Raw!$B$2:$FB$2=$H102), 0))</f>
        <v>0.155</v>
      </c>
      <c r="AD102" s="11" cm="1">
        <f t="array" ref="AD102">INDEX(Raw!V:FV, MATCH(AD$4, Raw!$A:$A, 0), MATCH(1, (Raw!$B$1:$FB$1=$I102)*(Raw!$B$2:$FB$2=$H102), 0))</f>
        <v>0.19500000000000001</v>
      </c>
    </row>
    <row r="103" spans="6:30" x14ac:dyDescent="0.25">
      <c r="F103" s="11" t="s">
        <v>28</v>
      </c>
      <c r="G103" s="15">
        <f t="shared" ca="1" si="3"/>
        <v>46088</v>
      </c>
      <c r="H103" s="11">
        <f>H102</f>
        <v>2001</v>
      </c>
      <c r="I103" s="11" t="s">
        <v>23</v>
      </c>
      <c r="J103" s="11" cm="1">
        <f t="array" ref="J103">INDEX(Raw!B:FB, MATCH(J$4, Raw!$A:$A, 0), MATCH(1, (Raw!$B$1:$FB$1=$I103)*(Raw!$B$2:$FB$2=$H103), 0))</f>
        <v>4653000000</v>
      </c>
      <c r="K103" s="11" cm="1">
        <f t="array" ref="K103">INDEX(Raw!C:FC, MATCH(K$4, Raw!$A:$A, 0), MATCH(1, (Raw!$B$1:$FB$1=$I103)*(Raw!$B$2:$FB$2=$H103), 0))</f>
        <v>1345000000</v>
      </c>
      <c r="L103" s="11" cm="1">
        <f t="array" ref="L103">INDEX(Raw!D:FD, MATCH(L$4, Raw!$A:$A, 0), MATCH(1, (Raw!$B$1:$FB$1=$I103)*(Raw!$B$2:$FB$2=$H103), 0))</f>
        <v>3510000000</v>
      </c>
      <c r="M103" s="11" cm="1">
        <f t="array" ref="M103">INDEX(Raw!E:FE, MATCH(M$4, Raw!$A:$A, 0), MATCH(1, (Raw!$B$1:$FB$1=$I103)*(Raw!$B$2:$FB$2=$H103), 0))</f>
        <v>2256000000</v>
      </c>
      <c r="N103" s="11" cm="1">
        <f t="array" ref="N103">INDEX(Raw!F:FF, MATCH(N$4, Raw!$A:$A, 0), MATCH(1, (Raw!$B$1:$FB$1=$I103)*(Raw!$B$2:$FB$2=$H103), 0))</f>
        <v>-191000000</v>
      </c>
      <c r="O103" s="11" cm="1">
        <f t="array" ref="O103">INDEX(Raw!G:FG, MATCH(O$4, Raw!$A:$A, 0), MATCH(1, (Raw!$B$1:$FB$1=$I103)*(Raw!$B$2:$FB$2=$H103), 0))</f>
        <v>2618000000</v>
      </c>
      <c r="P103" s="11" cm="1">
        <f t="array" ref="P103">INDEX(Raw!H:FH, MATCH(P$4, Raw!$A:$A, 0), MATCH(1, (Raw!$B$1:$FB$1=$I103)*(Raw!$B$2:$FB$2=$H103), 0))</f>
        <v>477000000</v>
      </c>
      <c r="Q103" s="11" cm="1">
        <f t="array" ref="Q103">INDEX(Raw!I:FI, MATCH(Q$4, Raw!$A:$A, 0), MATCH(1, (Raw!$B$1:$FB$1=$I103)*(Raw!$B$2:$FB$2=$H103), 0))</f>
        <v>42000000</v>
      </c>
      <c r="R103" s="11" cm="1">
        <f t="array" ref="R103">INDEX(Raw!J:FJ, MATCH(R$4, Raw!$A:$A, 0), MATCH(1, (Raw!$B$1:$FB$1=$I103)*(Raw!$B$2:$FB$2=$H103), 0))</f>
        <v>1366000000</v>
      </c>
      <c r="S103" s="11" cm="1">
        <f t="array" ref="S103">INDEX(Raw!K:FK, MATCH(S$4, Raw!$A:$A, 0), MATCH(1, (Raw!$B$1:$FB$1=$I103)*(Raw!$B$2:$FB$2=$H103), 0))</f>
        <v>335000000</v>
      </c>
      <c r="T103" s="11" cm="1">
        <f t="array" ref="T103">INDEX(Raw!L:FL, MATCH(T$4, Raw!$A:$A, 0), MATCH(1, (Raw!$B$1:$FB$1=$I103)*(Raw!$B$2:$FB$2=$H103), 0))</f>
        <v>597000000</v>
      </c>
      <c r="U103" s="11" cm="1">
        <f t="array" ref="U103">INDEX(Raw!M:FM, MATCH(U$4, Raw!$A:$A, 0), MATCH(1, (Raw!$B$1:$FB$1=$I103)*(Raw!$B$2:$FB$2=$H103), 0))</f>
        <v>0</v>
      </c>
      <c r="V103" s="11" cm="1">
        <f t="array" ref="V103">INDEX(Raw!N:FN, MATCH(V$4, Raw!$A:$A, 0), MATCH(1, (Raw!$B$1:$FB$1=$I103)*(Raw!$B$2:$FB$2=$H103), 0))</f>
        <v>1191000000</v>
      </c>
      <c r="W103" s="11" cm="1">
        <f t="array" ref="W103">INDEX(Raw!O:FO, MATCH(W$4, Raw!$A:$A, 0), MATCH(1, (Raw!$B$1:$FB$1=$I103)*(Raw!$B$2:$FB$2=$H103), 0))</f>
        <v>0</v>
      </c>
      <c r="X103" s="11" cm="1">
        <f t="array" ref="X103">INDEX(Raw!P:FP, MATCH(X$4, Raw!$A:$A, 0), MATCH(1, (Raw!$B$1:$FB$1=$I103)*(Raw!$B$2:$FB$2=$H103), 0))</f>
        <v>817000000</v>
      </c>
      <c r="Y103" s="11" cm="1">
        <f t="array" ref="Y103">INDEX(Raw!Q:FQ, MATCH(Y$4, Raw!$A:$A, 0), MATCH(1, (Raw!$B$1:$FB$1=$I103)*(Raw!$B$2:$FB$2=$H103), 0))</f>
        <v>0</v>
      </c>
      <c r="Z103" s="11" cm="1">
        <f t="array" ref="Z103">INDEX(Raw!R:FR, MATCH(Z$4, Raw!$A:$A, 0), MATCH(1, (Raw!$B$1:$FB$1=$I103)*(Raw!$B$2:$FB$2=$H103), 0))</f>
        <v>0</v>
      </c>
      <c r="AA103" s="11" cm="1">
        <f t="array" ref="AA103">INDEX(Raw!S:FS, MATCH(AA$4, Raw!$A:$A, 0), MATCH(1, (Raw!$B$1:$FB$1=$I103)*(Raw!$B$2:$FB$2=$H103), 0))</f>
        <v>0</v>
      </c>
      <c r="AB103" s="11" cm="1">
        <f t="array" ref="AB103">INDEX(Raw!T:FT, MATCH(AB$4, Raw!$A:$A, 0), MATCH(1, (Raw!$B$1:$FB$1=$I103)*(Raw!$B$2:$FB$2=$H103), 0))</f>
        <v>0</v>
      </c>
      <c r="AC103" s="11" cm="1">
        <f t="array" ref="AC103">INDEX(Raw!U:FU, MATCH(AC$4, Raw!$A:$A, 0), MATCH(1, (Raw!$B$1:$FB$1=$I103)*(Raw!$B$2:$FB$2=$H103), 0))</f>
        <v>0.19500000000000001</v>
      </c>
      <c r="AD103" s="11" cm="1">
        <f t="array" ref="AD103">INDEX(Raw!V:FV, MATCH(AD$4, Raw!$A:$A, 0), MATCH(1, (Raw!$B$1:$FB$1=$I103)*(Raw!$B$2:$FB$2=$H103), 0))</f>
        <v>0.21</v>
      </c>
    </row>
    <row r="104" spans="6:30" x14ac:dyDescent="0.25">
      <c r="F104" s="11" t="s">
        <v>28</v>
      </c>
      <c r="G104" s="15">
        <f t="shared" ca="1" si="3"/>
        <v>46088</v>
      </c>
      <c r="H104" s="11">
        <f>H103</f>
        <v>2001</v>
      </c>
      <c r="I104" s="11" t="s">
        <v>24</v>
      </c>
      <c r="J104" s="11" cm="1">
        <f t="array" ref="J104">INDEX(Raw!B:FB, MATCH(J$4, Raw!$A:$A, 0), MATCH(1, (Raw!$B$1:$FB$1=$I104)*(Raw!$B$2:$FB$2=$H104), 0))</f>
        <v>3959000000</v>
      </c>
      <c r="K104" s="11" cm="1">
        <f t="array" ref="K104">INDEX(Raw!C:FC, MATCH(K$4, Raw!$A:$A, 0), MATCH(1, (Raw!$B$1:$FB$1=$I104)*(Raw!$B$2:$FB$2=$H104), 0))</f>
        <v>1393000000</v>
      </c>
      <c r="L104" s="11" cm="1">
        <f t="array" ref="L104">INDEX(Raw!D:FD, MATCH(L$4, Raw!$A:$A, 0), MATCH(1, (Raw!$B$1:$FB$1=$I104)*(Raw!$B$2:$FB$2=$H104), 0))</f>
        <v>3677000000</v>
      </c>
      <c r="M104" s="11" cm="1">
        <f t="array" ref="M104">INDEX(Raw!E:FE, MATCH(M$4, Raw!$A:$A, 0), MATCH(1, (Raw!$B$1:$FB$1=$I104)*(Raw!$B$2:$FB$2=$H104), 0))</f>
        <v>2334000000</v>
      </c>
      <c r="N104" s="11" cm="1">
        <f t="array" ref="N104">INDEX(Raw!F:FF, MATCH(N$4, Raw!$A:$A, 0), MATCH(1, (Raw!$B$1:$FB$1=$I104)*(Raw!$B$2:$FB$2=$H104), 0))</f>
        <v>-680000000</v>
      </c>
      <c r="O104" s="11" cm="1">
        <f t="array" ref="O104">INDEX(Raw!G:FG, MATCH(O$4, Raw!$A:$A, 0), MATCH(1, (Raw!$B$1:$FB$1=$I104)*(Raw!$B$2:$FB$2=$H104), 0))</f>
        <v>3118000000</v>
      </c>
      <c r="P104" s="11" cm="1">
        <f t="array" ref="P104">INDEX(Raw!H:FH, MATCH(P$4, Raw!$A:$A, 0), MATCH(1, (Raw!$B$1:$FB$1=$I104)*(Raw!$B$2:$FB$2=$H104), 0))</f>
        <v>1099000000</v>
      </c>
      <c r="Q104" s="11" cm="1">
        <f t="array" ref="Q104">INDEX(Raw!I:FI, MATCH(Q$4, Raw!$A:$A, 0), MATCH(1, (Raw!$B$1:$FB$1=$I104)*(Raw!$B$2:$FB$2=$H104), 0))</f>
        <v>-24000000</v>
      </c>
      <c r="R104" s="11" cm="1">
        <f t="array" ref="R104">INDEX(Raw!J:FJ, MATCH(R$4, Raw!$A:$A, 0), MATCH(1, (Raw!$B$1:$FB$1=$I104)*(Raw!$B$2:$FB$2=$H104), 0))</f>
        <v>1082000000</v>
      </c>
      <c r="S104" s="11" cm="1">
        <f t="array" ref="S104">INDEX(Raw!K:FK, MATCH(S$4, Raw!$A:$A, 0), MATCH(1, (Raw!$B$1:$FB$1=$I104)*(Raw!$B$2:$FB$2=$H104), 0))</f>
        <v>268000000</v>
      </c>
      <c r="T104" s="11" cm="1">
        <f t="array" ref="T104">INDEX(Raw!L:FL, MATCH(T$4, Raw!$A:$A, 0), MATCH(1, (Raw!$B$1:$FB$1=$I104)*(Raw!$B$2:$FB$2=$H104), 0))</f>
        <v>888000000</v>
      </c>
      <c r="U104" s="11" cm="1">
        <f t="array" ref="U104">INDEX(Raw!M:FM, MATCH(U$4, Raw!$A:$A, 0), MATCH(1, (Raw!$B$1:$FB$1=$I104)*(Raw!$B$2:$FB$2=$H104), 0))</f>
        <v>0</v>
      </c>
      <c r="V104" s="11" cm="1">
        <f t="array" ref="V104">INDEX(Raw!N:FN, MATCH(V$4, Raw!$A:$A, 0), MATCH(1, (Raw!$B$1:$FB$1=$I104)*(Raw!$B$2:$FB$2=$H104), 0))</f>
        <v>857000000</v>
      </c>
      <c r="W104" s="11" cm="1">
        <f t="array" ref="W104">INDEX(Raw!O:FO, MATCH(W$4, Raw!$A:$A, 0), MATCH(1, (Raw!$B$1:$FB$1=$I104)*(Raw!$B$2:$FB$2=$H104), 0))</f>
        <v>0</v>
      </c>
      <c r="X104" s="11" cm="1">
        <f t="array" ref="X104">INDEX(Raw!P:FP, MATCH(X$4, Raw!$A:$A, 0), MATCH(1, (Raw!$B$1:$FB$1=$I104)*(Raw!$B$2:$FB$2=$H104), 0))</f>
        <v>1011000000</v>
      </c>
      <c r="Y104" s="11" cm="1">
        <f t="array" ref="Y104">INDEX(Raw!Q:FQ, MATCH(Y$4, Raw!$A:$A, 0), MATCH(1, (Raw!$B$1:$FB$1=$I104)*(Raw!$B$2:$FB$2=$H104), 0))</f>
        <v>0</v>
      </c>
      <c r="Z104" s="11" cm="1">
        <f t="array" ref="Z104">INDEX(Raw!R:FR, MATCH(Z$4, Raw!$A:$A, 0), MATCH(1, (Raw!$B$1:$FB$1=$I104)*(Raw!$B$2:$FB$2=$H104), 0))</f>
        <v>0</v>
      </c>
      <c r="AA104" s="11" cm="1">
        <f t="array" ref="AA104">INDEX(Raw!S:FS, MATCH(AA$4, Raw!$A:$A, 0), MATCH(1, (Raw!$B$1:$FB$1=$I104)*(Raw!$B$2:$FB$2=$H104), 0))</f>
        <v>0</v>
      </c>
      <c r="AB104" s="11" cm="1">
        <f t="array" ref="AB104">INDEX(Raw!T:FT, MATCH(AB$4, Raw!$A:$A, 0), MATCH(1, (Raw!$B$1:$FB$1=$I104)*(Raw!$B$2:$FB$2=$H104), 0))</f>
        <v>0</v>
      </c>
      <c r="AC104" s="11" cm="1">
        <f t="array" ref="AC104">INDEX(Raw!U:FU, MATCH(AC$4, Raw!$A:$A, 0), MATCH(1, (Raw!$B$1:$FB$1=$I104)*(Raw!$B$2:$FB$2=$H104), 0))</f>
        <v>0.21</v>
      </c>
      <c r="AD104" s="11" cm="1">
        <f t="array" ref="AD104">INDEX(Raw!V:FV, MATCH(AD$4, Raw!$A:$A, 0), MATCH(1, (Raw!$B$1:$FB$1=$I104)*(Raw!$B$2:$FB$2=$H104), 0))</f>
        <v>0.14249999999999999</v>
      </c>
    </row>
    <row r="105" spans="6:30" x14ac:dyDescent="0.25">
      <c r="F105" s="11" t="s">
        <v>28</v>
      </c>
      <c r="G105" s="15">
        <f t="shared" ca="1" si="3"/>
        <v>46088</v>
      </c>
      <c r="H105" s="11">
        <f>H101-1</f>
        <v>2000</v>
      </c>
      <c r="I105" s="11" t="s">
        <v>21</v>
      </c>
      <c r="J105" s="11" cm="1">
        <f t="array" ref="J105">INDEX(Raw!B:FB, MATCH(J$4, Raw!$A:$A, 0), MATCH(1, (Raw!$B$1:$FB$1=$I105)*(Raw!$B$2:$FB$2=$H105), 0))</f>
        <v>4903000000</v>
      </c>
      <c r="K105" s="11" cm="1">
        <f t="array" ref="K105">INDEX(Raw!C:FC, MATCH(K$4, Raw!$A:$A, 0), MATCH(1, (Raw!$B$1:$FB$1=$I105)*(Raw!$B$2:$FB$2=$H105), 0))</f>
        <v>1736000000</v>
      </c>
      <c r="L105" s="11" cm="1">
        <f t="array" ref="L105">INDEX(Raw!D:FD, MATCH(L$4, Raw!$A:$A, 0), MATCH(1, (Raw!$B$1:$FB$1=$I105)*(Raw!$B$2:$FB$2=$H105), 0))</f>
        <v>3810000000</v>
      </c>
      <c r="M105" s="11" cm="1">
        <f t="array" ref="M105">INDEX(Raw!E:FE, MATCH(M$4, Raw!$A:$A, 0), MATCH(1, (Raw!$B$1:$FB$1=$I105)*(Raw!$B$2:$FB$2=$H105), 0))</f>
        <v>1938000000</v>
      </c>
      <c r="N105" s="11" cm="1">
        <f t="array" ref="N105">INDEX(Raw!F:FF, MATCH(N$4, Raw!$A:$A, 0), MATCH(1, (Raw!$B$1:$FB$1=$I105)*(Raw!$B$2:$FB$2=$H105), 0))</f>
        <v>0</v>
      </c>
      <c r="O105" s="11" cm="1">
        <f t="array" ref="O105">INDEX(Raw!G:FG, MATCH(O$4, Raw!$A:$A, 0), MATCH(1, (Raw!$B$1:$FB$1=$I105)*(Raw!$B$2:$FB$2=$H105), 0))</f>
        <v>2390000000</v>
      </c>
      <c r="P105" s="11" cm="1">
        <f t="array" ref="P105">INDEX(Raw!H:FH, MATCH(P$4, Raw!$A:$A, 0), MATCH(1, (Raw!$B$1:$FB$1=$I105)*(Raw!$B$2:$FB$2=$H105), 0))</f>
        <v>1390000000</v>
      </c>
      <c r="Q105" s="11" cm="1">
        <f t="array" ref="Q105">INDEX(Raw!I:FI, MATCH(Q$4, Raw!$A:$A, 0), MATCH(1, (Raw!$B$1:$FB$1=$I105)*(Raw!$B$2:$FB$2=$H105), 0))</f>
        <v>-62000000</v>
      </c>
      <c r="R105" s="11" cm="1">
        <f t="array" ref="R105">INDEX(Raw!J:FJ, MATCH(R$4, Raw!$A:$A, 0), MATCH(1, (Raw!$B$1:$FB$1=$I105)*(Raw!$B$2:$FB$2=$H105), 0))</f>
        <v>865000000</v>
      </c>
      <c r="S105" s="11" cm="1">
        <f t="array" ref="S105">INDEX(Raw!K:FK, MATCH(S$4, Raw!$A:$A, 0), MATCH(1, (Raw!$B$1:$FB$1=$I105)*(Raw!$B$2:$FB$2=$H105), 0))</f>
        <v>399000000</v>
      </c>
      <c r="T105" s="11" cm="1">
        <f t="array" ref="T105">INDEX(Raw!L:FL, MATCH(T$4, Raw!$A:$A, 0), MATCH(1, (Raw!$B$1:$FB$1=$I105)*(Raw!$B$2:$FB$2=$H105), 0))</f>
        <v>1191000000</v>
      </c>
      <c r="U105" s="11" cm="1">
        <f t="array" ref="U105">INDEX(Raw!M:FM, MATCH(U$4, Raw!$A:$A, 0), MATCH(1, (Raw!$B$1:$FB$1=$I105)*(Raw!$B$2:$FB$2=$H105), 0))</f>
        <v>0</v>
      </c>
      <c r="V105" s="11" cm="1">
        <f t="array" ref="V105">INDEX(Raw!N:FN, MATCH(V$4, Raw!$A:$A, 0), MATCH(1, (Raw!$B$1:$FB$1=$I105)*(Raw!$B$2:$FB$2=$H105), 0))</f>
        <v>817000000</v>
      </c>
      <c r="W105" s="11" cm="1">
        <f t="array" ref="W105">INDEX(Raw!O:FO, MATCH(W$4, Raw!$A:$A, 0), MATCH(1, (Raw!$B$1:$FB$1=$I105)*(Raw!$B$2:$FB$2=$H105), 0))</f>
        <v>0</v>
      </c>
      <c r="X105" s="11" cm="1">
        <f t="array" ref="X105">INDEX(Raw!P:FP, MATCH(X$4, Raw!$A:$A, 0), MATCH(1, (Raw!$B$1:$FB$1=$I105)*(Raw!$B$2:$FB$2=$H105), 0))</f>
        <v>1314000000</v>
      </c>
      <c r="Y105" s="11" cm="1">
        <f t="array" ref="Y105">INDEX(Raw!Q:FQ, MATCH(Y$4, Raw!$A:$A, 0), MATCH(1, (Raw!$B$1:$FB$1=$I105)*(Raw!$B$2:$FB$2=$H105), 0))</f>
        <v>0</v>
      </c>
      <c r="Z105" s="11" cm="1">
        <f t="array" ref="Z105">INDEX(Raw!R:FR, MATCH(Z$4, Raw!$A:$A, 0), MATCH(1, (Raw!$B$1:$FB$1=$I105)*(Raw!$B$2:$FB$2=$H105), 0))</f>
        <v>0</v>
      </c>
      <c r="AA105" s="11" cm="1">
        <f t="array" ref="AA105">INDEX(Raw!S:FS, MATCH(AA$4, Raw!$A:$A, 0), MATCH(1, (Raw!$B$1:$FB$1=$I105)*(Raw!$B$2:$FB$2=$H105), 0))</f>
        <v>0</v>
      </c>
      <c r="AB105" s="11" cm="1">
        <f t="array" ref="AB105">INDEX(Raw!T:FT, MATCH(AB$4, Raw!$A:$A, 0), MATCH(1, (Raw!$B$1:$FB$1=$I105)*(Raw!$B$2:$FB$2=$H105), 0))</f>
        <v>0</v>
      </c>
      <c r="AC105" s="11" cm="1">
        <f t="array" ref="AC105">INDEX(Raw!U:FU, MATCH(AC$4, Raw!$A:$A, 0), MATCH(1, (Raw!$B$1:$FB$1=$I105)*(Raw!$B$2:$FB$2=$H105), 0))</f>
        <v>0.14249999999999999</v>
      </c>
      <c r="AD105" s="11" cm="1">
        <f t="array" ref="AD105">INDEX(Raw!V:FV, MATCH(AD$4, Raw!$A:$A, 0), MATCH(1, (Raw!$B$1:$FB$1=$I105)*(Raw!$B$2:$FB$2=$H105), 0))</f>
        <v>0.13</v>
      </c>
    </row>
    <row r="106" spans="6:30" x14ac:dyDescent="0.25">
      <c r="F106" s="11" t="s">
        <v>28</v>
      </c>
      <c r="G106" s="15">
        <f t="shared" ca="1" si="3"/>
        <v>46088</v>
      </c>
      <c r="H106" s="11">
        <f>H105</f>
        <v>2000</v>
      </c>
      <c r="I106" s="11" t="s">
        <v>22</v>
      </c>
      <c r="J106" s="11" cm="1">
        <f t="array" ref="J106">INDEX(Raw!B:FB, MATCH(J$4, Raw!$A:$A, 0), MATCH(1, (Raw!$B$1:$FB$1=$I106)*(Raw!$B$2:$FB$2=$H106), 0))</f>
        <v>5413000000</v>
      </c>
      <c r="K106" s="11" cm="1">
        <f t="array" ref="K106">INDEX(Raw!C:FC, MATCH(K$4, Raw!$A:$A, 0), MATCH(1, (Raw!$B$1:$FB$1=$I106)*(Raw!$B$2:$FB$2=$H106), 0))</f>
        <v>1677000000</v>
      </c>
      <c r="L106" s="11" cm="1">
        <f t="array" ref="L106">INDEX(Raw!D:FD, MATCH(L$4, Raw!$A:$A, 0), MATCH(1, (Raw!$B$1:$FB$1=$I106)*(Raw!$B$2:$FB$2=$H106), 0))</f>
        <v>2858000000</v>
      </c>
      <c r="M106" s="11" cm="1">
        <f t="array" ref="M106">INDEX(Raw!E:FE, MATCH(M$4, Raw!$A:$A, 0), MATCH(1, (Raw!$B$1:$FB$1=$I106)*(Raw!$B$2:$FB$2=$H106), 0))</f>
        <v>3118000000</v>
      </c>
      <c r="N106" s="11" cm="1">
        <f t="array" ref="N106">INDEX(Raw!F:FF, MATCH(N$4, Raw!$A:$A, 0), MATCH(1, (Raw!$B$1:$FB$1=$I106)*(Raw!$B$2:$FB$2=$H106), 0))</f>
        <v>0</v>
      </c>
      <c r="O106" s="11" cm="1">
        <f t="array" ref="O106">INDEX(Raw!G:FG, MATCH(O$4, Raw!$A:$A, 0), MATCH(1, (Raw!$B$1:$FB$1=$I106)*(Raw!$B$2:$FB$2=$H106), 0))</f>
        <v>2353000000</v>
      </c>
      <c r="P106" s="11" cm="1">
        <f t="array" ref="P106">INDEX(Raw!H:FH, MATCH(P$4, Raw!$A:$A, 0), MATCH(1, (Raw!$B$1:$FB$1=$I106)*(Raw!$B$2:$FB$2=$H106), 0))</f>
        <v>1144000000</v>
      </c>
      <c r="Q106" s="11" cm="1">
        <f t="array" ref="Q106">INDEX(Raw!I:FI, MATCH(Q$4, Raw!$A:$A, 0), MATCH(1, (Raw!$B$1:$FB$1=$I106)*(Raw!$B$2:$FB$2=$H106), 0))</f>
        <v>-72000000</v>
      </c>
      <c r="R106" s="11" cm="1">
        <f t="array" ref="R106">INDEX(Raw!J:FJ, MATCH(R$4, Raw!$A:$A, 0), MATCH(1, (Raw!$B$1:$FB$1=$I106)*(Raw!$B$2:$FB$2=$H106), 0))</f>
        <v>1287000000</v>
      </c>
      <c r="S106" s="11" cm="1">
        <f t="array" ref="S106">INDEX(Raw!K:FK, MATCH(S$4, Raw!$A:$A, 0), MATCH(1, (Raw!$B$1:$FB$1=$I106)*(Raw!$B$2:$FB$2=$H106), 0))</f>
        <v>612000000</v>
      </c>
      <c r="T106" s="11" cm="1">
        <f t="array" ref="T106">INDEX(Raw!L:FL, MATCH(T$4, Raw!$A:$A, 0), MATCH(1, (Raw!$B$1:$FB$1=$I106)*(Raw!$B$2:$FB$2=$H106), 0))</f>
        <v>857000000</v>
      </c>
      <c r="U106" s="11" cm="1">
        <f t="array" ref="U106">INDEX(Raw!M:FM, MATCH(U$4, Raw!$A:$A, 0), MATCH(1, (Raw!$B$1:$FB$1=$I106)*(Raw!$B$2:$FB$2=$H106), 0))</f>
        <v>0</v>
      </c>
      <c r="V106" s="11" cm="1">
        <f t="array" ref="V106">INDEX(Raw!N:FN, MATCH(V$4, Raw!$A:$A, 0), MATCH(1, (Raw!$B$1:$FB$1=$I106)*(Raw!$B$2:$FB$2=$H106), 0))</f>
        <v>1011000000</v>
      </c>
      <c r="W106" s="11" cm="1">
        <f t="array" ref="W106">INDEX(Raw!O:FO, MATCH(W$4, Raw!$A:$A, 0), MATCH(1, (Raw!$B$1:$FB$1=$I106)*(Raw!$B$2:$FB$2=$H106), 0))</f>
        <v>0</v>
      </c>
      <c r="X106" s="11" cm="1">
        <f t="array" ref="X106">INDEX(Raw!P:FP, MATCH(X$4, Raw!$A:$A, 0), MATCH(1, (Raw!$B$1:$FB$1=$I106)*(Raw!$B$2:$FB$2=$H106), 0))</f>
        <v>987000000</v>
      </c>
      <c r="Y106" s="11" cm="1">
        <f t="array" ref="Y106">INDEX(Raw!Q:FQ, MATCH(Y$4, Raw!$A:$A, 0), MATCH(1, (Raw!$B$1:$FB$1=$I106)*(Raw!$B$2:$FB$2=$H106), 0))</f>
        <v>0</v>
      </c>
      <c r="Z106" s="11" cm="1">
        <f t="array" ref="Z106">INDEX(Raw!R:FR, MATCH(Z$4, Raw!$A:$A, 0), MATCH(1, (Raw!$B$1:$FB$1=$I106)*(Raw!$B$2:$FB$2=$H106), 0))</f>
        <v>0</v>
      </c>
      <c r="AA106" s="11" cm="1">
        <f t="array" ref="AA106">INDEX(Raw!S:FS, MATCH(AA$4, Raw!$A:$A, 0), MATCH(1, (Raw!$B$1:$FB$1=$I106)*(Raw!$B$2:$FB$2=$H106), 0))</f>
        <v>0</v>
      </c>
      <c r="AB106" s="11" cm="1">
        <f t="array" ref="AB106">INDEX(Raw!T:FT, MATCH(AB$4, Raw!$A:$A, 0), MATCH(1, (Raw!$B$1:$FB$1=$I106)*(Raw!$B$2:$FB$2=$H106), 0))</f>
        <v>0</v>
      </c>
      <c r="AC106" s="11" cm="1">
        <f t="array" ref="AC106">INDEX(Raw!U:FU, MATCH(AC$4, Raw!$A:$A, 0), MATCH(1, (Raw!$B$1:$FB$1=$I106)*(Raw!$B$2:$FB$2=$H106), 0))</f>
        <v>0.13</v>
      </c>
      <c r="AD106" s="11" cm="1">
        <f t="array" ref="AD106">INDEX(Raw!V:FV, MATCH(AD$4, Raw!$A:$A, 0), MATCH(1, (Raw!$B$1:$FB$1=$I106)*(Raw!$B$2:$FB$2=$H106), 0))</f>
        <v>0.16</v>
      </c>
    </row>
    <row r="107" spans="6:30" x14ac:dyDescent="0.25">
      <c r="F107" s="11" t="s">
        <v>28</v>
      </c>
      <c r="G107" s="15">
        <f t="shared" ca="1" si="3"/>
        <v>46088</v>
      </c>
      <c r="H107" s="11">
        <f>H106</f>
        <v>2000</v>
      </c>
      <c r="I107" s="11" t="s">
        <v>23</v>
      </c>
      <c r="J107" s="11" cm="1">
        <f t="array" ref="J107">INDEX(Raw!B:FB, MATCH(J$4, Raw!$A:$A, 0), MATCH(1, (Raw!$B$1:$FB$1=$I107)*(Raw!$B$2:$FB$2=$H107), 0))</f>
        <v>5487000000</v>
      </c>
      <c r="K107" s="11" cm="1">
        <f t="array" ref="K107">INDEX(Raw!C:FC, MATCH(K$4, Raw!$A:$A, 0), MATCH(1, (Raw!$B$1:$FB$1=$I107)*(Raw!$B$2:$FB$2=$H107), 0))</f>
        <v>1398000000</v>
      </c>
      <c r="L107" s="11" cm="1">
        <f t="array" ref="L107">INDEX(Raw!D:FD, MATCH(L$4, Raw!$A:$A, 0), MATCH(1, (Raw!$B$1:$FB$1=$I107)*(Raw!$B$2:$FB$2=$H107), 0))</f>
        <v>3595000000</v>
      </c>
      <c r="M107" s="11" cm="1">
        <f t="array" ref="M107">INDEX(Raw!E:FE, MATCH(M$4, Raw!$A:$A, 0), MATCH(1, (Raw!$B$1:$FB$1=$I107)*(Raw!$B$2:$FB$2=$H107), 0))</f>
        <v>2390000000</v>
      </c>
      <c r="N107" s="11" cm="1">
        <f t="array" ref="N107">INDEX(Raw!F:FF, MATCH(N$4, Raw!$A:$A, 0), MATCH(1, (Raw!$B$1:$FB$1=$I107)*(Raw!$B$2:$FB$2=$H107), 0))</f>
        <v>0</v>
      </c>
      <c r="O107" s="11" cm="1">
        <f t="array" ref="O107">INDEX(Raw!G:FG, MATCH(O$4, Raw!$A:$A, 0), MATCH(1, (Raw!$B$1:$FB$1=$I107)*(Raw!$B$2:$FB$2=$H107), 0))</f>
        <v>1953000000</v>
      </c>
      <c r="P107" s="11" cm="1">
        <f t="array" ref="P107">INDEX(Raw!H:FH, MATCH(P$4, Raw!$A:$A, 0), MATCH(1, (Raw!$B$1:$FB$1=$I107)*(Raw!$B$2:$FB$2=$H107), 0))</f>
        <v>937000000</v>
      </c>
      <c r="Q107" s="11" cm="1">
        <f t="array" ref="Q107">INDEX(Raw!I:FI, MATCH(Q$4, Raw!$A:$A, 0), MATCH(1, (Raw!$B$1:$FB$1=$I107)*(Raw!$B$2:$FB$2=$H107), 0))</f>
        <v>50000000</v>
      </c>
      <c r="R107" s="11" cm="1">
        <f t="array" ref="R107">INDEX(Raw!J:FJ, MATCH(R$4, Raw!$A:$A, 0), MATCH(1, (Raw!$B$1:$FB$1=$I107)*(Raw!$B$2:$FB$2=$H107), 0))</f>
        <v>1803000000</v>
      </c>
      <c r="S107" s="11" cm="1">
        <f t="array" ref="S107">INDEX(Raw!K:FK, MATCH(S$4, Raw!$A:$A, 0), MATCH(1, (Raw!$B$1:$FB$1=$I107)*(Raw!$B$2:$FB$2=$H107), 0))</f>
        <v>386000000</v>
      </c>
      <c r="T107" s="11" cm="1">
        <f t="array" ref="T107">INDEX(Raw!L:FL, MATCH(T$4, Raw!$A:$A, 0), MATCH(1, (Raw!$B$1:$FB$1=$I107)*(Raw!$B$2:$FB$2=$H107), 0))</f>
        <v>817000000</v>
      </c>
      <c r="U107" s="11" cm="1">
        <f t="array" ref="U107">INDEX(Raw!M:FM, MATCH(U$4, Raw!$A:$A, 0), MATCH(1, (Raw!$B$1:$FB$1=$I107)*(Raw!$B$2:$FB$2=$H107), 0))</f>
        <v>0</v>
      </c>
      <c r="V107" s="11" cm="1">
        <f t="array" ref="V107">INDEX(Raw!N:FN, MATCH(V$4, Raw!$A:$A, 0), MATCH(1, (Raw!$B$1:$FB$1=$I107)*(Raw!$B$2:$FB$2=$H107), 0))</f>
        <v>1314000000</v>
      </c>
      <c r="W107" s="11" cm="1">
        <f t="array" ref="W107">INDEX(Raw!O:FO, MATCH(W$4, Raw!$A:$A, 0), MATCH(1, (Raw!$B$1:$FB$1=$I107)*(Raw!$B$2:$FB$2=$H107), 0))</f>
        <v>0</v>
      </c>
      <c r="X107" s="11" cm="1">
        <f t="array" ref="X107">INDEX(Raw!P:FP, MATCH(X$4, Raw!$A:$A, 0), MATCH(1, (Raw!$B$1:$FB$1=$I107)*(Raw!$B$2:$FB$2=$H107), 0))</f>
        <v>762000000</v>
      </c>
      <c r="Y107" s="11" cm="1">
        <f t="array" ref="Y107">INDEX(Raw!Q:FQ, MATCH(Y$4, Raw!$A:$A, 0), MATCH(1, (Raw!$B$1:$FB$1=$I107)*(Raw!$B$2:$FB$2=$H107), 0))</f>
        <v>0</v>
      </c>
      <c r="Z107" s="11" cm="1">
        <f t="array" ref="Z107">INDEX(Raw!R:FR, MATCH(Z$4, Raw!$A:$A, 0), MATCH(1, (Raw!$B$1:$FB$1=$I107)*(Raw!$B$2:$FB$2=$H107), 0))</f>
        <v>0</v>
      </c>
      <c r="AA107" s="11" cm="1">
        <f t="array" ref="AA107">INDEX(Raw!S:FS, MATCH(AA$4, Raw!$A:$A, 0), MATCH(1, (Raw!$B$1:$FB$1=$I107)*(Raw!$B$2:$FB$2=$H107), 0))</f>
        <v>0</v>
      </c>
      <c r="AB107" s="11" cm="1">
        <f t="array" ref="AB107">INDEX(Raw!T:FT, MATCH(AB$4, Raw!$A:$A, 0), MATCH(1, (Raw!$B$1:$FB$1=$I107)*(Raw!$B$2:$FB$2=$H107), 0))</f>
        <v>0</v>
      </c>
      <c r="AC107" s="11" cm="1">
        <f t="array" ref="AC107">INDEX(Raw!U:FU, MATCH(AC$4, Raw!$A:$A, 0), MATCH(1, (Raw!$B$1:$FB$1=$I107)*(Raw!$B$2:$FB$2=$H107), 0))</f>
        <v>0.16</v>
      </c>
      <c r="AD107" s="11" cm="1">
        <f t="array" ref="AD107">INDEX(Raw!V:FV, MATCH(AD$4, Raw!$A:$A, 0), MATCH(1, (Raw!$B$1:$FB$1=$I107)*(Raw!$B$2:$FB$2=$H107), 0))</f>
        <v>0.17499999999999999</v>
      </c>
    </row>
    <row r="108" spans="6:30" x14ac:dyDescent="0.25">
      <c r="F108" s="11" t="s">
        <v>28</v>
      </c>
      <c r="G108" s="15">
        <f t="shared" ca="1" si="3"/>
        <v>46088</v>
      </c>
      <c r="H108" s="11">
        <f>H107</f>
        <v>2000</v>
      </c>
      <c r="I108" s="11" t="s">
        <v>24</v>
      </c>
      <c r="J108" s="11" cm="1">
        <f t="array" ref="J108">INDEX(Raw!B:FB, MATCH(J$4, Raw!$A:$A, 0), MATCH(1, (Raw!$B$1:$FB$1=$I108)*(Raw!$B$2:$FB$2=$H108), 0))</f>
        <v>4256000000</v>
      </c>
      <c r="K108" s="11" cm="1">
        <f t="array" ref="K108">INDEX(Raw!C:FC, MATCH(K$4, Raw!$A:$A, 0), MATCH(1, (Raw!$B$1:$FB$1=$I108)*(Raw!$B$2:$FB$2=$H108), 0))</f>
        <v>1336000000</v>
      </c>
      <c r="L108" s="11" cm="1">
        <f t="array" ref="L108">INDEX(Raw!D:FD, MATCH(L$4, Raw!$A:$A, 0), MATCH(1, (Raw!$B$1:$FB$1=$I108)*(Raw!$B$2:$FB$2=$H108), 0))</f>
        <v>3489000000</v>
      </c>
      <c r="M108" s="11" cm="1">
        <f t="array" ref="M108">INDEX(Raw!E:FE, MATCH(M$4, Raw!$A:$A, 0), MATCH(1, (Raw!$B$1:$FB$1=$I108)*(Raw!$B$2:$FB$2=$H108), 0))</f>
        <v>2353000000</v>
      </c>
      <c r="N108" s="11" cm="1">
        <f t="array" ref="N108">INDEX(Raw!F:FF, MATCH(N$4, Raw!$A:$A, 0), MATCH(1, (Raw!$B$1:$FB$1=$I108)*(Raw!$B$2:$FB$2=$H108), 0))</f>
        <v>0</v>
      </c>
      <c r="O108" s="11" cm="1">
        <f t="array" ref="O108">INDEX(Raw!G:FG, MATCH(O$4, Raw!$A:$A, 0), MATCH(1, (Raw!$B$1:$FB$1=$I108)*(Raw!$B$2:$FB$2=$H108), 0))</f>
        <v>2222000000</v>
      </c>
      <c r="P108" s="11" cm="1">
        <f t="array" ref="P108">INDEX(Raw!H:FH, MATCH(P$4, Raw!$A:$A, 0), MATCH(1, (Raw!$B$1:$FB$1=$I108)*(Raw!$B$2:$FB$2=$H108), 0))</f>
        <v>1237000000</v>
      </c>
      <c r="Q108" s="11" cm="1">
        <f t="array" ref="Q108">INDEX(Raw!I:FI, MATCH(Q$4, Raw!$A:$A, 0), MATCH(1, (Raw!$B$1:$FB$1=$I108)*(Raw!$B$2:$FB$2=$H108), 0))</f>
        <v>292000000</v>
      </c>
      <c r="R108" s="11" cm="1">
        <f t="array" ref="R108">INDEX(Raw!J:FJ, MATCH(R$4, Raw!$A:$A, 0), MATCH(1, (Raw!$B$1:$FB$1=$I108)*(Raw!$B$2:$FB$2=$H108), 0))</f>
        <v>1243000000</v>
      </c>
      <c r="S108" s="11" cm="1">
        <f t="array" ref="S108">INDEX(Raw!K:FK, MATCH(S$4, Raw!$A:$A, 0), MATCH(1, (Raw!$B$1:$FB$1=$I108)*(Raw!$B$2:$FB$2=$H108), 0))</f>
        <v>367000000</v>
      </c>
      <c r="T108" s="11" cm="1">
        <f t="array" ref="T108">INDEX(Raw!L:FL, MATCH(T$4, Raw!$A:$A, 0), MATCH(1, (Raw!$B$1:$FB$1=$I108)*(Raw!$B$2:$FB$2=$H108), 0))</f>
        <v>1011000000</v>
      </c>
      <c r="U108" s="11" cm="1">
        <f t="array" ref="U108">INDEX(Raw!M:FM, MATCH(U$4, Raw!$A:$A, 0), MATCH(1, (Raw!$B$1:$FB$1=$I108)*(Raw!$B$2:$FB$2=$H108), 0))</f>
        <v>0</v>
      </c>
      <c r="V108" s="11" cm="1">
        <f t="array" ref="V108">INDEX(Raw!N:FN, MATCH(V$4, Raw!$A:$A, 0), MATCH(1, (Raw!$B$1:$FB$1=$I108)*(Raw!$B$2:$FB$2=$H108), 0))</f>
        <v>987000000</v>
      </c>
      <c r="W108" s="11" cm="1">
        <f t="array" ref="W108">INDEX(Raw!O:FO, MATCH(W$4, Raw!$A:$A, 0), MATCH(1, (Raw!$B$1:$FB$1=$I108)*(Raw!$B$2:$FB$2=$H108), 0))</f>
        <v>0</v>
      </c>
      <c r="X108" s="11" cm="1">
        <f t="array" ref="X108">INDEX(Raw!P:FP, MATCH(X$4, Raw!$A:$A, 0), MATCH(1, (Raw!$B$1:$FB$1=$I108)*(Raw!$B$2:$FB$2=$H108), 0))</f>
        <v>967000000</v>
      </c>
      <c r="Y108" s="11" cm="1">
        <f t="array" ref="Y108">INDEX(Raw!Q:FQ, MATCH(Y$4, Raw!$A:$A, 0), MATCH(1, (Raw!$B$1:$FB$1=$I108)*(Raw!$B$2:$FB$2=$H108), 0))</f>
        <v>0</v>
      </c>
      <c r="Z108" s="11" cm="1">
        <f t="array" ref="Z108">INDEX(Raw!R:FR, MATCH(Z$4, Raw!$A:$A, 0), MATCH(1, (Raw!$B$1:$FB$1=$I108)*(Raw!$B$2:$FB$2=$H108), 0))</f>
        <v>0</v>
      </c>
      <c r="AA108" s="11" cm="1">
        <f t="array" ref="AA108">INDEX(Raw!S:FS, MATCH(AA$4, Raw!$A:$A, 0), MATCH(1, (Raw!$B$1:$FB$1=$I108)*(Raw!$B$2:$FB$2=$H108), 0))</f>
        <v>0</v>
      </c>
      <c r="AB108" s="11" cm="1">
        <f t="array" ref="AB108">INDEX(Raw!T:FT, MATCH(AB$4, Raw!$A:$A, 0), MATCH(1, (Raw!$B$1:$FB$1=$I108)*(Raw!$B$2:$FB$2=$H108), 0))</f>
        <v>0</v>
      </c>
      <c r="AC108" s="11" cm="1">
        <f t="array" ref="AC108">INDEX(Raw!U:FU, MATCH(AC$4, Raw!$A:$A, 0), MATCH(1, (Raw!$B$1:$FB$1=$I108)*(Raw!$B$2:$FB$2=$H108), 0))</f>
        <v>0.17499999999999999</v>
      </c>
      <c r="AD108" s="11" cm="1">
        <f t="array" ref="AD108">INDEX(Raw!V:FV, MATCH(AD$4, Raw!$A:$A, 0), MATCH(1, (Raw!$B$1:$FB$1=$I108)*(Raw!$B$2:$FB$2=$H108), 0))</f>
        <v>0.125</v>
      </c>
    </row>
    <row r="109" spans="6:30" x14ac:dyDescent="0.25">
      <c r="F109" s="11" t="s">
        <v>28</v>
      </c>
      <c r="G109" s="15">
        <f t="shared" ca="1" si="3"/>
        <v>46088</v>
      </c>
      <c r="H109" s="11">
        <f>H105-1</f>
        <v>1999</v>
      </c>
      <c r="I109" s="11" t="s">
        <v>21</v>
      </c>
      <c r="J109" s="11" cm="1">
        <f t="array" ref="J109">INDEX(Raw!B:FB, MATCH(J$4, Raw!$A:$A, 0), MATCH(1, (Raw!$B$1:$FB$1=$I109)*(Raw!$B$2:$FB$2=$H109), 0))</f>
        <v>4931000000</v>
      </c>
      <c r="K109" s="11" cm="1">
        <f t="array" ref="K109">INDEX(Raw!C:FC, MATCH(K$4, Raw!$A:$A, 0), MATCH(1, (Raw!$B$1:$FB$1=$I109)*(Raw!$B$2:$FB$2=$H109), 0))</f>
        <v>1706000000</v>
      </c>
      <c r="L109" s="11" cm="1">
        <f t="array" ref="L109">INDEX(Raw!D:FD, MATCH(L$4, Raw!$A:$A, 0), MATCH(1, (Raw!$B$1:$FB$1=$I109)*(Raw!$B$2:$FB$2=$H109), 0))</f>
        <v>3743000000</v>
      </c>
      <c r="M109" s="11" cm="1">
        <f t="array" ref="M109">INDEX(Raw!E:FE, MATCH(M$4, Raw!$A:$A, 0), MATCH(1, (Raw!$B$1:$FB$1=$I109)*(Raw!$B$2:$FB$2=$H109), 0))</f>
        <v>1953000000</v>
      </c>
      <c r="N109" s="11" cm="1">
        <f t="array" ref="N109">INDEX(Raw!F:FF, MATCH(N$4, Raw!$A:$A, 0), MATCH(1, (Raw!$B$1:$FB$1=$I109)*(Raw!$B$2:$FB$2=$H109), 0))</f>
        <v>0</v>
      </c>
      <c r="O109" s="11" cm="1">
        <f t="array" ref="O109">INDEX(Raw!G:FG, MATCH(O$4, Raw!$A:$A, 0), MATCH(1, (Raw!$B$1:$FB$1=$I109)*(Raw!$B$2:$FB$2=$H109), 0))</f>
        <v>2064000000</v>
      </c>
      <c r="P109" s="11" cm="1">
        <f t="array" ref="P109">INDEX(Raw!H:FH, MATCH(P$4, Raw!$A:$A, 0), MATCH(1, (Raw!$B$1:$FB$1=$I109)*(Raw!$B$2:$FB$2=$H109), 0))</f>
        <v>1511000000</v>
      </c>
      <c r="Q109" s="11" cm="1">
        <f t="array" ref="Q109">INDEX(Raw!I:FI, MATCH(Q$4, Raw!$A:$A, 0), MATCH(1, (Raw!$B$1:$FB$1=$I109)*(Raw!$B$2:$FB$2=$H109), 0))</f>
        <v>-39000000</v>
      </c>
      <c r="R109" s="11" cm="1">
        <f t="array" ref="R109">INDEX(Raw!J:FJ, MATCH(R$4, Raw!$A:$A, 0), MATCH(1, (Raw!$B$1:$FB$1=$I109)*(Raw!$B$2:$FB$2=$H109), 0))</f>
        <v>1184000000</v>
      </c>
      <c r="S109" s="11" cm="1">
        <f t="array" ref="S109">INDEX(Raw!K:FK, MATCH(S$4, Raw!$A:$A, 0), MATCH(1, (Raw!$B$1:$FB$1=$I109)*(Raw!$B$2:$FB$2=$H109), 0))</f>
        <v>494000000</v>
      </c>
      <c r="T109" s="11" cm="1">
        <f t="array" ref="T109">INDEX(Raw!L:FL, MATCH(T$4, Raw!$A:$A, 0), MATCH(1, (Raw!$B$1:$FB$1=$I109)*(Raw!$B$2:$FB$2=$H109), 0))</f>
        <v>1314000000</v>
      </c>
      <c r="U109" s="11" cm="1">
        <f t="array" ref="U109">INDEX(Raw!M:FM, MATCH(U$4, Raw!$A:$A, 0), MATCH(1, (Raw!$B$1:$FB$1=$I109)*(Raw!$B$2:$FB$2=$H109), 0))</f>
        <v>0</v>
      </c>
      <c r="V109" s="11" cm="1">
        <f t="array" ref="V109">INDEX(Raw!N:FN, MATCH(V$4, Raw!$A:$A, 0), MATCH(1, (Raw!$B$1:$FB$1=$I109)*(Raw!$B$2:$FB$2=$H109), 0))</f>
        <v>762000000</v>
      </c>
      <c r="W109" s="11" cm="1">
        <f t="array" ref="W109">INDEX(Raw!O:FO, MATCH(W$4, Raw!$A:$A, 0), MATCH(1, (Raw!$B$1:$FB$1=$I109)*(Raw!$B$2:$FB$2=$H109), 0))</f>
        <v>0</v>
      </c>
      <c r="X109" s="11" cm="1">
        <f t="array" ref="X109">INDEX(Raw!P:FP, MATCH(X$4, Raw!$A:$A, 0), MATCH(1, (Raw!$B$1:$FB$1=$I109)*(Raw!$B$2:$FB$2=$H109), 0))</f>
        <v>1050000000</v>
      </c>
      <c r="Y109" s="11" cm="1">
        <f t="array" ref="Y109">INDEX(Raw!Q:FQ, MATCH(Y$4, Raw!$A:$A, 0), MATCH(1, (Raw!$B$1:$FB$1=$I109)*(Raw!$B$2:$FB$2=$H109), 0))</f>
        <v>0</v>
      </c>
      <c r="Z109" s="11" cm="1">
        <f t="array" ref="Z109">INDEX(Raw!R:FR, MATCH(Z$4, Raw!$A:$A, 0), MATCH(1, (Raw!$B$1:$FB$1=$I109)*(Raw!$B$2:$FB$2=$H109), 0))</f>
        <v>0</v>
      </c>
      <c r="AA109" s="11" cm="1">
        <f t="array" ref="AA109">INDEX(Raw!S:FS, MATCH(AA$4, Raw!$A:$A, 0), MATCH(1, (Raw!$B$1:$FB$1=$I109)*(Raw!$B$2:$FB$2=$H109), 0))</f>
        <v>0</v>
      </c>
      <c r="AB109" s="11" cm="1">
        <f t="array" ref="AB109">INDEX(Raw!T:FT, MATCH(AB$4, Raw!$A:$A, 0), MATCH(1, (Raw!$B$1:$FB$1=$I109)*(Raw!$B$2:$FB$2=$H109), 0))</f>
        <v>0</v>
      </c>
      <c r="AC109" s="11" cm="1">
        <f t="array" ref="AC109">INDEX(Raw!U:FU, MATCH(AC$4, Raw!$A:$A, 0), MATCH(1, (Raw!$B$1:$FB$1=$I109)*(Raw!$B$2:$FB$2=$H109), 0))</f>
        <v>0.125</v>
      </c>
      <c r="AD109" s="11" cm="1">
        <f t="array" ref="AD109">INDEX(Raw!V:FV, MATCH(AD$4, Raw!$A:$A, 0), MATCH(1, (Raw!$B$1:$FB$1=$I109)*(Raw!$B$2:$FB$2=$H109), 0))</f>
        <v>0.11</v>
      </c>
    </row>
    <row r="110" spans="6:30" x14ac:dyDescent="0.25">
      <c r="F110" s="11" t="s">
        <v>28</v>
      </c>
      <c r="G110" s="15">
        <f t="shared" ca="1" si="3"/>
        <v>46088</v>
      </c>
      <c r="H110" s="11">
        <f>H109</f>
        <v>1999</v>
      </c>
      <c r="I110" s="11" t="s">
        <v>22</v>
      </c>
      <c r="J110" s="11" cm="1">
        <f t="array" ref="J110">INDEX(Raw!B:FB, MATCH(J$4, Raw!$A:$A, 0), MATCH(1, (Raw!$B$1:$FB$1=$I110)*(Raw!$B$2:$FB$2=$H110), 0))</f>
        <v>5195000000</v>
      </c>
      <c r="K110" s="11" cm="1">
        <f t="array" ref="K110">INDEX(Raw!C:FC, MATCH(K$4, Raw!$A:$A, 0), MATCH(1, (Raw!$B$1:$FB$1=$I110)*(Raw!$B$2:$FB$2=$H110), 0))</f>
        <v>1636000000</v>
      </c>
      <c r="L110" s="11" cm="1">
        <f t="array" ref="L110">INDEX(Raw!D:FD, MATCH(L$4, Raw!$A:$A, 0), MATCH(1, (Raw!$B$1:$FB$1=$I110)*(Raw!$B$2:$FB$2=$H110), 0))</f>
        <v>3097000000</v>
      </c>
      <c r="M110" s="11" cm="1">
        <f t="array" ref="M110">INDEX(Raw!E:FE, MATCH(M$4, Raw!$A:$A, 0), MATCH(1, (Raw!$B$1:$FB$1=$I110)*(Raw!$B$2:$FB$2=$H110), 0))</f>
        <v>2222000000</v>
      </c>
      <c r="N110" s="11" cm="1">
        <f t="array" ref="N110">INDEX(Raw!F:FF, MATCH(N$4, Raw!$A:$A, 0), MATCH(1, (Raw!$B$1:$FB$1=$I110)*(Raw!$B$2:$FB$2=$H110), 0))</f>
        <v>0</v>
      </c>
      <c r="O110" s="11" cm="1">
        <f t="array" ref="O110">INDEX(Raw!G:FG, MATCH(O$4, Raw!$A:$A, 0), MATCH(1, (Raw!$B$1:$FB$1=$I110)*(Raw!$B$2:$FB$2=$H110), 0))</f>
        <v>2141000000</v>
      </c>
      <c r="P110" s="11" cm="1">
        <f t="array" ref="P110">INDEX(Raw!H:FH, MATCH(P$4, Raw!$A:$A, 0), MATCH(1, (Raw!$B$1:$FB$1=$I110)*(Raw!$B$2:$FB$2=$H110), 0))</f>
        <v>1282000000</v>
      </c>
      <c r="Q110" s="11" cm="1">
        <f t="array" ref="Q110">INDEX(Raw!I:FI, MATCH(Q$4, Raw!$A:$A, 0), MATCH(1, (Raw!$B$1:$FB$1=$I110)*(Raw!$B$2:$FB$2=$H110), 0))</f>
        <v>11000000</v>
      </c>
      <c r="R110" s="11" cm="1">
        <f t="array" ref="R110">INDEX(Raw!J:FJ, MATCH(R$4, Raw!$A:$A, 0), MATCH(1, (Raw!$B$1:$FB$1=$I110)*(Raw!$B$2:$FB$2=$H110), 0))</f>
        <v>1505000000</v>
      </c>
      <c r="S110" s="11" cm="1">
        <f t="array" ref="S110">INDEX(Raw!K:FK, MATCH(S$4, Raw!$A:$A, 0), MATCH(1, (Raw!$B$1:$FB$1=$I110)*(Raw!$B$2:$FB$2=$H110), 0))</f>
        <v>621000000</v>
      </c>
      <c r="T110" s="11" cm="1">
        <f t="array" ref="T110">INDEX(Raw!L:FL, MATCH(T$4, Raw!$A:$A, 0), MATCH(1, (Raw!$B$1:$FB$1=$I110)*(Raw!$B$2:$FB$2=$H110), 0))</f>
        <v>987000000</v>
      </c>
      <c r="U110" s="11" cm="1">
        <f t="array" ref="U110">INDEX(Raw!M:FM, MATCH(U$4, Raw!$A:$A, 0), MATCH(1, (Raw!$B$1:$FB$1=$I110)*(Raw!$B$2:$FB$2=$H110), 0))</f>
        <v>0</v>
      </c>
      <c r="V110" s="11" cm="1">
        <f t="array" ref="V110">INDEX(Raw!N:FN, MATCH(V$4, Raw!$A:$A, 0), MATCH(1, (Raw!$B$1:$FB$1=$I110)*(Raw!$B$2:$FB$2=$H110), 0))</f>
        <v>967000000</v>
      </c>
      <c r="W110" s="11" cm="1">
        <f t="array" ref="W110">INDEX(Raw!O:FO, MATCH(W$4, Raw!$A:$A, 0), MATCH(1, (Raw!$B$1:$FB$1=$I110)*(Raw!$B$2:$FB$2=$H110), 0))</f>
        <v>0</v>
      </c>
      <c r="X110" s="11" cm="1">
        <f t="array" ref="X110">INDEX(Raw!P:FP, MATCH(X$4, Raw!$A:$A, 0), MATCH(1, (Raw!$B$1:$FB$1=$I110)*(Raw!$B$2:$FB$2=$H110), 0))</f>
        <v>713000000</v>
      </c>
      <c r="Y110" s="11" cm="1">
        <f t="array" ref="Y110">INDEX(Raw!Q:FQ, MATCH(Y$4, Raw!$A:$A, 0), MATCH(1, (Raw!$B$1:$FB$1=$I110)*(Raw!$B$2:$FB$2=$H110), 0))</f>
        <v>0</v>
      </c>
      <c r="Z110" s="11" cm="1">
        <f t="array" ref="Z110">INDEX(Raw!R:FR, MATCH(Z$4, Raw!$A:$A, 0), MATCH(1, (Raw!$B$1:$FB$1=$I110)*(Raw!$B$2:$FB$2=$H110), 0))</f>
        <v>0</v>
      </c>
      <c r="AA110" s="11" cm="1">
        <f t="array" ref="AA110">INDEX(Raw!S:FS, MATCH(AA$4, Raw!$A:$A, 0), MATCH(1, (Raw!$B$1:$FB$1=$I110)*(Raw!$B$2:$FB$2=$H110), 0))</f>
        <v>0</v>
      </c>
      <c r="AB110" s="11" cm="1">
        <f t="array" ref="AB110">INDEX(Raw!T:FT, MATCH(AB$4, Raw!$A:$A, 0), MATCH(1, (Raw!$B$1:$FB$1=$I110)*(Raw!$B$2:$FB$2=$H110), 0))</f>
        <v>0</v>
      </c>
      <c r="AC110" s="11" cm="1">
        <f t="array" ref="AC110">INDEX(Raw!U:FU, MATCH(AC$4, Raw!$A:$A, 0), MATCH(1, (Raw!$B$1:$FB$1=$I110)*(Raw!$B$2:$FB$2=$H110), 0))</f>
        <v>0.11</v>
      </c>
      <c r="AD110" s="11" cm="1">
        <f t="array" ref="AD110">INDEX(Raw!V:FV, MATCH(AD$4, Raw!$A:$A, 0), MATCH(1, (Raw!$B$1:$FB$1=$I110)*(Raw!$B$2:$FB$2=$H110), 0))</f>
        <v>0.13750000000000001</v>
      </c>
    </row>
    <row r="111" spans="6:30" x14ac:dyDescent="0.25">
      <c r="F111" s="11" t="s">
        <v>28</v>
      </c>
      <c r="G111" s="15">
        <f t="shared" ca="1" si="3"/>
        <v>46088</v>
      </c>
      <c r="H111" s="11">
        <f>H110</f>
        <v>1999</v>
      </c>
      <c r="I111" s="11" t="s">
        <v>23</v>
      </c>
      <c r="J111" s="11" cm="1">
        <f t="array" ref="J111">INDEX(Raw!B:FB, MATCH(J$4, Raw!$A:$A, 0), MATCH(1, (Raw!$B$1:$FB$1=$I111)*(Raw!$B$2:$FB$2=$H111), 0))</f>
        <v>5379000000</v>
      </c>
      <c r="K111" s="11" cm="1">
        <f t="array" ref="K111">INDEX(Raw!C:FC, MATCH(K$4, Raw!$A:$A, 0), MATCH(1, (Raw!$B$1:$FB$1=$I111)*(Raw!$B$2:$FB$2=$H111), 0))</f>
        <v>1331000000</v>
      </c>
      <c r="L111" s="11" cm="1">
        <f t="array" ref="L111">INDEX(Raw!D:FD, MATCH(L$4, Raw!$A:$A, 0), MATCH(1, (Raw!$B$1:$FB$1=$I111)*(Raw!$B$2:$FB$2=$H111), 0))</f>
        <v>3159000000</v>
      </c>
      <c r="M111" s="11" cm="1">
        <f t="array" ref="M111">INDEX(Raw!E:FE, MATCH(M$4, Raw!$A:$A, 0), MATCH(1, (Raw!$B$1:$FB$1=$I111)*(Raw!$B$2:$FB$2=$H111), 0))</f>
        <v>2064000000</v>
      </c>
      <c r="N111" s="11" cm="1">
        <f t="array" ref="N111">INDEX(Raw!F:FF, MATCH(N$4, Raw!$A:$A, 0), MATCH(1, (Raw!$B$1:$FB$1=$I111)*(Raw!$B$2:$FB$2=$H111), 0))</f>
        <v>0</v>
      </c>
      <c r="O111" s="11" cm="1">
        <f t="array" ref="O111">INDEX(Raw!G:FG, MATCH(O$4, Raw!$A:$A, 0), MATCH(1, (Raw!$B$1:$FB$1=$I111)*(Raw!$B$2:$FB$2=$H111), 0))</f>
        <v>1857000000</v>
      </c>
      <c r="P111" s="11" cm="1">
        <f t="array" ref="P111">INDEX(Raw!H:FH, MATCH(P$4, Raw!$A:$A, 0), MATCH(1, (Raw!$B$1:$FB$1=$I111)*(Raw!$B$2:$FB$2=$H111), 0))</f>
        <v>1173000000</v>
      </c>
      <c r="Q111" s="11" cm="1">
        <f t="array" ref="Q111">INDEX(Raw!I:FI, MATCH(Q$4, Raw!$A:$A, 0), MATCH(1, (Raw!$B$1:$FB$1=$I111)*(Raw!$B$2:$FB$2=$H111), 0))</f>
        <v>262000000</v>
      </c>
      <c r="R111" s="11" cm="1">
        <f t="array" ref="R111">INDEX(Raw!J:FJ, MATCH(R$4, Raw!$A:$A, 0), MATCH(1, (Raw!$B$1:$FB$1=$I111)*(Raw!$B$2:$FB$2=$H111), 0))</f>
        <v>1935000000</v>
      </c>
      <c r="S111" s="11" cm="1">
        <f t="array" ref="S111">INDEX(Raw!K:FK, MATCH(S$4, Raw!$A:$A, 0), MATCH(1, (Raw!$B$1:$FB$1=$I111)*(Raw!$B$2:$FB$2=$H111), 0))</f>
        <v>444000000</v>
      </c>
      <c r="T111" s="11" cm="1">
        <f t="array" ref="T111">INDEX(Raw!L:FL, MATCH(T$4, Raw!$A:$A, 0), MATCH(1, (Raw!$B$1:$FB$1=$I111)*(Raw!$B$2:$FB$2=$H111), 0))</f>
        <v>762000000</v>
      </c>
      <c r="U111" s="11" cm="1">
        <f t="array" ref="U111">INDEX(Raw!M:FM, MATCH(U$4, Raw!$A:$A, 0), MATCH(1, (Raw!$B$1:$FB$1=$I111)*(Raw!$B$2:$FB$2=$H111), 0))</f>
        <v>0</v>
      </c>
      <c r="V111" s="11" cm="1">
        <f t="array" ref="V111">INDEX(Raw!N:FN, MATCH(V$4, Raw!$A:$A, 0), MATCH(1, (Raw!$B$1:$FB$1=$I111)*(Raw!$B$2:$FB$2=$H111), 0))</f>
        <v>1050000000</v>
      </c>
      <c r="W111" s="11" cm="1">
        <f t="array" ref="W111">INDEX(Raw!O:FO, MATCH(W$4, Raw!$A:$A, 0), MATCH(1, (Raw!$B$1:$FB$1=$I111)*(Raw!$B$2:$FB$2=$H111), 0))</f>
        <v>0</v>
      </c>
      <c r="X111" s="11" cm="1">
        <f t="array" ref="X111">INDEX(Raw!P:FP, MATCH(X$4, Raw!$A:$A, 0), MATCH(1, (Raw!$B$1:$FB$1=$I111)*(Raw!$B$2:$FB$2=$H111), 0))</f>
        <v>648000000</v>
      </c>
      <c r="Y111" s="11" cm="1">
        <f t="array" ref="Y111">INDEX(Raw!Q:FQ, MATCH(Y$4, Raw!$A:$A, 0), MATCH(1, (Raw!$B$1:$FB$1=$I111)*(Raw!$B$2:$FB$2=$H111), 0))</f>
        <v>0</v>
      </c>
      <c r="Z111" s="11" cm="1">
        <f t="array" ref="Z111">INDEX(Raw!R:FR, MATCH(Z$4, Raw!$A:$A, 0), MATCH(1, (Raw!$B$1:$FB$1=$I111)*(Raw!$B$2:$FB$2=$H111), 0))</f>
        <v>0</v>
      </c>
      <c r="AA111" s="11" cm="1">
        <f t="array" ref="AA111">INDEX(Raw!S:FS, MATCH(AA$4, Raw!$A:$A, 0), MATCH(1, (Raw!$B$1:$FB$1=$I111)*(Raw!$B$2:$FB$2=$H111), 0))</f>
        <v>0</v>
      </c>
      <c r="AB111" s="11" cm="1">
        <f t="array" ref="AB111">INDEX(Raw!T:FT, MATCH(AB$4, Raw!$A:$A, 0), MATCH(1, (Raw!$B$1:$FB$1=$I111)*(Raw!$B$2:$FB$2=$H111), 0))</f>
        <v>0</v>
      </c>
      <c r="AC111" s="11" cm="1">
        <f t="array" ref="AC111">INDEX(Raw!U:FU, MATCH(AC$4, Raw!$A:$A, 0), MATCH(1, (Raw!$B$1:$FB$1=$I111)*(Raw!$B$2:$FB$2=$H111), 0))</f>
        <v>0.13750000000000001</v>
      </c>
      <c r="AD111" s="11" cm="1">
        <f t="array" ref="AD111">INDEX(Raw!V:FV, MATCH(AD$4, Raw!$A:$A, 0), MATCH(1, (Raw!$B$1:$FB$1=$I111)*(Raw!$B$2:$FB$2=$H111), 0))</f>
        <v>0.14749999999999999</v>
      </c>
    </row>
    <row r="112" spans="6:30" x14ac:dyDescent="0.25">
      <c r="F112" s="11" t="s">
        <v>28</v>
      </c>
      <c r="G112" s="15">
        <f t="shared" ca="1" si="3"/>
        <v>46088</v>
      </c>
      <c r="H112" s="11">
        <f>H111</f>
        <v>1999</v>
      </c>
      <c r="I112" s="11" t="s">
        <v>24</v>
      </c>
      <c r="J112" s="11" cm="1">
        <f t="array" ref="J112">INDEX(Raw!B:FB, MATCH(J$4, Raw!$A:$A, 0), MATCH(1, (Raw!$B$1:$FB$1=$I112)*(Raw!$B$2:$FB$2=$H112), 0))</f>
        <v>4428000000</v>
      </c>
      <c r="K112" s="11" cm="1">
        <f t="array" ref="K112">INDEX(Raw!C:FC, MATCH(K$4, Raw!$A:$A, 0), MATCH(1, (Raw!$B$1:$FB$1=$I112)*(Raw!$B$2:$FB$2=$H112), 0))</f>
        <v>1299000000</v>
      </c>
      <c r="L112" s="11" cm="1">
        <f t="array" ref="L112">INDEX(Raw!D:FD, MATCH(L$4, Raw!$A:$A, 0), MATCH(1, (Raw!$B$1:$FB$1=$I112)*(Raw!$B$2:$FB$2=$H112), 0))</f>
        <v>3301000000</v>
      </c>
      <c r="M112" s="11" cm="1">
        <f t="array" ref="M112">INDEX(Raw!E:FE, MATCH(M$4, Raw!$A:$A, 0), MATCH(1, (Raw!$B$1:$FB$1=$I112)*(Raw!$B$2:$FB$2=$H112), 0))</f>
        <v>2141000000</v>
      </c>
      <c r="N112" s="11" cm="1">
        <f t="array" ref="N112">INDEX(Raw!F:FF, MATCH(N$4, Raw!$A:$A, 0), MATCH(1, (Raw!$B$1:$FB$1=$I112)*(Raw!$B$2:$FB$2=$H112), 0))</f>
        <v>0</v>
      </c>
      <c r="O112" s="11" cm="1">
        <f t="array" ref="O112">INDEX(Raw!G:FG, MATCH(O$4, Raw!$A:$A, 0), MATCH(1, (Raw!$B$1:$FB$1=$I112)*(Raw!$B$2:$FB$2=$H112), 0))</f>
        <v>2076000000</v>
      </c>
      <c r="P112" s="11" cm="1">
        <f t="array" ref="P112">INDEX(Raw!H:FH, MATCH(P$4, Raw!$A:$A, 0), MATCH(1, (Raw!$B$1:$FB$1=$I112)*(Raw!$B$2:$FB$2=$H112), 0))</f>
        <v>1243000000</v>
      </c>
      <c r="Q112" s="11" cm="1">
        <f t="array" ref="Q112">INDEX(Raw!I:FI, MATCH(Q$4, Raw!$A:$A, 0), MATCH(1, (Raw!$B$1:$FB$1=$I112)*(Raw!$B$2:$FB$2=$H112), 0))</f>
        <v>492000000</v>
      </c>
      <c r="R112" s="11" cm="1">
        <f t="array" ref="R112">INDEX(Raw!J:FJ, MATCH(R$4, Raw!$A:$A, 0), MATCH(1, (Raw!$B$1:$FB$1=$I112)*(Raw!$B$2:$FB$2=$H112), 0))</f>
        <v>1431000000</v>
      </c>
      <c r="S112" s="11" cm="1">
        <f t="array" ref="S112">INDEX(Raw!K:FK, MATCH(S$4, Raw!$A:$A, 0), MATCH(1, (Raw!$B$1:$FB$1=$I112)*(Raw!$B$2:$FB$2=$H112), 0))</f>
        <v>342000000</v>
      </c>
      <c r="T112" s="11" cm="1">
        <f t="array" ref="T112">INDEX(Raw!L:FL, MATCH(T$4, Raw!$A:$A, 0), MATCH(1, (Raw!$B$1:$FB$1=$I112)*(Raw!$B$2:$FB$2=$H112), 0))</f>
        <v>967000000</v>
      </c>
      <c r="U112" s="11" cm="1">
        <f t="array" ref="U112">INDEX(Raw!M:FM, MATCH(U$4, Raw!$A:$A, 0), MATCH(1, (Raw!$B$1:$FB$1=$I112)*(Raw!$B$2:$FB$2=$H112), 0))</f>
        <v>0</v>
      </c>
      <c r="V112" s="11" cm="1">
        <f t="array" ref="V112">INDEX(Raw!N:FN, MATCH(V$4, Raw!$A:$A, 0), MATCH(1, (Raw!$B$1:$FB$1=$I112)*(Raw!$B$2:$FB$2=$H112), 0))</f>
        <v>713000000</v>
      </c>
      <c r="W112" s="11" cm="1">
        <f t="array" ref="W112">INDEX(Raw!O:FO, MATCH(W$4, Raw!$A:$A, 0), MATCH(1, (Raw!$B$1:$FB$1=$I112)*(Raw!$B$2:$FB$2=$H112), 0))</f>
        <v>0</v>
      </c>
      <c r="X112" s="11" cm="1">
        <f t="array" ref="X112">INDEX(Raw!P:FP, MATCH(X$4, Raw!$A:$A, 0), MATCH(1, (Raw!$B$1:$FB$1=$I112)*(Raw!$B$2:$FB$2=$H112), 0))</f>
        <v>802000000</v>
      </c>
      <c r="Y112" s="11" cm="1">
        <f t="array" ref="Y112">INDEX(Raw!Q:FQ, MATCH(Y$4, Raw!$A:$A, 0), MATCH(1, (Raw!$B$1:$FB$1=$I112)*(Raw!$B$2:$FB$2=$H112), 0))</f>
        <v>0</v>
      </c>
      <c r="Z112" s="11" cm="1">
        <f t="array" ref="Z112">INDEX(Raw!R:FR, MATCH(Z$4, Raw!$A:$A, 0), MATCH(1, (Raw!$B$1:$FB$1=$I112)*(Raw!$B$2:$FB$2=$H112), 0))</f>
        <v>0</v>
      </c>
      <c r="AA112" s="11" cm="1">
        <f t="array" ref="AA112">INDEX(Raw!S:FS, MATCH(AA$4, Raw!$A:$A, 0), MATCH(1, (Raw!$B$1:$FB$1=$I112)*(Raw!$B$2:$FB$2=$H112), 0))</f>
        <v>0</v>
      </c>
      <c r="AB112" s="11" cm="1">
        <f t="array" ref="AB112">INDEX(Raw!T:FT, MATCH(AB$4, Raw!$A:$A, 0), MATCH(1, (Raw!$B$1:$FB$1=$I112)*(Raw!$B$2:$FB$2=$H112), 0))</f>
        <v>0</v>
      </c>
      <c r="AC112" s="11" cm="1">
        <f t="array" ref="AC112">INDEX(Raw!U:FU, MATCH(AC$4, Raw!$A:$A, 0), MATCH(1, (Raw!$B$1:$FB$1=$I112)*(Raw!$B$2:$FB$2=$H112), 0))</f>
        <v>0.14749999999999999</v>
      </c>
      <c r="AD112" s="11" cm="1">
        <f t="array" ref="AD112">INDEX(Raw!V:FV, MATCH(AD$4, Raw!$A:$A, 0), MATCH(1, (Raw!$B$1:$FB$1=$I112)*(Raw!$B$2:$FB$2=$H112), 0))</f>
        <v>0.1</v>
      </c>
    </row>
    <row r="113" spans="6:30" x14ac:dyDescent="0.25">
      <c r="F113" s="11" t="s">
        <v>28</v>
      </c>
      <c r="G113" s="15">
        <f t="shared" ca="1" si="3"/>
        <v>46088</v>
      </c>
      <c r="H113" s="11">
        <f>H109-1</f>
        <v>1998</v>
      </c>
      <c r="I113" s="11" t="s">
        <v>21</v>
      </c>
      <c r="J113" s="11" cm="1">
        <f t="array" ref="J113">INDEX(Raw!B:FB, MATCH(J$4, Raw!$A:$A, 0), MATCH(1, (Raw!$B$1:$FB$1=$I113)*(Raw!$B$2:$FB$2=$H113), 0))</f>
        <v>4458000000</v>
      </c>
      <c r="K113" s="11" cm="1">
        <f t="array" ref="K113">INDEX(Raw!C:FC, MATCH(K$4, Raw!$A:$A, 0), MATCH(1, (Raw!$B$1:$FB$1=$I113)*(Raw!$B$2:$FB$2=$H113), 0))</f>
        <v>1446000000</v>
      </c>
      <c r="L113" s="11" cm="1">
        <f t="array" ref="L113">INDEX(Raw!D:FD, MATCH(L$4, Raw!$A:$A, 0), MATCH(1, (Raw!$B$1:$FB$1=$I113)*(Raw!$B$2:$FB$2=$H113), 0))</f>
        <v>3652000000</v>
      </c>
      <c r="M113" s="11" cm="1">
        <f t="array" ref="M113">INDEX(Raw!E:FE, MATCH(M$4, Raw!$A:$A, 0), MATCH(1, (Raw!$B$1:$FB$1=$I113)*(Raw!$B$2:$FB$2=$H113), 0))</f>
        <v>1857000000</v>
      </c>
      <c r="N113" s="11" cm="1">
        <f t="array" ref="N113">INDEX(Raw!F:FF, MATCH(N$4, Raw!$A:$A, 0), MATCH(1, (Raw!$B$1:$FB$1=$I113)*(Raw!$B$2:$FB$2=$H113), 0))</f>
        <v>0</v>
      </c>
      <c r="O113" s="11" cm="1">
        <f t="array" ref="O113">INDEX(Raw!G:FG, MATCH(O$4, Raw!$A:$A, 0), MATCH(1, (Raw!$B$1:$FB$1=$I113)*(Raw!$B$2:$FB$2=$H113), 0))</f>
        <v>2052000000</v>
      </c>
      <c r="P113" s="11" cm="1">
        <f t="array" ref="P113">INDEX(Raw!H:FH, MATCH(P$4, Raw!$A:$A, 0), MATCH(1, (Raw!$B$1:$FB$1=$I113)*(Raw!$B$2:$FB$2=$H113), 0))</f>
        <v>1443000000</v>
      </c>
      <c r="Q113" s="11" cm="1">
        <f t="array" ref="Q113">INDEX(Raw!I:FI, MATCH(Q$4, Raw!$A:$A, 0), MATCH(1, (Raw!$B$1:$FB$1=$I113)*(Raw!$B$2:$FB$2=$H113), 0))</f>
        <v>289000000</v>
      </c>
      <c r="R113" s="11" cm="1">
        <f t="array" ref="R113">INDEX(Raw!J:FJ, MATCH(R$4, Raw!$A:$A, 0), MATCH(1, (Raw!$B$1:$FB$1=$I113)*(Raw!$B$2:$FB$2=$H113), 0))</f>
        <v>1104000000</v>
      </c>
      <c r="S113" s="11" cm="1">
        <f t="array" ref="S113">INDEX(Raw!K:FK, MATCH(S$4, Raw!$A:$A, 0), MATCH(1, (Raw!$B$1:$FB$1=$I113)*(Raw!$B$2:$FB$2=$H113), 0))</f>
        <v>-30000000</v>
      </c>
      <c r="T113" s="11" cm="1">
        <f t="array" ref="T113">INDEX(Raw!L:FL, MATCH(T$4, Raw!$A:$A, 0), MATCH(1, (Raw!$B$1:$FB$1=$I113)*(Raw!$B$2:$FB$2=$H113), 0))</f>
        <v>1050000000</v>
      </c>
      <c r="U113" s="11" cm="1">
        <f t="array" ref="U113">INDEX(Raw!M:FM, MATCH(U$4, Raw!$A:$A, 0), MATCH(1, (Raw!$B$1:$FB$1=$I113)*(Raw!$B$2:$FB$2=$H113), 0))</f>
        <v>0</v>
      </c>
      <c r="V113" s="11" cm="1">
        <f t="array" ref="V113">INDEX(Raw!N:FN, MATCH(V$4, Raw!$A:$A, 0), MATCH(1, (Raw!$B$1:$FB$1=$I113)*(Raw!$B$2:$FB$2=$H113), 0))</f>
        <v>648000000</v>
      </c>
      <c r="W113" s="11" cm="1">
        <f t="array" ref="W113">INDEX(Raw!O:FO, MATCH(W$4, Raw!$A:$A, 0), MATCH(1, (Raw!$B$1:$FB$1=$I113)*(Raw!$B$2:$FB$2=$H113), 0))</f>
        <v>0</v>
      </c>
      <c r="X113" s="11" cm="1">
        <f t="array" ref="X113">INDEX(Raw!P:FP, MATCH(X$4, Raw!$A:$A, 0), MATCH(1, (Raw!$B$1:$FB$1=$I113)*(Raw!$B$2:$FB$2=$H113), 0))</f>
        <v>898000000</v>
      </c>
      <c r="Y113" s="11" cm="1">
        <f t="array" ref="Y113">INDEX(Raw!Q:FQ, MATCH(Y$4, Raw!$A:$A, 0), MATCH(1, (Raw!$B$1:$FB$1=$I113)*(Raw!$B$2:$FB$2=$H113), 0))</f>
        <v>0</v>
      </c>
      <c r="Z113" s="11" cm="1">
        <f t="array" ref="Z113">INDEX(Raw!R:FR, MATCH(Z$4, Raw!$A:$A, 0), MATCH(1, (Raw!$B$1:$FB$1=$I113)*(Raw!$B$2:$FB$2=$H113), 0))</f>
        <v>0</v>
      </c>
      <c r="AA113" s="11" cm="1">
        <f t="array" ref="AA113">INDEX(Raw!S:FS, MATCH(AA$4, Raw!$A:$A, 0), MATCH(1, (Raw!$B$1:$FB$1=$I113)*(Raw!$B$2:$FB$2=$H113), 0))</f>
        <v>0</v>
      </c>
      <c r="AB113" s="11" cm="1">
        <f t="array" ref="AB113">INDEX(Raw!T:FT, MATCH(AB$4, Raw!$A:$A, 0), MATCH(1, (Raw!$B$1:$FB$1=$I113)*(Raw!$B$2:$FB$2=$H113), 0))</f>
        <v>0</v>
      </c>
      <c r="AC113" s="11" cm="1">
        <f t="array" ref="AC113">INDEX(Raw!U:FU, MATCH(AC$4, Raw!$A:$A, 0), MATCH(1, (Raw!$B$1:$FB$1=$I113)*(Raw!$B$2:$FB$2=$H113), 0))</f>
        <v>0.1</v>
      </c>
      <c r="AD113" s="11" cm="1">
        <f t="array" ref="AD113">INDEX(Raw!V:FV, MATCH(AD$4, Raw!$A:$A, 0), MATCH(1, (Raw!$B$1:$FB$1=$I113)*(Raw!$B$2:$FB$2=$H113), 0))</f>
        <v>0.09</v>
      </c>
    </row>
    <row r="114" spans="6:30" x14ac:dyDescent="0.25">
      <c r="F114" s="11" t="s">
        <v>28</v>
      </c>
      <c r="G114" s="15">
        <f t="shared" ca="1" si="3"/>
        <v>46088</v>
      </c>
      <c r="H114" s="11">
        <f>H113</f>
        <v>1998</v>
      </c>
      <c r="I114" s="11" t="s">
        <v>22</v>
      </c>
      <c r="J114" s="11" cm="1">
        <f t="array" ref="J114">INDEX(Raw!B:FB, MATCH(J$4, Raw!$A:$A, 0), MATCH(1, (Raw!$B$1:$FB$1=$I114)*(Raw!$B$2:$FB$2=$H114), 0))</f>
        <v>4747000000</v>
      </c>
      <c r="K114" s="11" cm="1">
        <f t="array" ref="K114">INDEX(Raw!C:FC, MATCH(K$4, Raw!$A:$A, 0), MATCH(1, (Raw!$B$1:$FB$1=$I114)*(Raw!$B$2:$FB$2=$H114), 0))</f>
        <v>1499000000</v>
      </c>
      <c r="L114" s="11" cm="1">
        <f t="array" ref="L114">INDEX(Raw!D:FD, MATCH(L$4, Raw!$A:$A, 0), MATCH(1, (Raw!$B$1:$FB$1=$I114)*(Raw!$B$2:$FB$2=$H114), 0))</f>
        <v>3139000000</v>
      </c>
      <c r="M114" s="11" cm="1">
        <f t="array" ref="M114">INDEX(Raw!E:FE, MATCH(M$4, Raw!$A:$A, 0), MATCH(1, (Raw!$B$1:$FB$1=$I114)*(Raw!$B$2:$FB$2=$H114), 0))</f>
        <v>2076000000</v>
      </c>
      <c r="N114" s="11" cm="1">
        <f t="array" ref="N114">INDEX(Raw!F:FF, MATCH(N$4, Raw!$A:$A, 0), MATCH(1, (Raw!$B$1:$FB$1=$I114)*(Raw!$B$2:$FB$2=$H114), 0))</f>
        <v>0</v>
      </c>
      <c r="O114" s="11" cm="1">
        <f t="array" ref="O114">INDEX(Raw!G:FG, MATCH(O$4, Raw!$A:$A, 0), MATCH(1, (Raw!$B$1:$FB$1=$I114)*(Raw!$B$2:$FB$2=$H114), 0))</f>
        <v>2023000000</v>
      </c>
      <c r="P114" s="11" cm="1">
        <f t="array" ref="P114">INDEX(Raw!H:FH, MATCH(P$4, Raw!$A:$A, 0), MATCH(1, (Raw!$B$1:$FB$1=$I114)*(Raw!$B$2:$FB$2=$H114), 0))</f>
        <v>1142000000</v>
      </c>
      <c r="Q114" s="11" cm="1">
        <f t="array" ref="Q114">INDEX(Raw!I:FI, MATCH(Q$4, Raw!$A:$A, 0), MATCH(1, (Raw!$B$1:$FB$1=$I114)*(Raw!$B$2:$FB$2=$H114), 0))</f>
        <v>58000000</v>
      </c>
      <c r="R114" s="11" cm="1">
        <f t="array" ref="R114">INDEX(Raw!J:FJ, MATCH(R$4, Raw!$A:$A, 0), MATCH(1, (Raw!$B$1:$FB$1=$I114)*(Raw!$B$2:$FB$2=$H114), 0))</f>
        <v>937000000</v>
      </c>
      <c r="S114" s="11" cm="1">
        <f t="array" ref="S114">INDEX(Raw!K:FK, MATCH(S$4, Raw!$A:$A, 0), MATCH(1, (Raw!$B$1:$FB$1=$I114)*(Raw!$B$2:$FB$2=$H114), 0))</f>
        <v>472000000</v>
      </c>
      <c r="T114" s="11" cm="1">
        <f t="array" ref="T114">INDEX(Raw!L:FL, MATCH(T$4, Raw!$A:$A, 0), MATCH(1, (Raw!$B$1:$FB$1=$I114)*(Raw!$B$2:$FB$2=$H114), 0))</f>
        <v>713000000</v>
      </c>
      <c r="U114" s="11" cm="1">
        <f t="array" ref="U114">INDEX(Raw!M:FM, MATCH(U$4, Raw!$A:$A, 0), MATCH(1, (Raw!$B$1:$FB$1=$I114)*(Raw!$B$2:$FB$2=$H114), 0))</f>
        <v>0</v>
      </c>
      <c r="V114" s="11" cm="1">
        <f t="array" ref="V114">INDEX(Raw!N:FN, MATCH(V$4, Raw!$A:$A, 0), MATCH(1, (Raw!$B$1:$FB$1=$I114)*(Raw!$B$2:$FB$2=$H114), 0))</f>
        <v>802000000</v>
      </c>
      <c r="W114" s="11" cm="1">
        <f t="array" ref="W114">INDEX(Raw!O:FO, MATCH(W$4, Raw!$A:$A, 0), MATCH(1, (Raw!$B$1:$FB$1=$I114)*(Raw!$B$2:$FB$2=$H114), 0))</f>
        <v>0</v>
      </c>
      <c r="X114" s="11" cm="1">
        <f t="array" ref="X114">INDEX(Raw!P:FP, MATCH(X$4, Raw!$A:$A, 0), MATCH(1, (Raw!$B$1:$FB$1=$I114)*(Raw!$B$2:$FB$2=$H114), 0))</f>
        <v>638000000</v>
      </c>
      <c r="Y114" s="11" cm="1">
        <f t="array" ref="Y114">INDEX(Raw!Q:FQ, MATCH(Y$4, Raw!$A:$A, 0), MATCH(1, (Raw!$B$1:$FB$1=$I114)*(Raw!$B$2:$FB$2=$H114), 0))</f>
        <v>0</v>
      </c>
      <c r="Z114" s="11" cm="1">
        <f t="array" ref="Z114">INDEX(Raw!R:FR, MATCH(Z$4, Raw!$A:$A, 0), MATCH(1, (Raw!$B$1:$FB$1=$I114)*(Raw!$B$2:$FB$2=$H114), 0))</f>
        <v>0</v>
      </c>
      <c r="AA114" s="11" cm="1">
        <f t="array" ref="AA114">INDEX(Raw!S:FS, MATCH(AA$4, Raw!$A:$A, 0), MATCH(1, (Raw!$B$1:$FB$1=$I114)*(Raw!$B$2:$FB$2=$H114), 0))</f>
        <v>0</v>
      </c>
      <c r="AB114" s="11" cm="1">
        <f t="array" ref="AB114">INDEX(Raw!T:FT, MATCH(AB$4, Raw!$A:$A, 0), MATCH(1, (Raw!$B$1:$FB$1=$I114)*(Raw!$B$2:$FB$2=$H114), 0))</f>
        <v>0</v>
      </c>
      <c r="AC114" s="11" cm="1">
        <f t="array" ref="AC114">INDEX(Raw!U:FU, MATCH(AC$4, Raw!$A:$A, 0), MATCH(1, (Raw!$B$1:$FB$1=$I114)*(Raw!$B$2:$FB$2=$H114), 0))</f>
        <v>0.09</v>
      </c>
      <c r="AD114" s="11" cm="1">
        <f t="array" ref="AD114">INDEX(Raw!V:FV, MATCH(AD$4, Raw!$A:$A, 0), MATCH(1, (Raw!$B$1:$FB$1=$I114)*(Raw!$B$2:$FB$2=$H114), 0))</f>
        <v>0.11</v>
      </c>
    </row>
    <row r="115" spans="6:30" x14ac:dyDescent="0.25">
      <c r="F115" s="11" t="s">
        <v>28</v>
      </c>
      <c r="G115" s="15">
        <f t="shared" ca="1" si="3"/>
        <v>46088</v>
      </c>
      <c r="H115" s="11">
        <f>H114</f>
        <v>1998</v>
      </c>
      <c r="I115" s="11" t="s">
        <v>23</v>
      </c>
      <c r="J115" s="11" cm="1">
        <f t="array" ref="J115">INDEX(Raw!B:FB, MATCH(J$4, Raw!$A:$A, 0), MATCH(1, (Raw!$B$1:$FB$1=$I115)*(Raw!$B$2:$FB$2=$H115), 0))</f>
        <v>5151000000</v>
      </c>
      <c r="K115" s="11" cm="1">
        <f t="array" ref="K115">INDEX(Raw!C:FC, MATCH(K$4, Raw!$A:$A, 0), MATCH(1, (Raw!$B$1:$FB$1=$I115)*(Raw!$B$2:$FB$2=$H115), 0))</f>
        <v>1318000000</v>
      </c>
      <c r="L115" s="11" cm="1">
        <f t="array" ref="L115">INDEX(Raw!D:FD, MATCH(L$4, Raw!$A:$A, 0), MATCH(1, (Raw!$B$1:$FB$1=$I115)*(Raw!$B$2:$FB$2=$H115), 0))</f>
        <v>3249000000</v>
      </c>
      <c r="M115" s="11" cm="1">
        <f t="array" ref="M115">INDEX(Raw!E:FE, MATCH(M$4, Raw!$A:$A, 0), MATCH(1, (Raw!$B$1:$FB$1=$I115)*(Raw!$B$2:$FB$2=$H115), 0))</f>
        <v>2052000000</v>
      </c>
      <c r="N115" s="11" cm="1">
        <f t="array" ref="N115">INDEX(Raw!F:FF, MATCH(N$4, Raw!$A:$A, 0), MATCH(1, (Raw!$B$1:$FB$1=$I115)*(Raw!$B$2:$FB$2=$H115), 0))</f>
        <v>0</v>
      </c>
      <c r="O115" s="11" cm="1">
        <f t="array" ref="O115">INDEX(Raw!G:FG, MATCH(O$4, Raw!$A:$A, 0), MATCH(1, (Raw!$B$1:$FB$1=$I115)*(Raw!$B$2:$FB$2=$H115), 0))</f>
        <v>1701000000</v>
      </c>
      <c r="P115" s="11" cm="1">
        <f t="array" ref="P115">INDEX(Raw!H:FH, MATCH(P$4, Raw!$A:$A, 0), MATCH(1, (Raw!$B$1:$FB$1=$I115)*(Raw!$B$2:$FB$2=$H115), 0))</f>
        <v>1079000000</v>
      </c>
      <c r="Q115" s="11" cm="1">
        <f t="array" ref="Q115">INDEX(Raw!I:FI, MATCH(Q$4, Raw!$A:$A, 0), MATCH(1, (Raw!$B$1:$FB$1=$I115)*(Raw!$B$2:$FB$2=$H115), 0))</f>
        <v>483000000</v>
      </c>
      <c r="R115" s="11" cm="1">
        <f t="array" ref="R115">INDEX(Raw!J:FJ, MATCH(R$4, Raw!$A:$A, 0), MATCH(1, (Raw!$B$1:$FB$1=$I115)*(Raw!$B$2:$FB$2=$H115), 0))</f>
        <v>1522000000</v>
      </c>
      <c r="S115" s="11" cm="1">
        <f t="array" ref="S115">INDEX(Raw!K:FK, MATCH(S$4, Raw!$A:$A, 0), MATCH(1, (Raw!$B$1:$FB$1=$I115)*(Raw!$B$2:$FB$2=$H115), 0))</f>
        <v>320000000</v>
      </c>
      <c r="T115" s="11" cm="1">
        <f t="array" ref="T115">INDEX(Raw!L:FL, MATCH(T$4, Raw!$A:$A, 0), MATCH(1, (Raw!$B$1:$FB$1=$I115)*(Raw!$B$2:$FB$2=$H115), 0))</f>
        <v>648000000</v>
      </c>
      <c r="U115" s="11" cm="1">
        <f t="array" ref="U115">INDEX(Raw!M:FM, MATCH(U$4, Raw!$A:$A, 0), MATCH(1, (Raw!$B$1:$FB$1=$I115)*(Raw!$B$2:$FB$2=$H115), 0))</f>
        <v>0</v>
      </c>
      <c r="V115" s="11" cm="1">
        <f t="array" ref="V115">INDEX(Raw!N:FN, MATCH(V$4, Raw!$A:$A, 0), MATCH(1, (Raw!$B$1:$FB$1=$I115)*(Raw!$B$2:$FB$2=$H115), 0))</f>
        <v>898000000</v>
      </c>
      <c r="W115" s="11" cm="1">
        <f t="array" ref="W115">INDEX(Raw!O:FO, MATCH(W$4, Raw!$A:$A, 0), MATCH(1, (Raw!$B$1:$FB$1=$I115)*(Raw!$B$2:$FB$2=$H115), 0))</f>
        <v>0</v>
      </c>
      <c r="X115" s="11" cm="1">
        <f t="array" ref="X115">INDEX(Raw!P:FP, MATCH(X$4, Raw!$A:$A, 0), MATCH(1, (Raw!$B$1:$FB$1=$I115)*(Raw!$B$2:$FB$2=$H115), 0))</f>
        <v>567000000</v>
      </c>
      <c r="Y115" s="11" cm="1">
        <f t="array" ref="Y115">INDEX(Raw!Q:FQ, MATCH(Y$4, Raw!$A:$A, 0), MATCH(1, (Raw!$B$1:$FB$1=$I115)*(Raw!$B$2:$FB$2=$H115), 0))</f>
        <v>0</v>
      </c>
      <c r="Z115" s="11" cm="1">
        <f t="array" ref="Z115">INDEX(Raw!R:FR, MATCH(Z$4, Raw!$A:$A, 0), MATCH(1, (Raw!$B$1:$FB$1=$I115)*(Raw!$B$2:$FB$2=$H115), 0))</f>
        <v>0</v>
      </c>
      <c r="AA115" s="11" cm="1">
        <f t="array" ref="AA115">INDEX(Raw!S:FS, MATCH(AA$4, Raw!$A:$A, 0), MATCH(1, (Raw!$B$1:$FB$1=$I115)*(Raw!$B$2:$FB$2=$H115), 0))</f>
        <v>0</v>
      </c>
      <c r="AB115" s="11" cm="1">
        <f t="array" ref="AB115">INDEX(Raw!T:FT, MATCH(AB$4, Raw!$A:$A, 0), MATCH(1, (Raw!$B$1:$FB$1=$I115)*(Raw!$B$2:$FB$2=$H115), 0))</f>
        <v>0</v>
      </c>
      <c r="AC115" s="11" cm="1">
        <f t="array" ref="AC115">INDEX(Raw!U:FU, MATCH(AC$4, Raw!$A:$A, 0), MATCH(1, (Raw!$B$1:$FB$1=$I115)*(Raw!$B$2:$FB$2=$H115), 0))</f>
        <v>0.11</v>
      </c>
      <c r="AD115" s="11" cm="1">
        <f t="array" ref="AD115">INDEX(Raw!V:FV, MATCH(AD$4, Raw!$A:$A, 0), MATCH(1, (Raw!$B$1:$FB$1=$I115)*(Raw!$B$2:$FB$2=$H115), 0))</f>
        <v>0.13</v>
      </c>
    </row>
    <row r="116" spans="6:30" x14ac:dyDescent="0.25">
      <c r="F116" s="11" t="s">
        <v>28</v>
      </c>
      <c r="G116" s="15">
        <f t="shared" ca="1" si="3"/>
        <v>46088</v>
      </c>
      <c r="H116" s="11">
        <f>H115</f>
        <v>1998</v>
      </c>
      <c r="I116" s="11" t="s">
        <v>24</v>
      </c>
      <c r="J116" s="11" cm="1">
        <f t="array" ref="J116">INDEX(Raw!B:FB, MATCH(J$4, Raw!$A:$A, 0), MATCH(1, (Raw!$B$1:$FB$1=$I116)*(Raw!$B$2:$FB$2=$H116), 0))</f>
        <v>4457000000</v>
      </c>
      <c r="K116" s="11" cm="1">
        <f t="array" ref="K116">INDEX(Raw!C:FC, MATCH(K$4, Raw!$A:$A, 0), MATCH(1, (Raw!$B$1:$FB$1=$I116)*(Raw!$B$2:$FB$2=$H116), 0))</f>
        <v>1452000000</v>
      </c>
      <c r="L116" s="11" cm="1">
        <f t="array" ref="L116">INDEX(Raw!D:FD, MATCH(L$4, Raw!$A:$A, 0), MATCH(1, (Raw!$B$1:$FB$1=$I116)*(Raw!$B$2:$FB$2=$H116), 0))</f>
        <v>3295000000</v>
      </c>
      <c r="M116" s="11" cm="1">
        <f t="array" ref="M116">INDEX(Raw!E:FE, MATCH(M$4, Raw!$A:$A, 0), MATCH(1, (Raw!$B$1:$FB$1=$I116)*(Raw!$B$2:$FB$2=$H116), 0))</f>
        <v>2023000000</v>
      </c>
      <c r="N116" s="11" cm="1">
        <f t="array" ref="N116">INDEX(Raw!F:FF, MATCH(N$4, Raw!$A:$A, 0), MATCH(1, (Raw!$B$1:$FB$1=$I116)*(Raw!$B$2:$FB$2=$H116), 0))</f>
        <v>0</v>
      </c>
      <c r="O116" s="11" cm="1">
        <f t="array" ref="O116">INDEX(Raw!G:FG, MATCH(O$4, Raw!$A:$A, 0), MATCH(1, (Raw!$B$1:$FB$1=$I116)*(Raw!$B$2:$FB$2=$H116), 0))</f>
        <v>1909000000</v>
      </c>
      <c r="P116" s="11" cm="1">
        <f t="array" ref="P116">INDEX(Raw!H:FH, MATCH(P$4, Raw!$A:$A, 0), MATCH(1, (Raw!$B$1:$FB$1=$I116)*(Raw!$B$2:$FB$2=$H116), 0))</f>
        <v>485000000</v>
      </c>
      <c r="Q116" s="11" cm="1">
        <f t="array" ref="Q116">INDEX(Raw!I:FI, MATCH(Q$4, Raw!$A:$A, 0), MATCH(1, (Raw!$B$1:$FB$1=$I116)*(Raw!$B$2:$FB$2=$H116), 0))</f>
        <v>140000000</v>
      </c>
      <c r="R116" s="11" cm="1">
        <f t="array" ref="R116">INDEX(Raw!J:FJ, MATCH(R$4, Raw!$A:$A, 0), MATCH(1, (Raw!$B$1:$FB$1=$I116)*(Raw!$B$2:$FB$2=$H116), 0))</f>
        <v>1033000000</v>
      </c>
      <c r="S116" s="11" cm="1">
        <f t="array" ref="S116">INDEX(Raw!K:FK, MATCH(S$4, Raw!$A:$A, 0), MATCH(1, (Raw!$B$1:$FB$1=$I116)*(Raw!$B$2:$FB$2=$H116), 0))</f>
        <v>277000000</v>
      </c>
      <c r="T116" s="11" cm="1">
        <f t="array" ref="T116">INDEX(Raw!L:FL, MATCH(T$4, Raw!$A:$A, 0), MATCH(1, (Raw!$B$1:$FB$1=$I116)*(Raw!$B$2:$FB$2=$H116), 0))</f>
        <v>802000000</v>
      </c>
      <c r="U116" s="11" cm="1">
        <f t="array" ref="U116">INDEX(Raw!M:FM, MATCH(U$4, Raw!$A:$A, 0), MATCH(1, (Raw!$B$1:$FB$1=$I116)*(Raw!$B$2:$FB$2=$H116), 0))</f>
        <v>0</v>
      </c>
      <c r="V116" s="11" cm="1">
        <f t="array" ref="V116">INDEX(Raw!N:FN, MATCH(V$4, Raw!$A:$A, 0), MATCH(1, (Raw!$B$1:$FB$1=$I116)*(Raw!$B$2:$FB$2=$H116), 0))</f>
        <v>638000000</v>
      </c>
      <c r="W116" s="11" cm="1">
        <f t="array" ref="W116">INDEX(Raw!O:FO, MATCH(W$4, Raw!$A:$A, 0), MATCH(1, (Raw!$B$1:$FB$1=$I116)*(Raw!$B$2:$FB$2=$H116), 0))</f>
        <v>0</v>
      </c>
      <c r="X116" s="11" cm="1">
        <f t="array" ref="X116">INDEX(Raw!P:FP, MATCH(X$4, Raw!$A:$A, 0), MATCH(1, (Raw!$B$1:$FB$1=$I116)*(Raw!$B$2:$FB$2=$H116), 0))</f>
        <v>708000000</v>
      </c>
      <c r="Y116" s="11" cm="1">
        <f t="array" ref="Y116">INDEX(Raw!Q:FQ, MATCH(Y$4, Raw!$A:$A, 0), MATCH(1, (Raw!$B$1:$FB$1=$I116)*(Raw!$B$2:$FB$2=$H116), 0))</f>
        <v>0</v>
      </c>
      <c r="Z116" s="11" cm="1">
        <f t="array" ref="Z116">INDEX(Raw!R:FR, MATCH(Z$4, Raw!$A:$A, 0), MATCH(1, (Raw!$B$1:$FB$1=$I116)*(Raw!$B$2:$FB$2=$H116), 0))</f>
        <v>0</v>
      </c>
      <c r="AA116" s="11" cm="1">
        <f t="array" ref="AA116">INDEX(Raw!S:FS, MATCH(AA$4, Raw!$A:$A, 0), MATCH(1, (Raw!$B$1:$FB$1=$I116)*(Raw!$B$2:$FB$2=$H116), 0))</f>
        <v>0</v>
      </c>
      <c r="AB116" s="11" cm="1">
        <f t="array" ref="AB116">INDEX(Raw!T:FT, MATCH(AB$4, Raw!$A:$A, 0), MATCH(1, (Raw!$B$1:$FB$1=$I116)*(Raw!$B$2:$FB$2=$H116), 0))</f>
        <v>0</v>
      </c>
      <c r="AC116" s="11" cm="1">
        <f t="array" ref="AC116">INDEX(Raw!U:FU, MATCH(AC$4, Raw!$A:$A, 0), MATCH(1, (Raw!$B$1:$FB$1=$I116)*(Raw!$B$2:$FB$2=$H116), 0))</f>
        <v>0.13</v>
      </c>
      <c r="AD116" s="11" cm="1">
        <f t="array" ref="AD116">INDEX(Raw!V:FV, MATCH(AD$4, Raw!$A:$A, 0), MATCH(1, (Raw!$B$1:$FB$1=$I116)*(Raw!$B$2:$FB$2=$H116), 0))</f>
        <v>8.5000000000000006E-2</v>
      </c>
    </row>
    <row r="117" spans="6:30" x14ac:dyDescent="0.25">
      <c r="F117" s="11" t="s">
        <v>28</v>
      </c>
      <c r="G117" s="15">
        <f t="shared" ca="1" si="3"/>
        <v>46088</v>
      </c>
      <c r="H117" s="11">
        <f>H113-1</f>
        <v>1997</v>
      </c>
      <c r="I117" s="11" t="s">
        <v>21</v>
      </c>
      <c r="J117" s="11" cm="1">
        <f t="array" ref="J117">INDEX(Raw!B:FB, MATCH(J$4, Raw!$A:$A, 0), MATCH(1, (Raw!$B$1:$FB$1=$I117)*(Raw!$B$2:$FB$2=$H117), 0))</f>
        <v>4701000000</v>
      </c>
      <c r="K117" s="11" cm="1">
        <f t="array" ref="K117">INDEX(Raw!C:FC, MATCH(K$4, Raw!$A:$A, 0), MATCH(1, (Raw!$B$1:$FB$1=$I117)*(Raw!$B$2:$FB$2=$H117), 0))</f>
        <v>1659000000</v>
      </c>
      <c r="L117" s="11" cm="1">
        <f t="array" ref="L117">INDEX(Raw!D:FD, MATCH(L$4, Raw!$A:$A, 0), MATCH(1, (Raw!$B$1:$FB$1=$I117)*(Raw!$B$2:$FB$2=$H117), 0))</f>
        <v>3466000000</v>
      </c>
      <c r="M117" s="11" cm="1">
        <f t="array" ref="M117">INDEX(Raw!E:FE, MATCH(M$4, Raw!$A:$A, 0), MATCH(1, (Raw!$B$1:$FB$1=$I117)*(Raw!$B$2:$FB$2=$H117), 0))</f>
        <v>1701000000</v>
      </c>
      <c r="N117" s="11" cm="1">
        <f t="array" ref="N117">INDEX(Raw!F:FF, MATCH(N$4, Raw!$A:$A, 0), MATCH(1, (Raw!$B$1:$FB$1=$I117)*(Raw!$B$2:$FB$2=$H117), 0))</f>
        <v>0</v>
      </c>
      <c r="O117" s="11" cm="1">
        <f t="array" ref="O117">INDEX(Raw!G:FG, MATCH(O$4, Raw!$A:$A, 0), MATCH(1, (Raw!$B$1:$FB$1=$I117)*(Raw!$B$2:$FB$2=$H117), 0))</f>
        <v>2388000000</v>
      </c>
      <c r="P117" s="11" cm="1">
        <f t="array" ref="P117">INDEX(Raw!H:FH, MATCH(P$4, Raw!$A:$A, 0), MATCH(1, (Raw!$B$1:$FB$1=$I117)*(Raw!$B$2:$FB$2=$H117), 0))</f>
        <v>1415000000</v>
      </c>
      <c r="Q117" s="11" cm="1">
        <f t="array" ref="Q117">INDEX(Raw!I:FI, MATCH(Q$4, Raw!$A:$A, 0), MATCH(1, (Raw!$B$1:$FB$1=$I117)*(Raw!$B$2:$FB$2=$H117), 0))</f>
        <v>0</v>
      </c>
      <c r="R117" s="11" cm="1">
        <f t="array" ref="R117">INDEX(Raw!J:FJ, MATCH(R$4, Raw!$A:$A, 0), MATCH(1, (Raw!$B$1:$FB$1=$I117)*(Raw!$B$2:$FB$2=$H117), 0))</f>
        <v>925000000</v>
      </c>
      <c r="S117" s="11" cm="1">
        <f t="array" ref="S117">INDEX(Raw!K:FK, MATCH(S$4, Raw!$A:$A, 0), MATCH(1, (Raw!$B$1:$FB$1=$I117)*(Raw!$B$2:$FB$2=$H117), 0))</f>
        <v>366000000</v>
      </c>
      <c r="T117" s="11" cm="1">
        <f t="array" ref="T117">INDEX(Raw!L:FL, MATCH(T$4, Raw!$A:$A, 0), MATCH(1, (Raw!$B$1:$FB$1=$I117)*(Raw!$B$2:$FB$2=$H117), 0))</f>
        <v>898000000</v>
      </c>
      <c r="U117" s="11" cm="1">
        <f t="array" ref="U117">INDEX(Raw!M:FM, MATCH(U$4, Raw!$A:$A, 0), MATCH(1, (Raw!$B$1:$FB$1=$I117)*(Raw!$B$2:$FB$2=$H117), 0))</f>
        <v>0</v>
      </c>
      <c r="V117" s="11" cm="1">
        <f t="array" ref="V117">INDEX(Raw!N:FN, MATCH(V$4, Raw!$A:$A, 0), MATCH(1, (Raw!$B$1:$FB$1=$I117)*(Raw!$B$2:$FB$2=$H117), 0))</f>
        <v>567000000</v>
      </c>
      <c r="W117" s="11" cm="1">
        <f t="array" ref="W117">INDEX(Raw!O:FO, MATCH(W$4, Raw!$A:$A, 0), MATCH(1, (Raw!$B$1:$FB$1=$I117)*(Raw!$B$2:$FB$2=$H117), 0))</f>
        <v>0</v>
      </c>
      <c r="X117" s="11" cm="1">
        <f t="array" ref="X117">INDEX(Raw!P:FP, MATCH(X$4, Raw!$A:$A, 0), MATCH(1, (Raw!$B$1:$FB$1=$I117)*(Raw!$B$2:$FB$2=$H117), 0))</f>
        <v>758000000</v>
      </c>
      <c r="Y117" s="11" cm="1">
        <f t="array" ref="Y117">INDEX(Raw!Q:FQ, MATCH(Y$4, Raw!$A:$A, 0), MATCH(1, (Raw!$B$1:$FB$1=$I117)*(Raw!$B$2:$FB$2=$H117), 0))</f>
        <v>0</v>
      </c>
      <c r="Z117" s="11" cm="1">
        <f t="array" ref="Z117">INDEX(Raw!R:FR, MATCH(Z$4, Raw!$A:$A, 0), MATCH(1, (Raw!$B$1:$FB$1=$I117)*(Raw!$B$2:$FB$2=$H117), 0))</f>
        <v>0</v>
      </c>
      <c r="AA117" s="11" cm="1">
        <f t="array" ref="AA117">INDEX(Raw!S:FS, MATCH(AA$4, Raw!$A:$A, 0), MATCH(1, (Raw!$B$1:$FB$1=$I117)*(Raw!$B$2:$FB$2=$H117), 0))</f>
        <v>0</v>
      </c>
      <c r="AB117" s="11" cm="1">
        <f t="array" ref="AB117">INDEX(Raw!T:FT, MATCH(AB$4, Raw!$A:$A, 0), MATCH(1, (Raw!$B$1:$FB$1=$I117)*(Raw!$B$2:$FB$2=$H117), 0))</f>
        <v>0</v>
      </c>
      <c r="AC117" s="11" cm="1">
        <f t="array" ref="AC117">INDEX(Raw!U:FU, MATCH(AC$4, Raw!$A:$A, 0), MATCH(1, (Raw!$B$1:$FB$1=$I117)*(Raw!$B$2:$FB$2=$H117), 0))</f>
        <v>8.5000000000000006E-2</v>
      </c>
      <c r="AD117" s="11" cm="1">
        <f t="array" ref="AD117">INDEX(Raw!V:FV, MATCH(AD$4, Raw!$A:$A, 0), MATCH(1, (Raw!$B$1:$FB$1=$I117)*(Raw!$B$2:$FB$2=$H117), 0))</f>
        <v>7.4999999999999997E-2</v>
      </c>
    </row>
    <row r="118" spans="6:30" x14ac:dyDescent="0.25">
      <c r="F118" s="11" t="s">
        <v>28</v>
      </c>
      <c r="G118" s="15">
        <f t="shared" ca="1" si="3"/>
        <v>46088</v>
      </c>
      <c r="H118" s="11">
        <f>H117</f>
        <v>1997</v>
      </c>
      <c r="I118" s="11" t="s">
        <v>22</v>
      </c>
      <c r="J118" s="11" cm="1">
        <f t="array" ref="J118">INDEX(Raw!B:FB, MATCH(J$4, Raw!$A:$A, 0), MATCH(1, (Raw!$B$1:$FB$1=$I118)*(Raw!$B$2:$FB$2=$H118), 0))</f>
        <v>4954000000</v>
      </c>
      <c r="K118" s="11" cm="1">
        <f t="array" ref="K118">INDEX(Raw!C:FC, MATCH(K$4, Raw!$A:$A, 0), MATCH(1, (Raw!$B$1:$FB$1=$I118)*(Raw!$B$2:$FB$2=$H118), 0))</f>
        <v>1609000000</v>
      </c>
      <c r="L118" s="11" cm="1">
        <f t="array" ref="L118">INDEX(Raw!D:FD, MATCH(L$4, Raw!$A:$A, 0), MATCH(1, (Raw!$B$1:$FB$1=$I118)*(Raw!$B$2:$FB$2=$H118), 0))</f>
        <v>2843000000</v>
      </c>
      <c r="M118" s="11" cm="1">
        <f t="array" ref="M118">INDEX(Raw!E:FE, MATCH(M$4, Raw!$A:$A, 0), MATCH(1, (Raw!$B$1:$FB$1=$I118)*(Raw!$B$2:$FB$2=$H118), 0))</f>
        <v>1909000000</v>
      </c>
      <c r="N118" s="11" cm="1">
        <f t="array" ref="N118">INDEX(Raw!F:FF, MATCH(N$4, Raw!$A:$A, 0), MATCH(1, (Raw!$B$1:$FB$1=$I118)*(Raw!$B$2:$FB$2=$H118), 0))</f>
        <v>0</v>
      </c>
      <c r="O118" s="11" cm="1">
        <f t="array" ref="O118">INDEX(Raw!G:FG, MATCH(O$4, Raw!$A:$A, 0), MATCH(1, (Raw!$B$1:$FB$1=$I118)*(Raw!$B$2:$FB$2=$H118), 0))</f>
        <v>1965000000</v>
      </c>
      <c r="P118" s="11" cm="1">
        <f t="array" ref="P118">INDEX(Raw!H:FH, MATCH(P$4, Raw!$A:$A, 0), MATCH(1, (Raw!$B$1:$FB$1=$I118)*(Raw!$B$2:$FB$2=$H118), 0))</f>
        <v>1033000000</v>
      </c>
      <c r="Q118" s="11" cm="1">
        <f t="array" ref="Q118">INDEX(Raw!I:FI, MATCH(Q$4, Raw!$A:$A, 0), MATCH(1, (Raw!$B$1:$FB$1=$I118)*(Raw!$B$2:$FB$2=$H118), 0))</f>
        <v>-24000000</v>
      </c>
      <c r="R118" s="11" cm="1">
        <f t="array" ref="R118">INDEX(Raw!J:FJ, MATCH(R$4, Raw!$A:$A, 0), MATCH(1, (Raw!$B$1:$FB$1=$I118)*(Raw!$B$2:$FB$2=$H118), 0))</f>
        <v>1168000000</v>
      </c>
      <c r="S118" s="11" cm="1">
        <f t="array" ref="S118">INDEX(Raw!K:FK, MATCH(S$4, Raw!$A:$A, 0), MATCH(1, (Raw!$B$1:$FB$1=$I118)*(Raw!$B$2:$FB$2=$H118), 0))</f>
        <v>406000000</v>
      </c>
      <c r="T118" s="11" cm="1">
        <f t="array" ref="T118">INDEX(Raw!L:FL, MATCH(T$4, Raw!$A:$A, 0), MATCH(1, (Raw!$B$1:$FB$1=$I118)*(Raw!$B$2:$FB$2=$H118), 0))</f>
        <v>638000000</v>
      </c>
      <c r="U118" s="11" cm="1">
        <f t="array" ref="U118">INDEX(Raw!M:FM, MATCH(U$4, Raw!$A:$A, 0), MATCH(1, (Raw!$B$1:$FB$1=$I118)*(Raw!$B$2:$FB$2=$H118), 0))</f>
        <v>0</v>
      </c>
      <c r="V118" s="11" cm="1">
        <f t="array" ref="V118">INDEX(Raw!N:FN, MATCH(V$4, Raw!$A:$A, 0), MATCH(1, (Raw!$B$1:$FB$1=$I118)*(Raw!$B$2:$FB$2=$H118), 0))</f>
        <v>708000000</v>
      </c>
      <c r="W118" s="11" cm="1">
        <f t="array" ref="W118">INDEX(Raw!O:FO, MATCH(W$4, Raw!$A:$A, 0), MATCH(1, (Raw!$B$1:$FB$1=$I118)*(Raw!$B$2:$FB$2=$H118), 0))</f>
        <v>0</v>
      </c>
      <c r="X118" s="11" cm="1">
        <f t="array" ref="X118">INDEX(Raw!P:FP, MATCH(X$4, Raw!$A:$A, 0), MATCH(1, (Raw!$B$1:$FB$1=$I118)*(Raw!$B$2:$FB$2=$H118), 0))</f>
        <v>521000000</v>
      </c>
      <c r="Y118" s="11" cm="1">
        <f t="array" ref="Y118">INDEX(Raw!Q:FQ, MATCH(Y$4, Raw!$A:$A, 0), MATCH(1, (Raw!$B$1:$FB$1=$I118)*(Raw!$B$2:$FB$2=$H118), 0))</f>
        <v>0</v>
      </c>
      <c r="Z118" s="11" cm="1">
        <f t="array" ref="Z118">INDEX(Raw!R:FR, MATCH(Z$4, Raw!$A:$A, 0), MATCH(1, (Raw!$B$1:$FB$1=$I118)*(Raw!$B$2:$FB$2=$H118), 0))</f>
        <v>0</v>
      </c>
      <c r="AA118" s="11" cm="1">
        <f t="array" ref="AA118">INDEX(Raw!S:FS, MATCH(AA$4, Raw!$A:$A, 0), MATCH(1, (Raw!$B$1:$FB$1=$I118)*(Raw!$B$2:$FB$2=$H118), 0))</f>
        <v>0</v>
      </c>
      <c r="AB118" s="11" cm="1">
        <f t="array" ref="AB118">INDEX(Raw!T:FT, MATCH(AB$4, Raw!$A:$A, 0), MATCH(1, (Raw!$B$1:$FB$1=$I118)*(Raw!$B$2:$FB$2=$H118), 0))</f>
        <v>0</v>
      </c>
      <c r="AC118" s="11" cm="1">
        <f t="array" ref="AC118">INDEX(Raw!U:FU, MATCH(AC$4, Raw!$A:$A, 0), MATCH(1, (Raw!$B$1:$FB$1=$I118)*(Raw!$B$2:$FB$2=$H118), 0))</f>
        <v>7.4999999999999997E-2</v>
      </c>
      <c r="AD118" s="11" cm="1">
        <f t="array" ref="AD118">INDEX(Raw!V:FV, MATCH(AD$4, Raw!$A:$A, 0), MATCH(1, (Raw!$B$1:$FB$1=$I118)*(Raw!$B$2:$FB$2=$H118), 0))</f>
        <v>0.10249999999999999</v>
      </c>
    </row>
    <row r="119" spans="6:30" x14ac:dyDescent="0.25">
      <c r="F119" s="11" t="s">
        <v>28</v>
      </c>
      <c r="G119" s="15">
        <f t="shared" ca="1" si="3"/>
        <v>46088</v>
      </c>
      <c r="H119" s="11">
        <f>H118</f>
        <v>1997</v>
      </c>
      <c r="I119" s="11" t="s">
        <v>23</v>
      </c>
      <c r="J119" s="11" cm="1">
        <f t="array" ref="J119">INDEX(Raw!B:FB, MATCH(J$4, Raw!$A:$A, 0), MATCH(1, (Raw!$B$1:$FB$1=$I119)*(Raw!$B$2:$FB$2=$H119), 0))</f>
        <v>5075000000</v>
      </c>
      <c r="K119" s="11" cm="1">
        <f t="array" ref="K119">INDEX(Raw!C:FC, MATCH(K$4, Raw!$A:$A, 0), MATCH(1, (Raw!$B$1:$FB$1=$I119)*(Raw!$B$2:$FB$2=$H119), 0))</f>
        <v>1295000000</v>
      </c>
      <c r="L119" s="11" cm="1">
        <f t="array" ref="L119">INDEX(Raw!D:FD, MATCH(L$4, Raw!$A:$A, 0), MATCH(1, (Raw!$B$1:$FB$1=$I119)*(Raw!$B$2:$FB$2=$H119), 0))</f>
        <v>2988000000</v>
      </c>
      <c r="M119" s="11" cm="1">
        <f t="array" ref="M119">INDEX(Raw!E:FE, MATCH(M$4, Raw!$A:$A, 0), MATCH(1, (Raw!$B$1:$FB$1=$I119)*(Raw!$B$2:$FB$2=$H119), 0))</f>
        <v>2388000000</v>
      </c>
      <c r="N119" s="11" cm="1">
        <f t="array" ref="N119">INDEX(Raw!F:FF, MATCH(N$4, Raw!$A:$A, 0), MATCH(1, (Raw!$B$1:$FB$1=$I119)*(Raw!$B$2:$FB$2=$H119), 0))</f>
        <v>0</v>
      </c>
      <c r="O119" s="11" cm="1">
        <f t="array" ref="O119">INDEX(Raw!G:FG, MATCH(O$4, Raw!$A:$A, 0), MATCH(1, (Raw!$B$1:$FB$1=$I119)*(Raw!$B$2:$FB$2=$H119), 0))</f>
        <v>1631000000</v>
      </c>
      <c r="P119" s="11" cm="1">
        <f t="array" ref="P119">INDEX(Raw!H:FH, MATCH(P$4, Raw!$A:$A, 0), MATCH(1, (Raw!$B$1:$FB$1=$I119)*(Raw!$B$2:$FB$2=$H119), 0))</f>
        <v>949000000</v>
      </c>
      <c r="Q119" s="11" cm="1">
        <f t="array" ref="Q119">INDEX(Raw!I:FI, MATCH(Q$4, Raw!$A:$A, 0), MATCH(1, (Raw!$B$1:$FB$1=$I119)*(Raw!$B$2:$FB$2=$H119), 0))</f>
        <v>162000000</v>
      </c>
      <c r="R119" s="11" cm="1">
        <f t="array" ref="R119">INDEX(Raw!J:FJ, MATCH(R$4, Raw!$A:$A, 0), MATCH(1, (Raw!$B$1:$FB$1=$I119)*(Raw!$B$2:$FB$2=$H119), 0))</f>
        <v>1304000000</v>
      </c>
      <c r="S119" s="11" cm="1">
        <f t="array" ref="S119">INDEX(Raw!K:FK, MATCH(S$4, Raw!$A:$A, 0), MATCH(1, (Raw!$B$1:$FB$1=$I119)*(Raw!$B$2:$FB$2=$H119), 0))</f>
        <v>293000000</v>
      </c>
      <c r="T119" s="11" cm="1">
        <f t="array" ref="T119">INDEX(Raw!L:FL, MATCH(T$4, Raw!$A:$A, 0), MATCH(1, (Raw!$B$1:$FB$1=$I119)*(Raw!$B$2:$FB$2=$H119), 0))</f>
        <v>567000000</v>
      </c>
      <c r="U119" s="11" cm="1">
        <f t="array" ref="U119">INDEX(Raw!M:FM, MATCH(U$4, Raw!$A:$A, 0), MATCH(1, (Raw!$B$1:$FB$1=$I119)*(Raw!$B$2:$FB$2=$H119), 0))</f>
        <v>0</v>
      </c>
      <c r="V119" s="11" cm="1">
        <f t="array" ref="V119">INDEX(Raw!N:FN, MATCH(V$4, Raw!$A:$A, 0), MATCH(1, (Raw!$B$1:$FB$1=$I119)*(Raw!$B$2:$FB$2=$H119), 0))</f>
        <v>758000000</v>
      </c>
      <c r="W119" s="11" cm="1">
        <f t="array" ref="W119">INDEX(Raw!O:FO, MATCH(W$4, Raw!$A:$A, 0), MATCH(1, (Raw!$B$1:$FB$1=$I119)*(Raw!$B$2:$FB$2=$H119), 0))</f>
        <v>0</v>
      </c>
      <c r="X119" s="11" cm="1">
        <f t="array" ref="X119">INDEX(Raw!P:FP, MATCH(X$4, Raw!$A:$A, 0), MATCH(1, (Raw!$B$1:$FB$1=$I119)*(Raw!$B$2:$FB$2=$H119), 0))</f>
        <v>473000000</v>
      </c>
      <c r="Y119" s="11" cm="1">
        <f t="array" ref="Y119">INDEX(Raw!Q:FQ, MATCH(Y$4, Raw!$A:$A, 0), MATCH(1, (Raw!$B$1:$FB$1=$I119)*(Raw!$B$2:$FB$2=$H119), 0))</f>
        <v>0</v>
      </c>
      <c r="Z119" s="11" cm="1">
        <f t="array" ref="Z119">INDEX(Raw!R:FR, MATCH(Z$4, Raw!$A:$A, 0), MATCH(1, (Raw!$B$1:$FB$1=$I119)*(Raw!$B$2:$FB$2=$H119), 0))</f>
        <v>0</v>
      </c>
      <c r="AA119" s="11" cm="1">
        <f t="array" ref="AA119">INDEX(Raw!S:FS, MATCH(AA$4, Raw!$A:$A, 0), MATCH(1, (Raw!$B$1:$FB$1=$I119)*(Raw!$B$2:$FB$2=$H119), 0))</f>
        <v>0</v>
      </c>
      <c r="AB119" s="11" cm="1">
        <f t="array" ref="AB119">INDEX(Raw!T:FT, MATCH(AB$4, Raw!$A:$A, 0), MATCH(1, (Raw!$B$1:$FB$1=$I119)*(Raw!$B$2:$FB$2=$H119), 0))</f>
        <v>0</v>
      </c>
      <c r="AC119" s="11" cm="1">
        <f t="array" ref="AC119">INDEX(Raw!U:FU, MATCH(AC$4, Raw!$A:$A, 0), MATCH(1, (Raw!$B$1:$FB$1=$I119)*(Raw!$B$2:$FB$2=$H119), 0))</f>
        <v>0.10249999999999999</v>
      </c>
      <c r="AD119" s="11" cm="1">
        <f t="array" ref="AD119">INDEX(Raw!V:FV, MATCH(AD$4, Raw!$A:$A, 0), MATCH(1, (Raw!$B$1:$FB$1=$I119)*(Raw!$B$2:$FB$2=$H119), 0))</f>
        <v>0.1075</v>
      </c>
    </row>
    <row r="120" spans="6:30" x14ac:dyDescent="0.25">
      <c r="F120" s="11" t="s">
        <v>28</v>
      </c>
      <c r="G120" s="15">
        <f t="shared" ca="1" si="3"/>
        <v>46088</v>
      </c>
      <c r="H120" s="11">
        <f>H119</f>
        <v>1997</v>
      </c>
      <c r="I120" s="11" t="s">
        <v>24</v>
      </c>
      <c r="J120" s="11" cm="1">
        <f t="array" ref="J120">INDEX(Raw!B:FB, MATCH(J$4, Raw!$A:$A, 0), MATCH(1, (Raw!$B$1:$FB$1=$I120)*(Raw!$B$2:$FB$2=$H120), 0))</f>
        <v>4138000000</v>
      </c>
      <c r="K120" s="11" cm="1">
        <f t="array" ref="K120">INDEX(Raw!C:FC, MATCH(K$4, Raw!$A:$A, 0), MATCH(1, (Raw!$B$1:$FB$1=$I120)*(Raw!$B$2:$FB$2=$H120), 0))</f>
        <v>1488000000</v>
      </c>
      <c r="L120" s="11" cm="1">
        <f t="array" ref="L120">INDEX(Raw!D:FD, MATCH(L$4, Raw!$A:$A, 0), MATCH(1, (Raw!$B$1:$FB$1=$I120)*(Raw!$B$2:$FB$2=$H120), 0))</f>
        <v>2873000000</v>
      </c>
      <c r="M120" s="11" cm="1">
        <f t="array" ref="M120">INDEX(Raw!E:FE, MATCH(M$4, Raw!$A:$A, 0), MATCH(1, (Raw!$B$1:$FB$1=$I120)*(Raw!$B$2:$FB$2=$H120), 0))</f>
        <v>1965000000</v>
      </c>
      <c r="N120" s="11" cm="1">
        <f t="array" ref="N120">INDEX(Raw!F:FF, MATCH(N$4, Raw!$A:$A, 0), MATCH(1, (Raw!$B$1:$FB$1=$I120)*(Raw!$B$2:$FB$2=$H120), 0))</f>
        <v>0</v>
      </c>
      <c r="O120" s="11" cm="1">
        <f t="array" ref="O120">INDEX(Raw!G:FG, MATCH(O$4, Raw!$A:$A, 0), MATCH(1, (Raw!$B$1:$FB$1=$I120)*(Raw!$B$2:$FB$2=$H120), 0))</f>
        <v>1714000000</v>
      </c>
      <c r="P120" s="11" cm="1">
        <f t="array" ref="P120">INDEX(Raw!H:FH, MATCH(P$4, Raw!$A:$A, 0), MATCH(1, (Raw!$B$1:$FB$1=$I120)*(Raw!$B$2:$FB$2=$H120), 0))</f>
        <v>1006000000</v>
      </c>
      <c r="Q120" s="11" cm="1">
        <f t="array" ref="Q120">INDEX(Raw!I:FI, MATCH(Q$4, Raw!$A:$A, 0), MATCH(1, (Raw!$B$1:$FB$1=$I120)*(Raw!$B$2:$FB$2=$H120), 0))</f>
        <v>46000000</v>
      </c>
      <c r="R120" s="11" cm="1">
        <f t="array" ref="R120">INDEX(Raw!J:FJ, MATCH(R$4, Raw!$A:$A, 0), MATCH(1, (Raw!$B$1:$FB$1=$I120)*(Raw!$B$2:$FB$2=$H120), 0))</f>
        <v>931000000</v>
      </c>
      <c r="S120" s="11" cm="1">
        <f t="array" ref="S120">INDEX(Raw!K:FK, MATCH(S$4, Raw!$A:$A, 0), MATCH(1, (Raw!$B$1:$FB$1=$I120)*(Raw!$B$2:$FB$2=$H120), 0))</f>
        <v>261000000</v>
      </c>
      <c r="T120" s="11" cm="1">
        <f t="array" ref="T120">INDEX(Raw!L:FL, MATCH(T$4, Raw!$A:$A, 0), MATCH(1, (Raw!$B$1:$FB$1=$I120)*(Raw!$B$2:$FB$2=$H120), 0))</f>
        <v>708000000</v>
      </c>
      <c r="U120" s="11" cm="1">
        <f t="array" ref="U120">INDEX(Raw!M:FM, MATCH(U$4, Raw!$A:$A, 0), MATCH(1, (Raw!$B$1:$FB$1=$I120)*(Raw!$B$2:$FB$2=$H120), 0))</f>
        <v>0</v>
      </c>
      <c r="V120" s="11" cm="1">
        <f t="array" ref="V120">INDEX(Raw!N:FN, MATCH(V$4, Raw!$A:$A, 0), MATCH(1, (Raw!$B$1:$FB$1=$I120)*(Raw!$B$2:$FB$2=$H120), 0))</f>
        <v>521000000</v>
      </c>
      <c r="W120" s="11" cm="1">
        <f t="array" ref="W120">INDEX(Raw!O:FO, MATCH(W$4, Raw!$A:$A, 0), MATCH(1, (Raw!$B$1:$FB$1=$I120)*(Raw!$B$2:$FB$2=$H120), 0))</f>
        <v>0</v>
      </c>
      <c r="X120" s="11" cm="1">
        <f t="array" ref="X120">INDEX(Raw!P:FP, MATCH(X$4, Raw!$A:$A, 0), MATCH(1, (Raw!$B$1:$FB$1=$I120)*(Raw!$B$2:$FB$2=$H120), 0))</f>
        <v>576000000</v>
      </c>
      <c r="Y120" s="11" cm="1">
        <f t="array" ref="Y120">INDEX(Raw!Q:FQ, MATCH(Y$4, Raw!$A:$A, 0), MATCH(1, (Raw!$B$1:$FB$1=$I120)*(Raw!$B$2:$FB$2=$H120), 0))</f>
        <v>0</v>
      </c>
      <c r="Z120" s="11" cm="1">
        <f t="array" ref="Z120">INDEX(Raw!R:FR, MATCH(Z$4, Raw!$A:$A, 0), MATCH(1, (Raw!$B$1:$FB$1=$I120)*(Raw!$B$2:$FB$2=$H120), 0))</f>
        <v>0</v>
      </c>
      <c r="AA120" s="11" cm="1">
        <f t="array" ref="AA120">INDEX(Raw!S:FS, MATCH(AA$4, Raw!$A:$A, 0), MATCH(1, (Raw!$B$1:$FB$1=$I120)*(Raw!$B$2:$FB$2=$H120), 0))</f>
        <v>0</v>
      </c>
      <c r="AB120" s="11" cm="1">
        <f t="array" ref="AB120">INDEX(Raw!T:FT, MATCH(AB$4, Raw!$A:$A, 0), MATCH(1, (Raw!$B$1:$FB$1=$I120)*(Raw!$B$2:$FB$2=$H120), 0))</f>
        <v>0</v>
      </c>
      <c r="AC120" s="11" cm="1">
        <f t="array" ref="AC120">INDEX(Raw!U:FU, MATCH(AC$4, Raw!$A:$A, 0), MATCH(1, (Raw!$B$1:$FB$1=$I120)*(Raw!$B$2:$FB$2=$H120), 0))</f>
        <v>0.11</v>
      </c>
      <c r="AD120" s="11" cm="1">
        <f t="array" ref="AD120">INDEX(Raw!V:FV, MATCH(AD$4, Raw!$A:$A, 0), MATCH(1, (Raw!$B$1:$FB$1=$I120)*(Raw!$B$2:$FB$2=$H120), 0))</f>
        <v>3.2500000000000001E-2</v>
      </c>
    </row>
    <row r="121" spans="6:30" x14ac:dyDescent="0.25">
      <c r="F121" s="11" t="s">
        <v>28</v>
      </c>
      <c r="G121" s="15">
        <f t="shared" ca="1" si="3"/>
        <v>46088</v>
      </c>
      <c r="H121" s="11">
        <f>H117-1</f>
        <v>1996</v>
      </c>
      <c r="I121" s="11" t="s">
        <v>21</v>
      </c>
      <c r="J121" s="11" cm="1">
        <f t="array" ref="J121">INDEX(Raw!B:FB, MATCH(J$4, Raw!$A:$A, 0), MATCH(1, (Raw!$B$1:$FB$1=$I121)*(Raw!$B$2:$FB$2=$H121), 0))</f>
        <v>4476000000</v>
      </c>
      <c r="K121" s="11" cm="1">
        <f t="array" ref="K121">INDEX(Raw!C:FC, MATCH(K$4, Raw!$A:$A, 0), MATCH(1, (Raw!$B$1:$FB$1=$I121)*(Raw!$B$2:$FB$2=$H121), 0))</f>
        <v>1814000000</v>
      </c>
      <c r="L121" s="11" cm="1">
        <f t="array" ref="L121">INDEX(Raw!D:FD, MATCH(L$4, Raw!$A:$A, 0), MATCH(1, (Raw!$B$1:$FB$1=$I121)*(Raw!$B$2:$FB$2=$H121), 0))</f>
        <v>3380000000</v>
      </c>
      <c r="M121" s="11" cm="1">
        <f t="array" ref="M121">INDEX(Raw!E:FE, MATCH(M$4, Raw!$A:$A, 0), MATCH(1, (Raw!$B$1:$FB$1=$I121)*(Raw!$B$2:$FB$2=$H121), 0))</f>
        <v>1631000000</v>
      </c>
      <c r="N121" s="11" cm="1">
        <f t="array" ref="N121">INDEX(Raw!F:FF, MATCH(N$4, Raw!$A:$A, 0), MATCH(1, (Raw!$B$1:$FB$1=$I121)*(Raw!$B$2:$FB$2=$H121), 0))</f>
        <v>0</v>
      </c>
      <c r="O121" s="11" cm="1">
        <f t="array" ref="O121">INDEX(Raw!G:FG, MATCH(O$4, Raw!$A:$A, 0), MATCH(1, (Raw!$B$1:$FB$1=$I121)*(Raw!$B$2:$FB$2=$H121), 0))</f>
        <v>1940000000</v>
      </c>
      <c r="P121" s="11" cm="1">
        <f t="array" ref="P121">INDEX(Raw!H:FH, MATCH(P$4, Raw!$A:$A, 0), MATCH(1, (Raw!$B$1:$FB$1=$I121)*(Raw!$B$2:$FB$2=$H121), 0))</f>
        <v>1258000000</v>
      </c>
      <c r="Q121" s="11" cm="1">
        <f t="array" ref="Q121">INDEX(Raw!I:FI, MATCH(Q$4, Raw!$A:$A, 0), MATCH(1, (Raw!$B$1:$FB$1=$I121)*(Raw!$B$2:$FB$2=$H121), 0))</f>
        <v>52000000</v>
      </c>
      <c r="R121" s="11" cm="1">
        <f t="array" ref="R121">INDEX(Raw!J:FJ, MATCH(R$4, Raw!$A:$A, 0), MATCH(1, (Raw!$B$1:$FB$1=$I121)*(Raw!$B$2:$FB$2=$H121), 0))</f>
        <v>828000000</v>
      </c>
      <c r="S121" s="11" cm="1">
        <f t="array" ref="S121">INDEX(Raw!K:FK, MATCH(S$4, Raw!$A:$A, 0), MATCH(1, (Raw!$B$1:$FB$1=$I121)*(Raw!$B$2:$FB$2=$H121), 0))</f>
        <v>325000000</v>
      </c>
      <c r="T121" s="11" cm="1">
        <f t="array" ref="T121">INDEX(Raw!L:FL, MATCH(T$4, Raw!$A:$A, 0), MATCH(1, (Raw!$B$1:$FB$1=$I121)*(Raw!$B$2:$FB$2=$H121), 0))</f>
        <v>758000000</v>
      </c>
      <c r="U121" s="11" cm="1">
        <f t="array" ref="U121">INDEX(Raw!M:FM, MATCH(U$4, Raw!$A:$A, 0), MATCH(1, (Raw!$B$1:$FB$1=$I121)*(Raw!$B$2:$FB$2=$H121), 0))</f>
        <v>0</v>
      </c>
      <c r="V121" s="11" cm="1">
        <f t="array" ref="V121">INDEX(Raw!N:FN, MATCH(V$4, Raw!$A:$A, 0), MATCH(1, (Raw!$B$1:$FB$1=$I121)*(Raw!$B$2:$FB$2=$H121), 0))</f>
        <v>473000000</v>
      </c>
      <c r="W121" s="11" cm="1">
        <f t="array" ref="W121">INDEX(Raw!O:FO, MATCH(W$4, Raw!$A:$A, 0), MATCH(1, (Raw!$B$1:$FB$1=$I121)*(Raw!$B$2:$FB$2=$H121), 0))</f>
        <v>0</v>
      </c>
      <c r="X121" s="11" cm="1">
        <f t="array" ref="X121">INDEX(Raw!P:FP, MATCH(X$4, Raw!$A:$A, 0), MATCH(1, (Raw!$B$1:$FB$1=$I121)*(Raw!$B$2:$FB$2=$H121), 0))</f>
        <v>678000000</v>
      </c>
      <c r="Y121" s="11" cm="1">
        <f t="array" ref="Y121">INDEX(Raw!Q:FQ, MATCH(Y$4, Raw!$A:$A, 0), MATCH(1, (Raw!$B$1:$FB$1=$I121)*(Raw!$B$2:$FB$2=$H121), 0))</f>
        <v>0</v>
      </c>
      <c r="Z121" s="11" cm="1">
        <f t="array" ref="Z121">INDEX(Raw!R:FR, MATCH(Z$4, Raw!$A:$A, 0), MATCH(1, (Raw!$B$1:$FB$1=$I121)*(Raw!$B$2:$FB$2=$H121), 0))</f>
        <v>0</v>
      </c>
      <c r="AA121" s="11" cm="1">
        <f t="array" ref="AA121">INDEX(Raw!S:FS, MATCH(AA$4, Raw!$A:$A, 0), MATCH(1, (Raw!$B$1:$FB$1=$I121)*(Raw!$B$2:$FB$2=$H121), 0))</f>
        <v>0</v>
      </c>
      <c r="AB121" s="11" cm="1">
        <f t="array" ref="AB121">INDEX(Raw!T:FT, MATCH(AB$4, Raw!$A:$A, 0), MATCH(1, (Raw!$B$1:$FB$1=$I121)*(Raw!$B$2:$FB$2=$H121), 0))</f>
        <v>0</v>
      </c>
      <c r="AC121" s="11" cm="1">
        <f t="array" ref="AC121">INDEX(Raw!U:FU, MATCH(AC$4, Raw!$A:$A, 0), MATCH(1, (Raw!$B$1:$FB$1=$I121)*(Raw!$B$2:$FB$2=$H121), 0))</f>
        <v>7.2499999999999995E-2</v>
      </c>
      <c r="AD121" s="11" cm="1">
        <f t="array" ref="AD121">INDEX(Raw!V:FV, MATCH(AD$4, Raw!$A:$A, 0), MATCH(1, (Raw!$B$1:$FB$1=$I121)*(Raw!$B$2:$FB$2=$H121), 0))</f>
        <v>3.3700000000000001E-2</v>
      </c>
    </row>
    <row r="122" spans="6:30" x14ac:dyDescent="0.25">
      <c r="F122" s="11" t="s">
        <v>28</v>
      </c>
      <c r="G122" s="15">
        <f t="shared" ca="1" si="3"/>
        <v>46088</v>
      </c>
      <c r="H122" s="11">
        <f>H121</f>
        <v>1996</v>
      </c>
      <c r="I122" s="11" t="s">
        <v>22</v>
      </c>
      <c r="J122" s="11" cm="1">
        <f t="array" ref="J122">INDEX(Raw!B:FB, MATCH(J$4, Raw!$A:$A, 0), MATCH(1, (Raw!$B$1:$FB$1=$I122)*(Raw!$B$2:$FB$2=$H122), 0))</f>
        <v>4687000000</v>
      </c>
      <c r="K122" s="11" cm="1">
        <f t="array" ref="K122">INDEX(Raw!C:FC, MATCH(K$4, Raw!$A:$A, 0), MATCH(1, (Raw!$B$1:$FB$1=$I122)*(Raw!$B$2:$FB$2=$H122), 0))</f>
        <v>1906000000</v>
      </c>
      <c r="L122" s="11" cm="1">
        <f t="array" ref="L122">INDEX(Raw!D:FD, MATCH(L$4, Raw!$A:$A, 0), MATCH(1, (Raw!$B$1:$FB$1=$I122)*(Raw!$B$2:$FB$2=$H122), 0))</f>
        <v>2664000000</v>
      </c>
      <c r="M122" s="11" cm="1">
        <f t="array" ref="M122">INDEX(Raw!E:FE, MATCH(M$4, Raw!$A:$A, 0), MATCH(1, (Raw!$B$1:$FB$1=$I122)*(Raw!$B$2:$FB$2=$H122), 0))</f>
        <v>1714000000</v>
      </c>
      <c r="N122" s="11" cm="1">
        <f t="array" ref="N122">INDEX(Raw!F:FF, MATCH(N$4, Raw!$A:$A, 0), MATCH(1, (Raw!$B$1:$FB$1=$I122)*(Raw!$B$2:$FB$2=$H122), 0))</f>
        <v>0</v>
      </c>
      <c r="O122" s="11" cm="1">
        <f t="array" ref="O122">INDEX(Raw!G:FG, MATCH(O$4, Raw!$A:$A, 0), MATCH(1, (Raw!$B$1:$FB$1=$I122)*(Raw!$B$2:$FB$2=$H122), 0))</f>
        <v>1802000000</v>
      </c>
      <c r="P122" s="11" cm="1">
        <f t="array" ref="P122">INDEX(Raw!H:FH, MATCH(P$4, Raw!$A:$A, 0), MATCH(1, (Raw!$B$1:$FB$1=$I122)*(Raw!$B$2:$FB$2=$H122), 0))</f>
        <v>879000000</v>
      </c>
      <c r="Q122" s="11" cm="1">
        <f t="array" ref="Q122">INDEX(Raw!I:FI, MATCH(Q$4, Raw!$A:$A, 0), MATCH(1, (Raw!$B$1:$FB$1=$I122)*(Raw!$B$2:$FB$2=$H122), 0))</f>
        <v>-38000000</v>
      </c>
      <c r="R122" s="11" cm="1">
        <f t="array" ref="R122">INDEX(Raw!J:FJ, MATCH(R$4, Raw!$A:$A, 0), MATCH(1, (Raw!$B$1:$FB$1=$I122)*(Raw!$B$2:$FB$2=$H122), 0))</f>
        <v>1033000000</v>
      </c>
      <c r="S122" s="11" cm="1">
        <f t="array" ref="S122">INDEX(Raw!K:FK, MATCH(S$4, Raw!$A:$A, 0), MATCH(1, (Raw!$B$1:$FB$1=$I122)*(Raw!$B$2:$FB$2=$H122), 0))</f>
        <v>349000000</v>
      </c>
      <c r="T122" s="11" cm="1">
        <f t="array" ref="T122">INDEX(Raw!L:FL, MATCH(T$4, Raw!$A:$A, 0), MATCH(1, (Raw!$B$1:$FB$1=$I122)*(Raw!$B$2:$FB$2=$H122), 0))</f>
        <v>521000000</v>
      </c>
      <c r="U122" s="11" cm="1">
        <f t="array" ref="U122">INDEX(Raw!M:FM, MATCH(U$4, Raw!$A:$A, 0), MATCH(1, (Raw!$B$1:$FB$1=$I122)*(Raw!$B$2:$FB$2=$H122), 0))</f>
        <v>0</v>
      </c>
      <c r="V122" s="11" cm="1">
        <f t="array" ref="V122">INDEX(Raw!N:FN, MATCH(V$4, Raw!$A:$A, 0), MATCH(1, (Raw!$B$1:$FB$1=$I122)*(Raw!$B$2:$FB$2=$H122), 0))</f>
        <v>576000000</v>
      </c>
      <c r="W122" s="11" cm="1">
        <f t="array" ref="W122">INDEX(Raw!O:FO, MATCH(W$4, Raw!$A:$A, 0), MATCH(1, (Raw!$B$1:$FB$1=$I122)*(Raw!$B$2:$FB$2=$H122), 0))</f>
        <v>0</v>
      </c>
      <c r="X122" s="11" cm="1">
        <f t="array" ref="X122">INDEX(Raw!P:FP, MATCH(X$4, Raw!$A:$A, 0), MATCH(1, (Raw!$B$1:$FB$1=$I122)*(Raw!$B$2:$FB$2=$H122), 0))</f>
        <v>442000000</v>
      </c>
      <c r="Y122" s="11" cm="1">
        <f t="array" ref="Y122">INDEX(Raw!Q:FQ, MATCH(Y$4, Raw!$A:$A, 0), MATCH(1, (Raw!$B$1:$FB$1=$I122)*(Raw!$B$2:$FB$2=$H122), 0))</f>
        <v>0</v>
      </c>
      <c r="Z122" s="11" cm="1">
        <f t="array" ref="Z122">INDEX(Raw!R:FR, MATCH(Z$4, Raw!$A:$A, 0), MATCH(1, (Raw!$B$1:$FB$1=$I122)*(Raw!$B$2:$FB$2=$H122), 0))</f>
        <v>0</v>
      </c>
      <c r="AA122" s="11" cm="1">
        <f t="array" ref="AA122">INDEX(Raw!S:FS, MATCH(AA$4, Raw!$A:$A, 0), MATCH(1, (Raw!$B$1:$FB$1=$I122)*(Raw!$B$2:$FB$2=$H122), 0))</f>
        <v>0</v>
      </c>
      <c r="AB122" s="11" cm="1">
        <f t="array" ref="AB122">INDEX(Raw!T:FT, MATCH(AB$4, Raw!$A:$A, 0), MATCH(1, (Raw!$B$1:$FB$1=$I122)*(Raw!$B$2:$FB$2=$H122), 0))</f>
        <v>0</v>
      </c>
      <c r="AC122" s="11" cm="1">
        <f t="array" ref="AC122">INDEX(Raw!U:FU, MATCH(AC$4, Raw!$A:$A, 0), MATCH(1, (Raw!$B$1:$FB$1=$I122)*(Raw!$B$2:$FB$2=$H122), 0))</f>
        <v>6.7400000000000002E-2</v>
      </c>
      <c r="AD122" s="11" cm="1">
        <f t="array" ref="AD122">INDEX(Raw!V:FV, MATCH(AD$4, Raw!$A:$A, 0), MATCH(1, (Raw!$B$1:$FB$1=$I122)*(Raw!$B$2:$FB$2=$H122), 0))</f>
        <v>8.5800000000000001E-2</v>
      </c>
    </row>
    <row r="123" spans="6:30" x14ac:dyDescent="0.25">
      <c r="F123" s="11" t="s">
        <v>28</v>
      </c>
      <c r="G123" s="15">
        <f t="shared" ca="1" si="3"/>
        <v>46088</v>
      </c>
      <c r="H123" s="11">
        <f>H122</f>
        <v>1996</v>
      </c>
      <c r="I123" s="11" t="s">
        <v>23</v>
      </c>
      <c r="J123" s="11" cm="1">
        <f t="array" ref="J123">INDEX(Raw!B:FB, MATCH(J$4, Raw!$A:$A, 0), MATCH(1, (Raw!$B$1:$FB$1=$I123)*(Raw!$B$2:$FB$2=$H123), 0))</f>
        <v>5286000000</v>
      </c>
      <c r="K123" s="11" cm="1">
        <f t="array" ref="K123">INDEX(Raw!C:FC, MATCH(K$4, Raw!$A:$A, 0), MATCH(1, (Raw!$B$1:$FB$1=$I123)*(Raw!$B$2:$FB$2=$H123), 0))</f>
        <v>1530000000</v>
      </c>
      <c r="L123" s="11" cm="1">
        <f t="array" ref="L123">INDEX(Raw!D:FD, MATCH(L$4, Raw!$A:$A, 0), MATCH(1, (Raw!$B$1:$FB$1=$I123)*(Raw!$B$2:$FB$2=$H123), 0))</f>
        <v>2663000000</v>
      </c>
      <c r="M123" s="11" cm="1">
        <f t="array" ref="M123">INDEX(Raw!E:FE, MATCH(M$4, Raw!$A:$A, 0), MATCH(1, (Raw!$B$1:$FB$1=$I123)*(Raw!$B$2:$FB$2=$H123), 0))</f>
        <v>1940000000</v>
      </c>
      <c r="N123" s="11" cm="1">
        <f t="array" ref="N123">INDEX(Raw!F:FF, MATCH(N$4, Raw!$A:$A, 0), MATCH(1, (Raw!$B$1:$FB$1=$I123)*(Raw!$B$2:$FB$2=$H123), 0))</f>
        <v>0</v>
      </c>
      <c r="O123" s="11" cm="1">
        <f t="array" ref="O123">INDEX(Raw!G:FG, MATCH(O$4, Raw!$A:$A, 0), MATCH(1, (Raw!$B$1:$FB$1=$I123)*(Raw!$B$2:$FB$2=$H123), 0))</f>
        <v>1530000000</v>
      </c>
      <c r="P123" s="11" cm="1">
        <f t="array" ref="P123">INDEX(Raw!H:FH, MATCH(P$4, Raw!$A:$A, 0), MATCH(1, (Raw!$B$1:$FB$1=$I123)*(Raw!$B$2:$FB$2=$H123), 0))</f>
        <v>866000000</v>
      </c>
      <c r="Q123" s="11" cm="1">
        <f t="array" ref="Q123">INDEX(Raw!I:FI, MATCH(Q$4, Raw!$A:$A, 0), MATCH(1, (Raw!$B$1:$FB$1=$I123)*(Raw!$B$2:$FB$2=$H123), 0))</f>
        <v>33000000</v>
      </c>
      <c r="R123" s="11" cm="1">
        <f t="array" ref="R123">INDEX(Raw!J:FJ, MATCH(R$4, Raw!$A:$A, 0), MATCH(1, (Raw!$B$1:$FB$1=$I123)*(Raw!$B$2:$FB$2=$H123), 0))</f>
        <v>1107000000</v>
      </c>
      <c r="S123" s="11" cm="1">
        <f t="array" ref="S123">INDEX(Raw!K:FK, MATCH(S$4, Raw!$A:$A, 0), MATCH(1, (Raw!$B$1:$FB$1=$I123)*(Raw!$B$2:$FB$2=$H123), 0))</f>
        <v>239000000</v>
      </c>
      <c r="T123" s="11" cm="1">
        <f t="array" ref="T123">INDEX(Raw!L:FL, MATCH(T$4, Raw!$A:$A, 0), MATCH(1, (Raw!$B$1:$FB$1=$I123)*(Raw!$B$2:$FB$2=$H123), 0))</f>
        <v>466000000</v>
      </c>
      <c r="U123" s="11" cm="1">
        <f t="array" ref="U123">INDEX(Raw!M:FM, MATCH(U$4, Raw!$A:$A, 0), MATCH(1, (Raw!$B$1:$FB$1=$I123)*(Raw!$B$2:$FB$2=$H123), 0))</f>
        <v>0</v>
      </c>
      <c r="V123" s="11" cm="1">
        <f t="array" ref="V123">INDEX(Raw!N:FN, MATCH(V$4, Raw!$A:$A, 0), MATCH(1, (Raw!$B$1:$FB$1=$I123)*(Raw!$B$2:$FB$2=$H123), 0))</f>
        <v>678000000</v>
      </c>
      <c r="W123" s="11" cm="1">
        <f t="array" ref="W123">INDEX(Raw!O:FO, MATCH(W$4, Raw!$A:$A, 0), MATCH(1, (Raw!$B$1:$FB$1=$I123)*(Raw!$B$2:$FB$2=$H123), 0))</f>
        <v>0</v>
      </c>
      <c r="X123" s="11" cm="1">
        <f t="array" ref="X123">INDEX(Raw!P:FP, MATCH(X$4, Raw!$A:$A, 0), MATCH(1, (Raw!$B$1:$FB$1=$I123)*(Raw!$B$2:$FB$2=$H123), 0))</f>
        <v>392579000</v>
      </c>
      <c r="Y123" s="11" cm="1">
        <f t="array" ref="Y123">INDEX(Raw!Q:FQ, MATCH(Y$4, Raw!$A:$A, 0), MATCH(1, (Raw!$B$1:$FB$1=$I123)*(Raw!$B$2:$FB$2=$H123), 0))</f>
        <v>0</v>
      </c>
      <c r="Z123" s="11" cm="1">
        <f t="array" ref="Z123">INDEX(Raw!R:FR, MATCH(Z$4, Raw!$A:$A, 0), MATCH(1, (Raw!$B$1:$FB$1=$I123)*(Raw!$B$2:$FB$2=$H123), 0))</f>
        <v>0</v>
      </c>
      <c r="AA123" s="11" cm="1">
        <f t="array" ref="AA123">INDEX(Raw!S:FS, MATCH(AA$4, Raw!$A:$A, 0), MATCH(1, (Raw!$B$1:$FB$1=$I123)*(Raw!$B$2:$FB$2=$H123), 0))</f>
        <v>0</v>
      </c>
      <c r="AB123" s="11" cm="1">
        <f t="array" ref="AB123">INDEX(Raw!T:FT, MATCH(AB$4, Raw!$A:$A, 0), MATCH(1, (Raw!$B$1:$FB$1=$I123)*(Raw!$B$2:$FB$2=$H123), 0))</f>
        <v>0</v>
      </c>
      <c r="AC123" s="11" cm="1">
        <f t="array" ref="AC123">INDEX(Raw!U:FU, MATCH(AC$4, Raw!$A:$A, 0), MATCH(1, (Raw!$B$1:$FB$1=$I123)*(Raw!$B$2:$FB$2=$H123), 0))</f>
        <v>8.5800000000000001E-2</v>
      </c>
      <c r="AD123" s="11" cm="1">
        <f t="array" ref="AD123">INDEX(Raw!V:FV, MATCH(AD$4, Raw!$A:$A, 0), MATCH(1, (Raw!$B$1:$FB$1=$I123)*(Raw!$B$2:$FB$2=$H123), 0))</f>
        <v>9.0499999999999997E-2</v>
      </c>
    </row>
    <row r="124" spans="6:30" x14ac:dyDescent="0.25">
      <c r="F124" s="11" t="s">
        <v>28</v>
      </c>
      <c r="G124" s="15">
        <f t="shared" ca="1" si="3"/>
        <v>46088</v>
      </c>
      <c r="H124" s="11">
        <f>H123</f>
        <v>1996</v>
      </c>
      <c r="I124" s="11" t="s">
        <v>24</v>
      </c>
      <c r="J124" s="11" cm="1">
        <f t="array" ref="J124">INDEX(Raw!B:FB, MATCH(J$4, Raw!$A:$A, 0), MATCH(1, (Raw!$B$1:$FB$1=$I124)*(Raw!$B$2:$FB$2=$H124), 0))</f>
        <v>4194000000</v>
      </c>
      <c r="K124" s="11" cm="1">
        <f t="array" ref="K124">INDEX(Raw!C:FC, MATCH(K$4, Raw!$A:$A, 0), MATCH(1, (Raw!$B$1:$FB$1=$I124)*(Raw!$B$2:$FB$2=$H124), 0))</f>
        <v>1670000000</v>
      </c>
      <c r="L124" s="11" cm="1">
        <f t="array" ref="L124">INDEX(Raw!D:FD, MATCH(L$4, Raw!$A:$A, 0), MATCH(1, (Raw!$B$1:$FB$1=$I124)*(Raw!$B$2:$FB$2=$H124), 0))</f>
        <v>2946000000</v>
      </c>
      <c r="M124" s="11" cm="1">
        <f t="array" ref="M124">INDEX(Raw!E:FE, MATCH(M$4, Raw!$A:$A, 0), MATCH(1, (Raw!$B$1:$FB$1=$I124)*(Raw!$B$2:$FB$2=$H124), 0))</f>
        <v>1802000000</v>
      </c>
      <c r="N124" s="11" cm="1">
        <f t="array" ref="N124">INDEX(Raw!F:FF, MATCH(N$4, Raw!$A:$A, 0), MATCH(1, (Raw!$B$1:$FB$1=$I124)*(Raw!$B$2:$FB$2=$H124), 0))</f>
        <v>0</v>
      </c>
      <c r="O124" s="11" cm="1">
        <f t="array" ref="O124">INDEX(Raw!G:FG, MATCH(O$4, Raw!$A:$A, 0), MATCH(1, (Raw!$B$1:$FB$1=$I124)*(Raw!$B$2:$FB$2=$H124), 0))</f>
        <v>1653000000</v>
      </c>
      <c r="P124" s="11" cm="1">
        <f t="array" ref="P124">INDEX(Raw!H:FH, MATCH(P$4, Raw!$A:$A, 0), MATCH(1, (Raw!$B$1:$FB$1=$I124)*(Raw!$B$2:$FB$2=$H124), 0))</f>
        <v>1000000000</v>
      </c>
      <c r="Q124" s="11" cm="1">
        <f t="array" ref="Q124">INDEX(Raw!I:FI, MATCH(Q$4, Raw!$A:$A, 0), MATCH(1, (Raw!$B$1:$FB$1=$I124)*(Raw!$B$2:$FB$2=$H124), 0))</f>
        <v>37000000</v>
      </c>
      <c r="R124" s="11" cm="1">
        <f t="array" ref="R124">INDEX(Raw!J:FJ, MATCH(R$4, Raw!$A:$A, 0), MATCH(1, (Raw!$B$1:$FB$1=$I124)*(Raw!$B$2:$FB$2=$H124), 0))</f>
        <v>760000000</v>
      </c>
      <c r="S124" s="11" cm="1">
        <f t="array" ref="S124">INDEX(Raw!K:FK, MATCH(S$4, Raw!$A:$A, 0), MATCH(1, (Raw!$B$1:$FB$1=$I124)*(Raw!$B$2:$FB$2=$H124), 0))</f>
        <v>213000000</v>
      </c>
      <c r="T124" s="11" cm="1">
        <f t="array" ref="T124">INDEX(Raw!L:FL, MATCH(T$4, Raw!$A:$A, 0), MATCH(1, (Raw!$B$1:$FB$1=$I124)*(Raw!$B$2:$FB$2=$H124), 0))</f>
        <v>590000000</v>
      </c>
      <c r="U124" s="11" cm="1">
        <f t="array" ref="U124">INDEX(Raw!M:FM, MATCH(U$4, Raw!$A:$A, 0), MATCH(1, (Raw!$B$1:$FB$1=$I124)*(Raw!$B$2:$FB$2=$H124), 0))</f>
        <v>0</v>
      </c>
      <c r="V124" s="11" cm="1">
        <f t="array" ref="V124">INDEX(Raw!N:FN, MATCH(V$4, Raw!$A:$A, 0), MATCH(1, (Raw!$B$1:$FB$1=$I124)*(Raw!$B$2:$FB$2=$H124), 0))</f>
        <v>442000000</v>
      </c>
      <c r="W124" s="11" cm="1">
        <f t="array" ref="W124">INDEX(Raw!O:FO, MATCH(W$4, Raw!$A:$A, 0), MATCH(1, (Raw!$B$1:$FB$1=$I124)*(Raw!$B$2:$FB$2=$H124), 0))</f>
        <v>-1998000000</v>
      </c>
      <c r="X124" s="11" cm="1">
        <f t="array" ref="X124">INDEX(Raw!P:FP, MATCH(X$4, Raw!$A:$A, 0), MATCH(1, (Raw!$B$1:$FB$1=$I124)*(Raw!$B$2:$FB$2=$H124), 0))</f>
        <v>540603000</v>
      </c>
      <c r="Y124" s="11" cm="1">
        <f t="array" ref="Y124">INDEX(Raw!Q:FQ, MATCH(Y$4, Raw!$A:$A, 0), MATCH(1, (Raw!$B$1:$FB$1=$I124)*(Raw!$B$2:$FB$2=$H124), 0))</f>
        <v>0</v>
      </c>
      <c r="Z124" s="11" cm="1">
        <f t="array" ref="Z124">INDEX(Raw!R:FR, MATCH(Z$4, Raw!$A:$A, 0), MATCH(1, (Raw!$B$1:$FB$1=$I124)*(Raw!$B$2:$FB$2=$H124), 0))</f>
        <v>0</v>
      </c>
      <c r="AA124" s="11" cm="1">
        <f t="array" ref="AA124">INDEX(Raw!S:FS, MATCH(AA$4, Raw!$A:$A, 0), MATCH(1, (Raw!$B$1:$FB$1=$I124)*(Raw!$B$2:$FB$2=$H124), 0))</f>
        <v>0</v>
      </c>
      <c r="AB124" s="11" cm="1">
        <f t="array" ref="AB124">INDEX(Raw!T:FT, MATCH(AB$4, Raw!$A:$A, 0), MATCH(1, (Raw!$B$1:$FB$1=$I124)*(Raw!$B$2:$FB$2=$H124), 0))</f>
        <v>0</v>
      </c>
      <c r="AC124" s="11" cm="1">
        <f t="array" ref="AC124">INDEX(Raw!U:FU, MATCH(AC$4, Raw!$A:$A, 0), MATCH(1, (Raw!$B$1:$FB$1=$I124)*(Raw!$B$2:$FB$2=$H124), 0))</f>
        <v>9.0499999999999997E-2</v>
      </c>
      <c r="AD124" s="11" cm="1">
        <f t="array" ref="AD124">INDEX(Raw!V:FV, MATCH(AD$4, Raw!$A:$A, 0), MATCH(1, (Raw!$B$1:$FB$1=$I124)*(Raw!$B$2:$FB$2=$H124), 0))</f>
        <v>6.0100000000000001E-2</v>
      </c>
    </row>
    <row r="125" spans="6:30" x14ac:dyDescent="0.25">
      <c r="F125" s="11" t="s">
        <v>28</v>
      </c>
      <c r="G125" s="15">
        <f t="shared" ca="1" si="3"/>
        <v>46088</v>
      </c>
      <c r="H125" s="11">
        <f>H121-1</f>
        <v>1995</v>
      </c>
      <c r="I125" s="11" t="s">
        <v>21</v>
      </c>
      <c r="J125" s="11" cm="1">
        <f t="array" ref="J125">INDEX(Raw!B:FB, MATCH(J$4, Raw!$A:$A, 0), MATCH(1, (Raw!$B$1:$FB$1=$I125)*(Raw!$B$2:$FB$2=$H125), 0))</f>
        <v>4333000000</v>
      </c>
      <c r="K125" s="11" cm="1">
        <f t="array" ref="K125">INDEX(Raw!C:FC, MATCH(K$4, Raw!$A:$A, 0), MATCH(1, (Raw!$B$1:$FB$1=$I125)*(Raw!$B$2:$FB$2=$H125), 0))</f>
        <v>1949000000</v>
      </c>
      <c r="L125" s="11" cm="1">
        <f t="array" ref="L125">INDEX(Raw!D:FD, MATCH(L$4, Raw!$A:$A, 0), MATCH(1, (Raw!$B$1:$FB$1=$I125)*(Raw!$B$2:$FB$2=$H125), 0))</f>
        <v>3060000000</v>
      </c>
      <c r="M125" s="11" cm="1">
        <f t="array" ref="M125">INDEX(Raw!E:FE, MATCH(M$4, Raw!$A:$A, 0), MATCH(1, (Raw!$B$1:$FB$1=$I125)*(Raw!$B$2:$FB$2=$H125), 0))</f>
        <v>1530000000</v>
      </c>
      <c r="N125" s="11" cm="1">
        <f t="array" ref="N125">INDEX(Raw!F:FF, MATCH(N$4, Raw!$A:$A, 0), MATCH(1, (Raw!$B$1:$FB$1=$I125)*(Raw!$B$2:$FB$2=$H125), 0))</f>
        <v>0</v>
      </c>
      <c r="O125" s="11" cm="1">
        <f t="array" ref="O125">INDEX(Raw!G:FG, MATCH(O$4, Raw!$A:$A, 0), MATCH(1, (Raw!$B$1:$FB$1=$I125)*(Raw!$B$2:$FB$2=$H125), 0))</f>
        <v>1701000000</v>
      </c>
      <c r="P125" s="11" cm="1">
        <f t="array" ref="P125">INDEX(Raw!H:FH, MATCH(P$4, Raw!$A:$A, 0), MATCH(1, (Raw!$B$1:$FB$1=$I125)*(Raw!$B$2:$FB$2=$H125), 0))</f>
        <v>1070000000</v>
      </c>
      <c r="Q125" s="11" cm="1">
        <f t="array" ref="Q125">INDEX(Raw!I:FI, MATCH(Q$4, Raw!$A:$A, 0), MATCH(1, (Raw!$B$1:$FB$1=$I125)*(Raw!$B$2:$FB$2=$H125), 0))</f>
        <v>-12000000</v>
      </c>
      <c r="R125" s="11" cm="1">
        <f t="array" ref="R125">INDEX(Raw!J:FJ, MATCH(R$4, Raw!$A:$A, 0), MATCH(1, (Raw!$B$1:$FB$1=$I125)*(Raw!$B$2:$FB$2=$H125), 0))</f>
        <v>679000000</v>
      </c>
      <c r="S125" s="11" cm="1">
        <f t="array" ref="S125">INDEX(Raw!K:FK, MATCH(S$4, Raw!$A:$A, 0), MATCH(1, (Raw!$B$1:$FB$1=$I125)*(Raw!$B$2:$FB$2=$H125), 0))</f>
        <v>280000000</v>
      </c>
      <c r="T125" s="11" cm="1">
        <f t="array" ref="T125">INDEX(Raw!L:FL, MATCH(T$4, Raw!$A:$A, 0), MATCH(1, (Raw!$B$1:$FB$1=$I125)*(Raw!$B$2:$FB$2=$H125), 0))</f>
        <v>678000000</v>
      </c>
      <c r="U125" s="11" cm="1">
        <f t="array" ref="U125">INDEX(Raw!M:FM, MATCH(U$4, Raw!$A:$A, 0), MATCH(1, (Raw!$B$1:$FB$1=$I125)*(Raw!$B$2:$FB$2=$H125), 0))</f>
        <v>0</v>
      </c>
      <c r="V125" s="11" cm="1">
        <f t="array" ref="V125">INDEX(Raw!N:FN, MATCH(V$4, Raw!$A:$A, 0), MATCH(1, (Raw!$B$1:$FB$1=$I125)*(Raw!$B$2:$FB$2=$H125), 0))</f>
        <v>392579000</v>
      </c>
      <c r="W125" s="11" cm="1">
        <f t="array" ref="W125">INDEX(Raw!O:FO, MATCH(W$4, Raw!$A:$A, 0), MATCH(1, (Raw!$B$1:$FB$1=$I125)*(Raw!$B$2:$FB$2=$H125), 0))</f>
        <v>-1998000000</v>
      </c>
      <c r="X125" s="11" cm="1">
        <f t="array" ref="X125">INDEX(Raw!P:FP, MATCH(X$4, Raw!$A:$A, 0), MATCH(1, (Raw!$B$1:$FB$1=$I125)*(Raw!$B$2:$FB$2=$H125), 0))</f>
        <v>565000000</v>
      </c>
      <c r="Y125" s="11" cm="1">
        <f t="array" ref="Y125">INDEX(Raw!Q:FQ, MATCH(Y$4, Raw!$A:$A, 0), MATCH(1, (Raw!$B$1:$FB$1=$I125)*(Raw!$B$2:$FB$2=$H125), 0))</f>
        <v>0</v>
      </c>
      <c r="Z125" s="11" cm="1">
        <f t="array" ref="Z125">INDEX(Raw!R:FR, MATCH(Z$4, Raw!$A:$A, 0), MATCH(1, (Raw!$B$1:$FB$1=$I125)*(Raw!$B$2:$FB$2=$H125), 0))</f>
        <v>0</v>
      </c>
      <c r="AA125" s="11" cm="1">
        <f t="array" ref="AA125">INDEX(Raw!S:FS, MATCH(AA$4, Raw!$A:$A, 0), MATCH(1, (Raw!$B$1:$FB$1=$I125)*(Raw!$B$2:$FB$2=$H125), 0))</f>
        <v>0</v>
      </c>
      <c r="AB125" s="11" cm="1">
        <f t="array" ref="AB125">INDEX(Raw!T:FT, MATCH(AB$4, Raw!$A:$A, 0), MATCH(1, (Raw!$B$1:$FB$1=$I125)*(Raw!$B$2:$FB$2=$H125), 0))</f>
        <v>0</v>
      </c>
      <c r="AC125" s="11" cm="1">
        <f t="array" ref="AC125">INDEX(Raw!U:FU, MATCH(AC$4, Raw!$A:$A, 0), MATCH(1, (Raw!$B$1:$FB$1=$I125)*(Raw!$B$2:$FB$2=$H125), 0))</f>
        <v>6.0100000000000001E-2</v>
      </c>
      <c r="AD125" s="11" cm="1">
        <f t="array" ref="AD125">INDEX(Raw!V:FV, MATCH(AD$4, Raw!$A:$A, 0), MATCH(1, (Raw!$B$1:$FB$1=$I125)*(Raw!$B$2:$FB$2=$H125), 0))</f>
        <v>5.5100000000000003E-2</v>
      </c>
    </row>
    <row r="126" spans="6:30" x14ac:dyDescent="0.25">
      <c r="F126" s="11" t="s">
        <v>28</v>
      </c>
      <c r="G126" s="15">
        <f t="shared" ca="1" si="3"/>
        <v>46088</v>
      </c>
      <c r="H126" s="11">
        <f>H125</f>
        <v>1995</v>
      </c>
      <c r="I126" s="11" t="s">
        <v>22</v>
      </c>
      <c r="J126" s="11" cm="1">
        <f t="array" ref="J126">INDEX(Raw!B:FB, MATCH(J$4, Raw!$A:$A, 0), MATCH(1, (Raw!$B$1:$FB$1=$I126)*(Raw!$B$2:$FB$2=$H126), 0))</f>
        <v>4895000000</v>
      </c>
      <c r="K126" s="11" cm="1">
        <f t="array" ref="K126">INDEX(Raw!C:FC, MATCH(K$4, Raw!$A:$A, 0), MATCH(1, (Raw!$B$1:$FB$1=$I126)*(Raw!$B$2:$FB$2=$H126), 0))</f>
        <v>1876000000</v>
      </c>
      <c r="L126" s="11" cm="1">
        <f t="array" ref="L126">INDEX(Raw!D:FD, MATCH(L$4, Raw!$A:$A, 0), MATCH(1, (Raw!$B$1:$FB$1=$I126)*(Raw!$B$2:$FB$2=$H126), 0))</f>
        <v>2409000000</v>
      </c>
      <c r="M126" s="11" cm="1">
        <f t="array" ref="M126">INDEX(Raw!E:FE, MATCH(M$4, Raw!$A:$A, 0), MATCH(1, (Raw!$B$1:$FB$1=$I126)*(Raw!$B$2:$FB$2=$H126), 0))</f>
        <v>1653000000</v>
      </c>
      <c r="N126" s="11" cm="1">
        <f t="array" ref="N126">INDEX(Raw!F:FF, MATCH(N$4, Raw!$A:$A, 0), MATCH(1, (Raw!$B$1:$FB$1=$I126)*(Raw!$B$2:$FB$2=$H126), 0))</f>
        <v>0</v>
      </c>
      <c r="O126" s="11" cm="1">
        <f t="array" ref="O126">INDEX(Raw!G:FG, MATCH(O$4, Raw!$A:$A, 0), MATCH(1, (Raw!$B$1:$FB$1=$I126)*(Raw!$B$2:$FB$2=$H126), 0))</f>
        <v>1605000000</v>
      </c>
      <c r="P126" s="11" cm="1">
        <f t="array" ref="P126">INDEX(Raw!H:FH, MATCH(P$4, Raw!$A:$A, 0), MATCH(1, (Raw!$B$1:$FB$1=$I126)*(Raw!$B$2:$FB$2=$H126), 0))</f>
        <v>772000000</v>
      </c>
      <c r="Q126" s="11" cm="1">
        <f t="array" ref="Q126">INDEX(Raw!I:FI, MATCH(Q$4, Raw!$A:$A, 0), MATCH(1, (Raw!$B$1:$FB$1=$I126)*(Raw!$B$2:$FB$2=$H126), 0))</f>
        <v>42000000</v>
      </c>
      <c r="R126" s="11" cm="1">
        <f t="array" ref="R126">INDEX(Raw!J:FJ, MATCH(R$4, Raw!$A:$A, 0), MATCH(1, (Raw!$B$1:$FB$1=$I126)*(Raw!$B$2:$FB$2=$H126), 0))</f>
        <v>870000000</v>
      </c>
      <c r="S126" s="11" cm="1">
        <f t="array" ref="S126">INDEX(Raw!K:FK, MATCH(S$4, Raw!$A:$A, 0), MATCH(1, (Raw!$B$1:$FB$1=$I126)*(Raw!$B$2:$FB$2=$H126), 0))</f>
        <v>302000000</v>
      </c>
      <c r="T126" s="11" cm="1">
        <f t="array" ref="T126">INDEX(Raw!L:FL, MATCH(T$4, Raw!$A:$A, 0), MATCH(1, (Raw!$B$1:$FB$1=$I126)*(Raw!$B$2:$FB$2=$H126), 0))</f>
        <v>454000000</v>
      </c>
      <c r="U126" s="11" cm="1">
        <f t="array" ref="U126">INDEX(Raw!M:FM, MATCH(U$4, Raw!$A:$A, 0), MATCH(1, (Raw!$B$1:$FB$1=$I126)*(Raw!$B$2:$FB$2=$H126), 0))</f>
        <v>0</v>
      </c>
      <c r="V126" s="11" cm="1">
        <f t="array" ref="V126">INDEX(Raw!N:FN, MATCH(V$4, Raw!$A:$A, 0), MATCH(1, (Raw!$B$1:$FB$1=$I126)*(Raw!$B$2:$FB$2=$H126), 0))</f>
        <v>540603000</v>
      </c>
      <c r="W126" s="11" cm="1">
        <f t="array" ref="W126">INDEX(Raw!O:FO, MATCH(W$4, Raw!$A:$A, 0), MATCH(1, (Raw!$B$1:$FB$1=$I126)*(Raw!$B$2:$FB$2=$H126), 0))</f>
        <v>0</v>
      </c>
      <c r="X126" s="11" cm="1">
        <f t="array" ref="X126">INDEX(Raw!P:FP, MATCH(X$4, Raw!$A:$A, 0), MATCH(1, (Raw!$B$1:$FB$1=$I126)*(Raw!$B$2:$FB$2=$H126), 0))</f>
        <v>167000000</v>
      </c>
      <c r="Y126" s="11" cm="1">
        <f t="array" ref="Y126">INDEX(Raw!Q:FQ, MATCH(Y$4, Raw!$A:$A, 0), MATCH(1, (Raw!$B$1:$FB$1=$I126)*(Raw!$B$2:$FB$2=$H126), 0))</f>
        <v>0</v>
      </c>
      <c r="Z126" s="11" cm="1">
        <f t="array" ref="Z126">INDEX(Raw!R:FR, MATCH(Z$4, Raw!$A:$A, 0), MATCH(1, (Raw!$B$1:$FB$1=$I126)*(Raw!$B$2:$FB$2=$H126), 0))</f>
        <v>0</v>
      </c>
      <c r="AA126" s="11" cm="1">
        <f t="array" ref="AA126">INDEX(Raw!S:FS, MATCH(AA$4, Raw!$A:$A, 0), MATCH(1, (Raw!$B$1:$FB$1=$I126)*(Raw!$B$2:$FB$2=$H126), 0))</f>
        <v>0</v>
      </c>
      <c r="AB126" s="11" cm="1">
        <f t="array" ref="AB126">INDEX(Raw!T:FT, MATCH(AB$4, Raw!$A:$A, 0), MATCH(1, (Raw!$B$1:$FB$1=$I126)*(Raw!$B$2:$FB$2=$H126), 0))</f>
        <v>0</v>
      </c>
      <c r="AC126" s="11" cm="1">
        <f t="array" ref="AC126">INDEX(Raw!U:FU, MATCH(AC$4, Raw!$A:$A, 0), MATCH(1, (Raw!$B$1:$FB$1=$I126)*(Raw!$B$2:$FB$2=$H126), 0))</f>
        <v>5.5100000000000003E-2</v>
      </c>
      <c r="AD126" s="11" cm="1">
        <f t="array" ref="AD126">INDEX(Raw!V:FV, MATCH(AD$4, Raw!$A:$A, 0), MATCH(1, (Raw!$B$1:$FB$1=$I126)*(Raw!$B$2:$FB$2=$H126), 0))</f>
        <v>7.3800000000000004E-2</v>
      </c>
    </row>
    <row r="127" spans="6:30" x14ac:dyDescent="0.25">
      <c r="F127" s="11" t="s">
        <v>28</v>
      </c>
      <c r="G127" s="15">
        <f t="shared" ca="1" si="3"/>
        <v>46088</v>
      </c>
      <c r="H127" s="11">
        <f>H126</f>
        <v>1995</v>
      </c>
      <c r="I127" s="11" t="s">
        <v>23</v>
      </c>
      <c r="J127" s="11" cm="1">
        <f t="array" ref="J127">INDEX(Raw!B:FB, MATCH(J$4, Raw!$A:$A, 0), MATCH(1, (Raw!$B$1:$FB$1=$I127)*(Raw!$B$2:$FB$2=$H127), 0))</f>
        <v>4936000000</v>
      </c>
      <c r="K127" s="11" cm="1">
        <f t="array" ref="K127">INDEX(Raw!C:FC, MATCH(K$4, Raw!$A:$A, 0), MATCH(1, (Raw!$B$1:$FB$1=$I127)*(Raw!$B$2:$FB$2=$H127), 0))</f>
        <v>1445000000</v>
      </c>
      <c r="L127" s="11" cm="1">
        <f t="array" ref="L127">INDEX(Raw!D:FD, MATCH(L$4, Raw!$A:$A, 0), MATCH(1, (Raw!$B$1:$FB$1=$I127)*(Raw!$B$2:$FB$2=$H127), 0))</f>
        <v>2519000000</v>
      </c>
      <c r="M127" s="11" cm="1">
        <f t="array" ref="M127">INDEX(Raw!E:FE, MATCH(M$4, Raw!$A:$A, 0), MATCH(1, (Raw!$B$1:$FB$1=$I127)*(Raw!$B$2:$FB$2=$H127), 0))</f>
        <v>1701000000</v>
      </c>
      <c r="N127" s="11" cm="1">
        <f t="array" ref="N127">INDEX(Raw!F:FF, MATCH(N$4, Raw!$A:$A, 0), MATCH(1, (Raw!$B$1:$FB$1=$I127)*(Raw!$B$2:$FB$2=$H127), 0))</f>
        <v>0</v>
      </c>
      <c r="O127" s="11" cm="1">
        <f t="array" ref="O127">INDEX(Raw!G:FG, MATCH(O$4, Raw!$A:$A, 0), MATCH(1, (Raw!$B$1:$FB$1=$I127)*(Raw!$B$2:$FB$2=$H127), 0))</f>
        <v>1338000000</v>
      </c>
      <c r="P127" s="11" cm="1">
        <f t="array" ref="P127">INDEX(Raw!H:FH, MATCH(P$4, Raw!$A:$A, 0), MATCH(1, (Raw!$B$1:$FB$1=$I127)*(Raw!$B$2:$FB$2=$H127), 0))</f>
        <v>637000000</v>
      </c>
      <c r="Q127" s="11" cm="1">
        <f t="array" ref="Q127">INDEX(Raw!I:FI, MATCH(Q$4, Raw!$A:$A, 0), MATCH(1, (Raw!$B$1:$FB$1=$I127)*(Raw!$B$2:$FB$2=$H127), 0))</f>
        <v>41000000</v>
      </c>
      <c r="R127" s="11" cm="1">
        <f t="array" ref="R127">INDEX(Raw!J:FJ, MATCH(R$4, Raw!$A:$A, 0), MATCH(1, (Raw!$B$1:$FB$1=$I127)*(Raw!$B$2:$FB$2=$H127), 0))</f>
        <v>980000000</v>
      </c>
      <c r="S127" s="11" cm="1">
        <f t="array" ref="S127">INDEX(Raw!K:FK, MATCH(S$4, Raw!$A:$A, 0), MATCH(1, (Raw!$B$1:$FB$1=$I127)*(Raw!$B$2:$FB$2=$H127), 0))</f>
        <v>202000000</v>
      </c>
      <c r="T127" s="11" cm="1">
        <f t="array" ref="T127">INDEX(Raw!L:FL, MATCH(T$4, Raw!$A:$A, 0), MATCH(1, (Raw!$B$1:$FB$1=$I127)*(Raw!$B$2:$FB$2=$H127), 0))</f>
        <v>379121000</v>
      </c>
      <c r="U127" s="11" cm="1">
        <f t="array" ref="U127">INDEX(Raw!M:FM, MATCH(U$4, Raw!$A:$A, 0), MATCH(1, (Raw!$B$1:$FB$1=$I127)*(Raw!$B$2:$FB$2=$H127), 0))</f>
        <v>0</v>
      </c>
      <c r="V127" s="11" cm="1">
        <f t="array" ref="V127">INDEX(Raw!N:FN, MATCH(V$4, Raw!$A:$A, 0), MATCH(1, (Raw!$B$1:$FB$1=$I127)*(Raw!$B$2:$FB$2=$H127), 0))</f>
        <v>565000000</v>
      </c>
      <c r="W127" s="11" cm="1">
        <f t="array" ref="W127">INDEX(Raw!O:FO, MATCH(W$4, Raw!$A:$A, 0), MATCH(1, (Raw!$B$1:$FB$1=$I127)*(Raw!$B$2:$FB$2=$H127), 0))</f>
        <v>-219000000</v>
      </c>
      <c r="X127" s="11" cm="1">
        <f t="array" ref="X127">INDEX(Raw!P:FP, MATCH(X$4, Raw!$A:$A, 0), MATCH(1, (Raw!$B$1:$FB$1=$I127)*(Raw!$B$2:$FB$2=$H127), 0))</f>
        <v>358383000</v>
      </c>
      <c r="Y127" s="11" cm="1">
        <f t="array" ref="Y127">INDEX(Raw!Q:FQ, MATCH(Y$4, Raw!$A:$A, 0), MATCH(1, (Raw!$B$1:$FB$1=$I127)*(Raw!$B$2:$FB$2=$H127), 0))</f>
        <v>0</v>
      </c>
      <c r="Z127" s="11" cm="1">
        <f t="array" ref="Z127">INDEX(Raw!R:FR, MATCH(Z$4, Raw!$A:$A, 0), MATCH(1, (Raw!$B$1:$FB$1=$I127)*(Raw!$B$2:$FB$2=$H127), 0))</f>
        <v>0</v>
      </c>
      <c r="AA127" s="11" cm="1">
        <f t="array" ref="AA127">INDEX(Raw!S:FS, MATCH(AA$4, Raw!$A:$A, 0), MATCH(1, (Raw!$B$1:$FB$1=$I127)*(Raw!$B$2:$FB$2=$H127), 0))</f>
        <v>0</v>
      </c>
      <c r="AB127" s="11" cm="1">
        <f t="array" ref="AB127">INDEX(Raw!T:FT, MATCH(AB$4, Raw!$A:$A, 0), MATCH(1, (Raw!$B$1:$FB$1=$I127)*(Raw!$B$2:$FB$2=$H127), 0))</f>
        <v>0</v>
      </c>
      <c r="AC127" s="11" cm="1">
        <f t="array" ref="AC127">INDEX(Raw!U:FU, MATCH(AC$4, Raw!$A:$A, 0), MATCH(1, (Raw!$B$1:$FB$1=$I127)*(Raw!$B$2:$FB$2=$H127), 0))</f>
        <v>7.3800000000000004E-2</v>
      </c>
      <c r="AD127" s="11" cm="1">
        <f t="array" ref="AD127">INDEX(Raw!V:FV, MATCH(AD$4, Raw!$A:$A, 0), MATCH(1, (Raw!$B$1:$FB$1=$I127)*(Raw!$B$2:$FB$2=$H127), 0))</f>
        <v>7.6799999999999993E-2</v>
      </c>
    </row>
    <row r="128" spans="6:30" x14ac:dyDescent="0.25">
      <c r="F128" s="11" t="s">
        <v>28</v>
      </c>
      <c r="G128" s="15">
        <f t="shared" ca="1" si="3"/>
        <v>46088</v>
      </c>
      <c r="H128" s="11">
        <f>H127</f>
        <v>1995</v>
      </c>
      <c r="I128" s="11" t="s">
        <v>24</v>
      </c>
      <c r="J128" s="11" cm="1">
        <f t="array" ref="J128">INDEX(Raw!B:FB, MATCH(J$4, Raw!$A:$A, 0), MATCH(1, (Raw!$B$1:$FB$1=$I128)*(Raw!$B$2:$FB$2=$H128), 0))</f>
        <v>3854000000</v>
      </c>
      <c r="K128" s="11" cm="1">
        <f t="array" ref="K128">INDEX(Raw!C:FC, MATCH(K$4, Raw!$A:$A, 0), MATCH(1, (Raw!$B$1:$FB$1=$I128)*(Raw!$B$2:$FB$2=$H128), 0))</f>
        <v>1498000000</v>
      </c>
      <c r="L128" s="11" cm="1">
        <f t="array" ref="L128">INDEX(Raw!D:FD, MATCH(L$4, Raw!$A:$A, 0), MATCH(1, (Raw!$B$1:$FB$1=$I128)*(Raw!$B$2:$FB$2=$H128), 0))</f>
        <v>2701000000</v>
      </c>
      <c r="M128" s="11" cm="1">
        <f t="array" ref="M128">INDEX(Raw!E:FE, MATCH(M$4, Raw!$A:$A, 0), MATCH(1, (Raw!$B$1:$FB$1=$I128)*(Raw!$B$2:$FB$2=$H128), 0))</f>
        <v>1605000000</v>
      </c>
      <c r="N128" s="11" cm="1">
        <f t="array" ref="N128">INDEX(Raw!F:FF, MATCH(N$4, Raw!$A:$A, 0), MATCH(1, (Raw!$B$1:$FB$1=$I128)*(Raw!$B$2:$FB$2=$H128), 0))</f>
        <v>0</v>
      </c>
      <c r="O128" s="11" cm="1">
        <f t="array" ref="O128">INDEX(Raw!G:FG, MATCH(O$4, Raw!$A:$A, 0), MATCH(1, (Raw!$B$1:$FB$1=$I128)*(Raw!$B$2:$FB$2=$H128), 0))</f>
        <v>1476000000</v>
      </c>
      <c r="P128" s="11" cm="1">
        <f t="array" ref="P128">INDEX(Raw!H:FH, MATCH(P$4, Raw!$A:$A, 0), MATCH(1, (Raw!$B$1:$FB$1=$I128)*(Raw!$B$2:$FB$2=$H128), 0))</f>
        <v>829000000</v>
      </c>
      <c r="Q128" s="11" cm="1">
        <f t="array" ref="Q128">INDEX(Raw!I:FI, MATCH(Q$4, Raw!$A:$A, 0), MATCH(1, (Raw!$B$1:$FB$1=$I128)*(Raw!$B$2:$FB$2=$H128), 0))</f>
        <v>21000000</v>
      </c>
      <c r="R128" s="11" cm="1">
        <f t="array" ref="R128">INDEX(Raw!J:FJ, MATCH(R$4, Raw!$A:$A, 0), MATCH(1, (Raw!$B$1:$FB$1=$I128)*(Raw!$B$2:$FB$2=$H128), 0))</f>
        <v>656000000</v>
      </c>
      <c r="S128" s="11" cm="1">
        <f t="array" ref="S128">INDEX(Raw!K:FK, MATCH(S$4, Raw!$A:$A, 0), MATCH(1, (Raw!$B$1:$FB$1=$I128)*(Raw!$B$2:$FB$2=$H128), 0))</f>
        <v>173536000</v>
      </c>
      <c r="T128" s="11" cm="1">
        <f t="array" ref="T128">INDEX(Raw!L:FL, MATCH(T$4, Raw!$A:$A, 0), MATCH(1, (Raw!$B$1:$FB$1=$I128)*(Raw!$B$2:$FB$2=$H128), 0))</f>
        <v>540603000</v>
      </c>
      <c r="U128" s="11" cm="1">
        <f t="array" ref="U128">INDEX(Raw!M:FM, MATCH(U$4, Raw!$A:$A, 0), MATCH(1, (Raw!$B$1:$FB$1=$I128)*(Raw!$B$2:$FB$2=$H128), 0))</f>
        <v>0</v>
      </c>
      <c r="V128" s="11" cm="1">
        <f t="array" ref="V128">INDEX(Raw!N:FN, MATCH(V$4, Raw!$A:$A, 0), MATCH(1, (Raw!$B$1:$FB$1=$I128)*(Raw!$B$2:$FB$2=$H128), 0))</f>
        <v>386000000</v>
      </c>
      <c r="W128" s="11" cm="1">
        <f t="array" ref="W128">INDEX(Raw!O:FO, MATCH(W$4, Raw!$A:$A, 0), MATCH(1, (Raw!$B$1:$FB$1=$I128)*(Raw!$B$2:$FB$2=$H128), 0))</f>
        <v>0</v>
      </c>
      <c r="X128" s="11" cm="1">
        <f t="array" ref="X128">INDEX(Raw!P:FP, MATCH(X$4, Raw!$A:$A, 0), MATCH(1, (Raw!$B$1:$FB$1=$I128)*(Raw!$B$2:$FB$2=$H128), 0))</f>
        <v>456313000</v>
      </c>
      <c r="Y128" s="11" cm="1">
        <f t="array" ref="Y128">INDEX(Raw!Q:FQ, MATCH(Y$4, Raw!$A:$A, 0), MATCH(1, (Raw!$B$1:$FB$1=$I128)*(Raw!$B$2:$FB$2=$H128), 0))</f>
        <v>0</v>
      </c>
      <c r="Z128" s="11" cm="1">
        <f t="array" ref="Z128">INDEX(Raw!R:FR, MATCH(Z$4, Raw!$A:$A, 0), MATCH(1, (Raw!$B$1:$FB$1=$I128)*(Raw!$B$2:$FB$2=$H128), 0))</f>
        <v>0</v>
      </c>
      <c r="AA128" s="11" cm="1">
        <f t="array" ref="AA128">INDEX(Raw!S:FS, MATCH(AA$4, Raw!$A:$A, 0), MATCH(1, (Raw!$B$1:$FB$1=$I128)*(Raw!$B$2:$FB$2=$H128), 0))</f>
        <v>0</v>
      </c>
      <c r="AB128" s="11" cm="1">
        <f t="array" ref="AB128">INDEX(Raw!T:FT, MATCH(AB$4, Raw!$A:$A, 0), MATCH(1, (Raw!$B$1:$FB$1=$I128)*(Raw!$B$2:$FB$2=$H128), 0))</f>
        <v>0</v>
      </c>
      <c r="AC128" s="11" cm="1">
        <f t="array" ref="AC128">INDEX(Raw!U:FU, MATCH(AC$4, Raw!$A:$A, 0), MATCH(1, (Raw!$B$1:$FB$1=$I128)*(Raw!$B$2:$FB$2=$H128), 0))</f>
        <v>7.6799999999999993E-2</v>
      </c>
      <c r="AD128" s="11" cm="1">
        <f t="array" ref="AD128">INDEX(Raw!V:FV, MATCH(AD$4, Raw!$A:$A, 0), MATCH(1, (Raw!$B$1:$FB$1=$I128)*(Raw!$B$2:$FB$2=$H128), 0))</f>
        <v>5.3100000000000001E-2</v>
      </c>
    </row>
    <row r="129" spans="6:30" x14ac:dyDescent="0.25">
      <c r="F129" s="11" t="s">
        <v>28</v>
      </c>
      <c r="G129" s="15">
        <f t="shared" ca="1" si="3"/>
        <v>46088</v>
      </c>
      <c r="H129" s="11">
        <f>H125-1</f>
        <v>1994</v>
      </c>
      <c r="I129" s="11" t="s">
        <v>21</v>
      </c>
      <c r="J129" s="11" cm="1">
        <f t="array" ref="J129">INDEX(Raw!B:FB, MATCH(J$4, Raw!$A:$A, 0), MATCH(1, (Raw!$B$1:$FB$1=$I129)*(Raw!$B$2:$FB$2=$H129), 0))</f>
        <v>4017000000</v>
      </c>
      <c r="K129" s="11" cm="1">
        <f t="array" ref="K129">INDEX(Raw!C:FC, MATCH(K$4, Raw!$A:$A, 0), MATCH(1, (Raw!$B$1:$FB$1=$I129)*(Raw!$B$2:$FB$2=$H129), 0))</f>
        <v>1760000000</v>
      </c>
      <c r="L129" s="11" cm="1">
        <f t="array" ref="L129">INDEX(Raw!D:FD, MATCH(L$4, Raw!$A:$A, 0), MATCH(1, (Raw!$B$1:$FB$1=$I129)*(Raw!$B$2:$FB$2=$H129), 0))</f>
        <v>2675000000</v>
      </c>
      <c r="M129" s="11" cm="1">
        <f t="array" ref="M129">INDEX(Raw!E:FE, MATCH(M$4, Raw!$A:$A, 0), MATCH(1, (Raw!$B$1:$FB$1=$I129)*(Raw!$B$2:$FB$2=$H129), 0))</f>
        <v>1338000000</v>
      </c>
      <c r="N129" s="11" cm="1">
        <f t="array" ref="N129">INDEX(Raw!F:FF, MATCH(N$4, Raw!$A:$A, 0), MATCH(1, (Raw!$B$1:$FB$1=$I129)*(Raw!$B$2:$FB$2=$H129), 0))</f>
        <v>0</v>
      </c>
      <c r="O129" s="11" cm="1">
        <f t="array" ref="O129">INDEX(Raw!G:FG, MATCH(O$4, Raw!$A:$A, 0), MATCH(1, (Raw!$B$1:$FB$1=$I129)*(Raw!$B$2:$FB$2=$H129), 0))</f>
        <v>1457000000</v>
      </c>
      <c r="P129" s="11" cm="1">
        <f t="array" ref="P129">INDEX(Raw!H:FH, MATCH(P$4, Raw!$A:$A, 0), MATCH(1, (Raw!$B$1:$FB$1=$I129)*(Raw!$B$2:$FB$2=$H129), 0))</f>
        <v>959000000</v>
      </c>
      <c r="Q129" s="11" cm="1">
        <f t="array" ref="Q129">INDEX(Raw!I:FI, MATCH(Q$4, Raw!$A:$A, 0), MATCH(1, (Raw!$B$1:$FB$1=$I129)*(Raw!$B$2:$FB$2=$H129), 0))</f>
        <v>-21000000</v>
      </c>
      <c r="R129" s="11" cm="1">
        <f t="array" ref="R129">INDEX(Raw!J:FJ, MATCH(R$4, Raw!$A:$A, 0), MATCH(1, (Raw!$B$1:$FB$1=$I129)*(Raw!$B$2:$FB$2=$H129), 0))</f>
        <v>552657000</v>
      </c>
      <c r="S129" s="11" cm="1">
        <f t="array" ref="S129">INDEX(Raw!K:FK, MATCH(S$4, Raw!$A:$A, 0), MATCH(1, (Raw!$B$1:$FB$1=$I129)*(Raw!$B$2:$FB$2=$H129), 0))</f>
        <v>247448000</v>
      </c>
      <c r="T129" s="11" cm="1">
        <f t="array" ref="T129">INDEX(Raw!L:FL, MATCH(T$4, Raw!$A:$A, 0), MATCH(1, (Raw!$B$1:$FB$1=$I129)*(Raw!$B$2:$FB$2=$H129), 0))</f>
        <v>580991000</v>
      </c>
      <c r="U129" s="11" cm="1">
        <f t="array" ref="U129">INDEX(Raw!M:FM, MATCH(U$4, Raw!$A:$A, 0), MATCH(1, (Raw!$B$1:$FB$1=$I129)*(Raw!$B$2:$FB$2=$H129), 0))</f>
        <v>0</v>
      </c>
      <c r="V129" s="11" cm="1">
        <f t="array" ref="V129">INDEX(Raw!N:FN, MATCH(V$4, Raw!$A:$A, 0), MATCH(1, (Raw!$B$1:$FB$1=$I129)*(Raw!$B$2:$FB$2=$H129), 0))</f>
        <v>358383000</v>
      </c>
      <c r="W129" s="11" cm="1">
        <f t="array" ref="W129">INDEX(Raw!O:FO, MATCH(W$4, Raw!$A:$A, 0), MATCH(1, (Raw!$B$1:$FB$1=$I129)*(Raw!$B$2:$FB$2=$H129), 0))</f>
        <v>0</v>
      </c>
      <c r="X129" s="11" cm="1">
        <f t="array" ref="X129">INDEX(Raw!P:FP, MATCH(X$4, Raw!$A:$A, 0), MATCH(1, (Raw!$B$1:$FB$1=$I129)*(Raw!$B$2:$FB$2=$H129), 0))</f>
        <v>482392000</v>
      </c>
      <c r="Y129" s="11" cm="1">
        <f t="array" ref="Y129">INDEX(Raw!Q:FQ, MATCH(Y$4, Raw!$A:$A, 0), MATCH(1, (Raw!$B$1:$FB$1=$I129)*(Raw!$B$2:$FB$2=$H129), 0))</f>
        <v>0</v>
      </c>
      <c r="Z129" s="11" cm="1">
        <f t="array" ref="Z129">INDEX(Raw!R:FR, MATCH(Z$4, Raw!$A:$A, 0), MATCH(1, (Raw!$B$1:$FB$1=$I129)*(Raw!$B$2:$FB$2=$H129), 0))</f>
        <v>0</v>
      </c>
      <c r="AA129" s="11" cm="1">
        <f t="array" ref="AA129">INDEX(Raw!S:FS, MATCH(AA$4, Raw!$A:$A, 0), MATCH(1, (Raw!$B$1:$FB$1=$I129)*(Raw!$B$2:$FB$2=$H129), 0))</f>
        <v>0</v>
      </c>
      <c r="AB129" s="11" cm="1">
        <f t="array" ref="AB129">INDEX(Raw!T:FT, MATCH(AB$4, Raw!$A:$A, 0), MATCH(1, (Raw!$B$1:$FB$1=$I129)*(Raw!$B$2:$FB$2=$H129), 0))</f>
        <v>0</v>
      </c>
      <c r="AC129" s="11" cm="1">
        <f t="array" ref="AC129">INDEX(Raw!U:FU, MATCH(AC$4, Raw!$A:$A, 0), MATCH(1, (Raw!$B$1:$FB$1=$I129)*(Raw!$B$2:$FB$2=$H129), 0))</f>
        <v>5.3100000000000001E-2</v>
      </c>
      <c r="AD129" s="11" cm="1">
        <f t="array" ref="AD129">INDEX(Raw!V:FV, MATCH(AD$4, Raw!$A:$A, 0), MATCH(1, (Raw!$B$1:$FB$1=$I129)*(Raw!$B$2:$FB$2=$H129), 0))</f>
        <v>0.1404</v>
      </c>
    </row>
    <row r="130" spans="6:30" x14ac:dyDescent="0.25">
      <c r="F130" s="11" t="s">
        <v>28</v>
      </c>
      <c r="G130" s="15">
        <f t="shared" ca="1" si="3"/>
        <v>46088</v>
      </c>
      <c r="H130" s="11">
        <f>H129</f>
        <v>1994</v>
      </c>
      <c r="I130" s="11" t="s">
        <v>22</v>
      </c>
      <c r="J130" s="11" cm="1">
        <f t="array" ref="J130">INDEX(Raw!B:FB, MATCH(J$4, Raw!$A:$A, 0), MATCH(1, (Raw!$B$1:$FB$1=$I130)*(Raw!$B$2:$FB$2=$H130), 0))</f>
        <v>4461000000</v>
      </c>
      <c r="K130" s="11" cm="1">
        <f t="array" ref="K130">INDEX(Raw!C:FC, MATCH(K$4, Raw!$A:$A, 0), MATCH(1, (Raw!$B$1:$FB$1=$I130)*(Raw!$B$2:$FB$2=$H130), 0))</f>
        <v>1667000000</v>
      </c>
      <c r="L130" s="11" cm="1">
        <f t="array" ref="L130">INDEX(Raw!D:FD, MATCH(L$4, Raw!$A:$A, 0), MATCH(1, (Raw!$B$1:$FB$1=$I130)*(Raw!$B$2:$FB$2=$H130), 0))</f>
        <v>2110000000</v>
      </c>
      <c r="M130" s="11" cm="1">
        <f t="array" ref="M130">INDEX(Raw!E:FE, MATCH(M$4, Raw!$A:$A, 0), MATCH(1, (Raw!$B$1:$FB$1=$I130)*(Raw!$B$2:$FB$2=$H130), 0))</f>
        <v>1476000000</v>
      </c>
      <c r="N130" s="11" cm="1">
        <f t="array" ref="N130">INDEX(Raw!F:FF, MATCH(N$4, Raw!$A:$A, 0), MATCH(1, (Raw!$B$1:$FB$1=$I130)*(Raw!$B$2:$FB$2=$H130), 0))</f>
        <v>0</v>
      </c>
      <c r="O130" s="11" cm="1">
        <f t="array" ref="O130">INDEX(Raw!G:FG, MATCH(O$4, Raw!$A:$A, 0), MATCH(1, (Raw!$B$1:$FB$1=$I130)*(Raw!$B$2:$FB$2=$H130), 0))</f>
        <v>1476000000</v>
      </c>
      <c r="P130" s="11" cm="1">
        <f t="array" ref="P130">INDEX(Raw!H:FH, MATCH(P$4, Raw!$A:$A, 0), MATCH(1, (Raw!$B$1:$FB$1=$I130)*(Raw!$B$2:$FB$2=$H130), 0))</f>
        <v>677000000</v>
      </c>
      <c r="Q130" s="11" cm="1">
        <f t="array" ref="Q130">INDEX(Raw!I:FI, MATCH(Q$4, Raw!$A:$A, 0), MATCH(1, (Raw!$B$1:$FB$1=$I130)*(Raw!$B$2:$FB$2=$H130), 0))</f>
        <v>-30566000</v>
      </c>
      <c r="R130" s="11" cm="1">
        <f t="array" ref="R130">INDEX(Raw!J:FJ, MATCH(R$4, Raw!$A:$A, 0), MATCH(1, (Raw!$B$1:$FB$1=$I130)*(Raw!$B$2:$FB$2=$H130), 0))</f>
        <v>788051000</v>
      </c>
      <c r="S130" s="11" cm="1">
        <f t="array" ref="S130">INDEX(Raw!K:FK, MATCH(S$4, Raw!$A:$A, 0), MATCH(1, (Raw!$B$1:$FB$1=$I130)*(Raw!$B$2:$FB$2=$H130), 0))</f>
        <v>265934000.00000003</v>
      </c>
      <c r="T130" s="11" cm="1">
        <f t="array" ref="T130">INDEX(Raw!L:FL, MATCH(T$4, Raw!$A:$A, 0), MATCH(1, (Raw!$B$1:$FB$1=$I130)*(Raw!$B$2:$FB$2=$H130), 0))</f>
        <v>383100000</v>
      </c>
      <c r="U130" s="11" cm="1">
        <f t="array" ref="U130">INDEX(Raw!M:FM, MATCH(U$4, Raw!$A:$A, 0), MATCH(1, (Raw!$B$1:$FB$1=$I130)*(Raw!$B$2:$FB$2=$H130), 0))</f>
        <v>0</v>
      </c>
      <c r="V130" s="11" cm="1">
        <f t="array" ref="V130">INDEX(Raw!N:FN, MATCH(V$4, Raw!$A:$A, 0), MATCH(1, (Raw!$B$1:$FB$1=$I130)*(Raw!$B$2:$FB$2=$H130), 0))</f>
        <v>456313000</v>
      </c>
      <c r="W130" s="11" cm="1">
        <f t="array" ref="W130">INDEX(Raw!O:FO, MATCH(W$4, Raw!$A:$A, 0), MATCH(1, (Raw!$B$1:$FB$1=$I130)*(Raw!$B$2:$FB$2=$H130), 0))</f>
        <v>0</v>
      </c>
      <c r="X130" s="11" cm="1">
        <f t="array" ref="X130">INDEX(Raw!P:FP, MATCH(X$4, Raw!$A:$A, 0), MATCH(1, (Raw!$B$1:$FB$1=$I130)*(Raw!$B$2:$FB$2=$H130), 0))</f>
        <v>320914000</v>
      </c>
      <c r="Y130" s="11" cm="1">
        <f t="array" ref="Y130">INDEX(Raw!Q:FQ, MATCH(Y$4, Raw!$A:$A, 0), MATCH(1, (Raw!$B$1:$FB$1=$I130)*(Raw!$B$2:$FB$2=$H130), 0))</f>
        <v>0</v>
      </c>
      <c r="Z130" s="11" cm="1">
        <f t="array" ref="Z130">INDEX(Raw!R:FR, MATCH(Z$4, Raw!$A:$A, 0), MATCH(1, (Raw!$B$1:$FB$1=$I130)*(Raw!$B$2:$FB$2=$H130), 0))</f>
        <v>0</v>
      </c>
      <c r="AA130" s="11" cm="1">
        <f t="array" ref="AA130">INDEX(Raw!S:FS, MATCH(AA$4, Raw!$A:$A, 0), MATCH(1, (Raw!$B$1:$FB$1=$I130)*(Raw!$B$2:$FB$2=$H130), 0))</f>
        <v>0</v>
      </c>
      <c r="AB130" s="11" cm="1">
        <f t="array" ref="AB130">INDEX(Raw!T:FT, MATCH(AB$4, Raw!$A:$A, 0), MATCH(1, (Raw!$B$1:$FB$1=$I130)*(Raw!$B$2:$FB$2=$H130), 0))</f>
        <v>0</v>
      </c>
      <c r="AC130" s="11" cm="1">
        <f t="array" ref="AC130">INDEX(Raw!U:FU, MATCH(AC$4, Raw!$A:$A, 0), MATCH(1, (Raw!$B$1:$FB$1=$I130)*(Raw!$B$2:$FB$2=$H130), 0))</f>
        <v>0.1404</v>
      </c>
      <c r="AD130" s="11" cm="1">
        <f t="array" ref="AD130">INDEX(Raw!V:FV, MATCH(AD$4, Raw!$A:$A, 0), MATCH(1, (Raw!$B$1:$FB$1=$I130)*(Raw!$B$2:$FB$2=$H130), 0))</f>
        <v>6.6199999999999995E-2</v>
      </c>
    </row>
    <row r="131" spans="6:30" x14ac:dyDescent="0.25">
      <c r="F131" s="11" t="s">
        <v>28</v>
      </c>
      <c r="G131" s="15">
        <f t="shared" ca="1" si="3"/>
        <v>46088</v>
      </c>
      <c r="H131" s="11">
        <f>H130</f>
        <v>1994</v>
      </c>
      <c r="I131" s="11" t="s">
        <v>23</v>
      </c>
      <c r="J131" s="11" cm="1">
        <f t="array" ref="J131">INDEX(Raw!B:FB, MATCH(J$4, Raw!$A:$A, 0), MATCH(1, (Raw!$B$1:$FB$1=$I131)*(Raw!$B$2:$FB$2=$H131), 0))</f>
        <v>4342000000</v>
      </c>
      <c r="K131" s="11" cm="1">
        <f t="array" ref="K131">INDEX(Raw!C:FC, MATCH(K$4, Raw!$A:$A, 0), MATCH(1, (Raw!$B$1:$FB$1=$I131)*(Raw!$B$2:$FB$2=$H131), 0))</f>
        <v>1242000000</v>
      </c>
      <c r="L131" s="11" cm="1">
        <f t="array" ref="L131">INDEX(Raw!D:FD, MATCH(L$4, Raw!$A:$A, 0), MATCH(1, (Raw!$B$1:$FB$1=$I131)*(Raw!$B$2:$FB$2=$H131), 0))</f>
        <v>2113000000</v>
      </c>
      <c r="M131" s="11" cm="1">
        <f t="array" ref="M131">INDEX(Raw!E:FE, MATCH(M$4, Raw!$A:$A, 0), MATCH(1, (Raw!$B$1:$FB$1=$I131)*(Raw!$B$2:$FB$2=$H131), 0))</f>
        <v>1457000000</v>
      </c>
      <c r="N131" s="11" cm="1">
        <f t="array" ref="N131">INDEX(Raw!F:FF, MATCH(N$4, Raw!$A:$A, 0), MATCH(1, (Raw!$B$1:$FB$1=$I131)*(Raw!$B$2:$FB$2=$H131), 0))</f>
        <v>0</v>
      </c>
      <c r="O131" s="11" cm="1">
        <f t="array" ref="O131">INDEX(Raw!G:FG, MATCH(O$4, Raw!$A:$A, 0), MATCH(1, (Raw!$B$1:$FB$1=$I131)*(Raw!$B$2:$FB$2=$H131), 0))</f>
        <v>1286000000</v>
      </c>
      <c r="P131" s="11" cm="1">
        <f t="array" ref="P131">INDEX(Raw!H:FH, MATCH(P$4, Raw!$A:$A, 0), MATCH(1, (Raw!$B$1:$FB$1=$I131)*(Raw!$B$2:$FB$2=$H131), 0))</f>
        <v>583222900</v>
      </c>
      <c r="Q131" s="11" cm="1">
        <f t="array" ref="Q131">INDEX(Raw!I:FI, MATCH(Q$4, Raw!$A:$A, 0), MATCH(1, (Raw!$B$1:$FB$1=$I131)*(Raw!$B$2:$FB$2=$H131), 0))</f>
        <v>17095000</v>
      </c>
      <c r="R131" s="11" cm="1">
        <f t="array" ref="R131">INDEX(Raw!J:FJ, MATCH(R$4, Raw!$A:$A, 0), MATCH(1, (Raw!$B$1:$FB$1=$I131)*(Raw!$B$2:$FB$2=$H131), 0))</f>
        <v>846925000</v>
      </c>
      <c r="S131" s="11" cm="1">
        <f t="array" ref="S131">INDEX(Raw!K:FK, MATCH(S$4, Raw!$A:$A, 0), MATCH(1, (Raw!$B$1:$FB$1=$I131)*(Raw!$B$2:$FB$2=$H131), 0))</f>
        <v>175355000</v>
      </c>
      <c r="T131" s="11" cm="1">
        <f t="array" ref="T131">INDEX(Raw!L:FL, MATCH(T$4, Raw!$A:$A, 0), MATCH(1, (Raw!$B$1:$FB$1=$I131)*(Raw!$B$2:$FB$2=$H131), 0))</f>
        <v>358383000</v>
      </c>
      <c r="U131" s="11" cm="1">
        <f t="array" ref="U131">INDEX(Raw!M:FM, MATCH(U$4, Raw!$A:$A, 0), MATCH(1, (Raw!$B$1:$FB$1=$I131)*(Raw!$B$2:$FB$2=$H131), 0))</f>
        <v>0</v>
      </c>
      <c r="V131" s="11" cm="1">
        <f t="array" ref="V131">INDEX(Raw!N:FN, MATCH(V$4, Raw!$A:$A, 0), MATCH(1, (Raw!$B$1:$FB$1=$I131)*(Raw!$B$2:$FB$2=$H131), 0))</f>
        <v>482392000</v>
      </c>
      <c r="W131" s="11" cm="1">
        <f t="array" ref="W131">INDEX(Raw!O:FO, MATCH(W$4, Raw!$A:$A, 0), MATCH(1, (Raw!$B$1:$FB$1=$I131)*(Raw!$B$2:$FB$2=$H131), 0))</f>
        <v>0</v>
      </c>
      <c r="X131" s="11" cm="1">
        <f t="array" ref="X131">INDEX(Raw!P:FP, MATCH(X$4, Raw!$A:$A, 0), MATCH(1, (Raw!$B$1:$FB$1=$I131)*(Raw!$B$2:$FB$2=$H131), 0))</f>
        <v>294335000</v>
      </c>
      <c r="Y131" s="11" cm="1">
        <f t="array" ref="Y131">INDEX(Raw!Q:FQ, MATCH(Y$4, Raw!$A:$A, 0), MATCH(1, (Raw!$B$1:$FB$1=$I131)*(Raw!$B$2:$FB$2=$H131), 0))</f>
        <v>0</v>
      </c>
      <c r="Z131" s="11" cm="1">
        <f t="array" ref="Z131">INDEX(Raw!R:FR, MATCH(Z$4, Raw!$A:$A, 0), MATCH(1, (Raw!$B$1:$FB$1=$I131)*(Raw!$B$2:$FB$2=$H131), 0))</f>
        <v>0</v>
      </c>
      <c r="AA131" s="11" cm="1">
        <f t="array" ref="AA131">INDEX(Raw!S:FS, MATCH(AA$4, Raw!$A:$A, 0), MATCH(1, (Raw!$B$1:$FB$1=$I131)*(Raw!$B$2:$FB$2=$H131), 0))</f>
        <v>0</v>
      </c>
      <c r="AB131" s="11" cm="1">
        <f t="array" ref="AB131">INDEX(Raw!T:FT, MATCH(AB$4, Raw!$A:$A, 0), MATCH(1, (Raw!$B$1:$FB$1=$I131)*(Raw!$B$2:$FB$2=$H131), 0))</f>
        <v>0</v>
      </c>
      <c r="AC131" s="11" cm="1">
        <f t="array" ref="AC131">INDEX(Raw!U:FU, MATCH(AC$4, Raw!$A:$A, 0), MATCH(1, (Raw!$B$1:$FB$1=$I131)*(Raw!$B$2:$FB$2=$H131), 0))</f>
        <v>6.6199999999999995E-2</v>
      </c>
      <c r="AD131" s="11" cm="1">
        <f t="array" ref="AD131">INDEX(Raw!V:FV, MATCH(AD$4, Raw!$A:$A, 0), MATCH(1, (Raw!$B$1:$FB$1=$I131)*(Raw!$B$2:$FB$2=$H131), 0))</f>
        <v>6.2399999999999997E-2</v>
      </c>
    </row>
    <row r="132" spans="6:30" x14ac:dyDescent="0.25">
      <c r="F132" s="11" t="s">
        <v>28</v>
      </c>
      <c r="G132" s="15">
        <f t="shared" ca="1" si="3"/>
        <v>46088</v>
      </c>
      <c r="H132" s="11">
        <f>H131</f>
        <v>1994</v>
      </c>
      <c r="I132" s="11" t="s">
        <v>24</v>
      </c>
      <c r="J132" s="11" cm="1">
        <f t="array" ref="J132">INDEX(Raw!B:FB, MATCH(J$4, Raw!$A:$A, 0), MATCH(1, (Raw!$B$1:$FB$1=$I132)*(Raw!$B$2:$FB$2=$H132), 0))</f>
        <v>3352000000</v>
      </c>
      <c r="K132" s="11" cm="1">
        <f t="array" ref="K132">INDEX(Raw!C:FC, MATCH(K$4, Raw!$A:$A, 0), MATCH(1, (Raw!$B$1:$FB$1=$I132)*(Raw!$B$2:$FB$2=$H132), 0))</f>
        <v>1260000000</v>
      </c>
      <c r="L132" s="11" cm="1">
        <f t="array" ref="L132">INDEX(Raw!D:FD, MATCH(L$4, Raw!$A:$A, 0), MATCH(1, (Raw!$B$1:$FB$1=$I132)*(Raw!$B$2:$FB$2=$H132), 0))</f>
        <v>2286000000</v>
      </c>
      <c r="M132" s="11" cm="1">
        <f t="array" ref="M132">INDEX(Raw!E:FE, MATCH(M$4, Raw!$A:$A, 0), MATCH(1, (Raw!$B$1:$FB$1=$I132)*(Raw!$B$2:$FB$2=$H132), 0))</f>
        <v>1476000000</v>
      </c>
      <c r="N132" s="11" cm="1">
        <f t="array" ref="N132">INDEX(Raw!F:FF, MATCH(N$4, Raw!$A:$A, 0), MATCH(1, (Raw!$B$1:$FB$1=$I132)*(Raw!$B$2:$FB$2=$H132), 0))</f>
        <v>0</v>
      </c>
      <c r="O132" s="11" cm="1">
        <f t="array" ref="O132">INDEX(Raw!G:FG, MATCH(O$4, Raw!$A:$A, 0), MATCH(1, (Raw!$B$1:$FB$1=$I132)*(Raw!$B$2:$FB$2=$H132), 0))</f>
        <v>1396917000</v>
      </c>
      <c r="P132" s="11" cm="1">
        <f t="array" ref="P132">INDEX(Raw!H:FH, MATCH(P$4, Raw!$A:$A, 0), MATCH(1, (Raw!$B$1:$FB$1=$I132)*(Raw!$B$2:$FB$2=$H132), 0))</f>
        <v>770956100</v>
      </c>
      <c r="Q132" s="11" cm="1">
        <f t="array" ref="Q132">INDEX(Raw!I:FI, MATCH(Q$4, Raw!$A:$A, 0), MATCH(1, (Raw!$B$1:$FB$1=$I132)*(Raw!$B$2:$FB$2=$H132), 0))</f>
        <v>10391000</v>
      </c>
      <c r="R132" s="11" cm="1">
        <f t="array" ref="R132">INDEX(Raw!J:FJ, MATCH(R$4, Raw!$A:$A, 0), MATCH(1, (Raw!$B$1:$FB$1=$I132)*(Raw!$B$2:$FB$2=$H132), 0))</f>
        <v>558455000</v>
      </c>
      <c r="S132" s="11" cm="1">
        <f t="array" ref="S132">INDEX(Raw!K:FK, MATCH(S$4, Raw!$A:$A, 0), MATCH(1, (Raw!$B$1:$FB$1=$I132)*(Raw!$B$2:$FB$2=$H132), 0))</f>
        <v>188717000</v>
      </c>
      <c r="T132" s="11" cm="1">
        <f t="array" ref="T132">INDEX(Raw!L:FL, MATCH(T$4, Raw!$A:$A, 0), MATCH(1, (Raw!$B$1:$FB$1=$I132)*(Raw!$B$2:$FB$2=$H132), 0))</f>
        <v>456313000</v>
      </c>
      <c r="U132" s="11" cm="1">
        <f t="array" ref="U132">INDEX(Raw!M:FM, MATCH(U$4, Raw!$A:$A, 0), MATCH(1, (Raw!$B$1:$FB$1=$I132)*(Raw!$B$2:$FB$2=$H132), 0))</f>
        <v>0</v>
      </c>
      <c r="V132" s="11" cm="1">
        <f t="array" ref="V132">INDEX(Raw!N:FN, MATCH(V$4, Raw!$A:$A, 0), MATCH(1, (Raw!$B$1:$FB$1=$I132)*(Raw!$B$2:$FB$2=$H132), 0))</f>
        <v>320914000</v>
      </c>
      <c r="W132" s="11" cm="1">
        <f t="array" ref="W132">INDEX(Raw!O:FO, MATCH(W$4, Raw!$A:$A, 0), MATCH(1, (Raw!$B$1:$FB$1=$I132)*(Raw!$B$2:$FB$2=$H132), 0))</f>
        <v>0</v>
      </c>
      <c r="X132" s="11" cm="1">
        <f t="array" ref="X132">INDEX(Raw!P:FP, MATCH(X$4, Raw!$A:$A, 0), MATCH(1, (Raw!$B$1:$FB$1=$I132)*(Raw!$B$2:$FB$2=$H132), 0))</f>
        <v>394172000</v>
      </c>
      <c r="Y132" s="11" cm="1">
        <f t="array" ref="Y132">INDEX(Raw!Q:FQ, MATCH(Y$4, Raw!$A:$A, 0), MATCH(1, (Raw!$B$1:$FB$1=$I132)*(Raw!$B$2:$FB$2=$H132), 0))</f>
        <v>0</v>
      </c>
      <c r="Z132" s="11" cm="1">
        <f t="array" ref="Z132">INDEX(Raw!R:FR, MATCH(Z$4, Raw!$A:$A, 0), MATCH(1, (Raw!$B$1:$FB$1=$I132)*(Raw!$B$2:$FB$2=$H132), 0))</f>
        <v>0</v>
      </c>
      <c r="AA132" s="11" cm="1">
        <f t="array" ref="AA132">INDEX(Raw!S:FS, MATCH(AA$4, Raw!$A:$A, 0), MATCH(1, (Raw!$B$1:$FB$1=$I132)*(Raw!$B$2:$FB$2=$H132), 0))</f>
        <v>0</v>
      </c>
      <c r="AB132" s="11" cm="1">
        <f t="array" ref="AB132">INDEX(Raw!T:FT, MATCH(AB$4, Raw!$A:$A, 0), MATCH(1, (Raw!$B$1:$FB$1=$I132)*(Raw!$B$2:$FB$2=$H132), 0))</f>
        <v>0</v>
      </c>
      <c r="AC132" s="11" cm="1">
        <f t="array" ref="AC132">INDEX(Raw!U:FU, MATCH(AC$4, Raw!$A:$A, 0), MATCH(1, (Raw!$B$1:$FB$1=$I132)*(Raw!$B$2:$FB$2=$H132), 0))</f>
        <v>6.2399999999999997E-2</v>
      </c>
      <c r="AD132" s="11" cm="1">
        <f t="array" ref="AD132">INDEX(Raw!V:FV, MATCH(AD$4, Raw!$A:$A, 0), MATCH(1, (Raw!$B$1:$FB$1=$I132)*(Raw!$B$2:$FB$2=$H132), 0))</f>
        <v>4.6399999999999997E-2</v>
      </c>
    </row>
    <row r="133" spans="6:30" x14ac:dyDescent="0.25">
      <c r="F133" s="11" t="s">
        <v>28</v>
      </c>
      <c r="G133" s="15">
        <f t="shared" ref="G133:G161" ca="1" si="4">TODAY()</f>
        <v>46088</v>
      </c>
      <c r="H133" s="11">
        <f>H129-1</f>
        <v>1993</v>
      </c>
      <c r="I133" s="11" t="s">
        <v>21</v>
      </c>
      <c r="J133" s="11" cm="1">
        <f t="array" ref="J133">INDEX(Raw!B:FB, MATCH(J$4, Raw!$A:$A, 0), MATCH(1, (Raw!$B$1:$FB$1=$I133)*(Raw!$B$2:$FB$2=$H133), 0))</f>
        <v>3373000000</v>
      </c>
      <c r="K133" s="11" cm="1">
        <f t="array" ref="K133">INDEX(Raw!C:FC, MATCH(K$4, Raw!$A:$A, 0), MATCH(1, (Raw!$B$1:$FB$1=$I133)*(Raw!$B$2:$FB$2=$H133), 0))</f>
        <v>1343000000</v>
      </c>
      <c r="L133" s="11" cm="1">
        <f t="array" ref="L133">INDEX(Raw!D:FD, MATCH(L$4, Raw!$A:$A, 0), MATCH(1, (Raw!$B$1:$FB$1=$I133)*(Raw!$B$2:$FB$2=$H133), 0))</f>
        <v>2435000000</v>
      </c>
      <c r="M133" s="11" cm="1">
        <f t="array" ref="M133">INDEX(Raw!E:FE, MATCH(M$4, Raw!$A:$A, 0), MATCH(1, (Raw!$B$1:$FB$1=$I133)*(Raw!$B$2:$FB$2=$H133), 0))</f>
        <v>1286000000</v>
      </c>
      <c r="N133" s="11" cm="1">
        <f t="array" ref="N133">INDEX(Raw!F:FF, MATCH(N$4, Raw!$A:$A, 0), MATCH(1, (Raw!$B$1:$FB$1=$I133)*(Raw!$B$2:$FB$2=$H133), 0))</f>
        <v>0</v>
      </c>
      <c r="O133" s="11" cm="1">
        <f t="array" ref="O133">INDEX(Raw!G:FG, MATCH(O$4, Raw!$A:$A, 0), MATCH(1, (Raw!$B$1:$FB$1=$I133)*(Raw!$B$2:$FB$2=$H133), 0))</f>
        <v>1351203000</v>
      </c>
      <c r="P133" s="11" cm="1">
        <f t="array" ref="P133">INDEX(Raw!H:FH, MATCH(P$4, Raw!$A:$A, 0), MATCH(1, (Raw!$B$1:$FB$1=$I133)*(Raw!$B$2:$FB$2=$H133), 0))</f>
        <v>836534200</v>
      </c>
      <c r="Q133" s="11" cm="1">
        <f t="array" ref="Q133">INDEX(Raw!I:FI, MATCH(Q$4, Raw!$A:$A, 0), MATCH(1, (Raw!$B$1:$FB$1=$I133)*(Raw!$B$2:$FB$2=$H133), 0))</f>
        <v>-20923000</v>
      </c>
      <c r="R133" s="11" cm="1">
        <f t="array" ref="R133">INDEX(Raw!J:FJ, MATCH(R$4, Raw!$A:$A, 0), MATCH(1, (Raw!$B$1:$FB$1=$I133)*(Raw!$B$2:$FB$2=$H133), 0))</f>
        <v>547100000</v>
      </c>
      <c r="S133" s="11" cm="1">
        <f t="array" ref="S133">INDEX(Raw!K:FK, MATCH(S$4, Raw!$A:$A, 0), MATCH(1, (Raw!$B$1:$FB$1=$I133)*(Raw!$B$2:$FB$2=$H133), 0))</f>
        <v>208866000</v>
      </c>
      <c r="T133" s="11" cm="1">
        <f t="array" ref="T133">INDEX(Raw!L:FL, MATCH(T$4, Raw!$A:$A, 0), MATCH(1, (Raw!$B$1:$FB$1=$I133)*(Raw!$B$2:$FB$2=$H133), 0))</f>
        <v>482392000</v>
      </c>
      <c r="U133" s="11" cm="1">
        <f t="array" ref="U133">INDEX(Raw!M:FM, MATCH(U$4, Raw!$A:$A, 0), MATCH(1, (Raw!$B$1:$FB$1=$I133)*(Raw!$B$2:$FB$2=$H133), 0))</f>
        <v>0</v>
      </c>
      <c r="V133" s="11" cm="1">
        <f t="array" ref="V133">INDEX(Raw!N:FN, MATCH(V$4, Raw!$A:$A, 0), MATCH(1, (Raw!$B$1:$FB$1=$I133)*(Raw!$B$2:$FB$2=$H133), 0))</f>
        <v>294335000</v>
      </c>
      <c r="W133" s="11" cm="1">
        <f t="array" ref="W133">INDEX(Raw!O:FO, MATCH(W$4, Raw!$A:$A, 0), MATCH(1, (Raw!$B$1:$FB$1=$I133)*(Raw!$B$2:$FB$2=$H133), 0))</f>
        <v>0</v>
      </c>
      <c r="X133" s="11" cm="1">
        <f t="array" ref="X133">INDEX(Raw!P:FP, MATCH(X$4, Raw!$A:$A, 0), MATCH(1, (Raw!$B$1:$FB$1=$I133)*(Raw!$B$2:$FB$2=$H133), 0))</f>
        <v>409932000</v>
      </c>
      <c r="Y133" s="11" cm="1">
        <f t="array" ref="Y133">INDEX(Raw!Q:FQ, MATCH(Y$4, Raw!$A:$A, 0), MATCH(1, (Raw!$B$1:$FB$1=$I133)*(Raw!$B$2:$FB$2=$H133), 0))</f>
        <v>0</v>
      </c>
      <c r="Z133" s="11" cm="1">
        <f t="array" ref="Z133">INDEX(Raw!R:FR, MATCH(Z$4, Raw!$A:$A, 0), MATCH(1, (Raw!$B$1:$FB$1=$I133)*(Raw!$B$2:$FB$2=$H133), 0))</f>
        <v>0</v>
      </c>
      <c r="AA133" s="11" cm="1">
        <f t="array" ref="AA133">INDEX(Raw!S:FS, MATCH(AA$4, Raw!$A:$A, 0), MATCH(1, (Raw!$B$1:$FB$1=$I133)*(Raw!$B$2:$FB$2=$H133), 0))</f>
        <v>0</v>
      </c>
      <c r="AB133" s="11" cm="1">
        <f t="array" ref="AB133">INDEX(Raw!T:FT, MATCH(AB$4, Raw!$A:$A, 0), MATCH(1, (Raw!$B$1:$FB$1=$I133)*(Raw!$B$2:$FB$2=$H133), 0))</f>
        <v>0</v>
      </c>
      <c r="AC133" s="11" cm="1">
        <f t="array" ref="AC133">INDEX(Raw!U:FU, MATCH(AC$4, Raw!$A:$A, 0), MATCH(1, (Raw!$B$1:$FB$1=$I133)*(Raw!$B$2:$FB$2=$H133), 0))</f>
        <v>4.6399999999999997E-2</v>
      </c>
      <c r="AD133" s="11" cm="1">
        <f t="array" ref="AD133">INDEX(Raw!V:FV, MATCH(AD$4, Raw!$A:$A, 0), MATCH(1, (Raw!$B$1:$FB$1=$I133)*(Raw!$B$2:$FB$2=$H133), 0))</f>
        <v>4.1500000000000002E-2</v>
      </c>
    </row>
    <row r="134" spans="6:30" x14ac:dyDescent="0.25">
      <c r="F134" s="11" t="s">
        <v>28</v>
      </c>
      <c r="G134" s="15">
        <f t="shared" ca="1" si="4"/>
        <v>46088</v>
      </c>
      <c r="H134" s="11">
        <f>H133</f>
        <v>1993</v>
      </c>
      <c r="I134" s="11" t="s">
        <v>22</v>
      </c>
      <c r="J134" s="11" cm="1">
        <f t="array" ref="J134">INDEX(Raw!B:FB, MATCH(J$4, Raw!$A:$A, 0), MATCH(1, (Raw!$B$1:$FB$1=$I134)*(Raw!$B$2:$FB$2=$H134), 0))</f>
        <v>3629000000</v>
      </c>
      <c r="K134" s="11" cm="1">
        <f t="array" ref="K134">INDEX(Raw!C:FC, MATCH(K$4, Raw!$A:$A, 0), MATCH(1, (Raw!$B$1:$FB$1=$I134)*(Raw!$B$2:$FB$2=$H134), 0))</f>
        <v>1464000000</v>
      </c>
      <c r="L134" s="11" cm="1">
        <f t="array" ref="L134">INDEX(Raw!D:FD, MATCH(L$4, Raw!$A:$A, 0), MATCH(1, (Raw!$B$1:$FB$1=$I134)*(Raw!$B$2:$FB$2=$H134), 0))</f>
        <v>1963000000</v>
      </c>
      <c r="M134" s="11" cm="1">
        <f t="array" ref="M134">INDEX(Raw!E:FE, MATCH(M$4, Raw!$A:$A, 0), MATCH(1, (Raw!$B$1:$FB$1=$I134)*(Raw!$B$2:$FB$2=$H134), 0))</f>
        <v>1396917000</v>
      </c>
      <c r="N134" s="11" cm="1">
        <f t="array" ref="N134">INDEX(Raw!F:FF, MATCH(N$4, Raw!$A:$A, 0), MATCH(1, (Raw!$B$1:$FB$1=$I134)*(Raw!$B$2:$FB$2=$H134), 0))</f>
        <v>0</v>
      </c>
      <c r="O134" s="11" cm="1">
        <f t="array" ref="O134">INDEX(Raw!G:FG, MATCH(O$4, Raw!$A:$A, 0), MATCH(1, (Raw!$B$1:$FB$1=$I134)*(Raw!$B$2:$FB$2=$H134), 0))</f>
        <v>1340276000</v>
      </c>
      <c r="P134" s="11" cm="1">
        <f t="array" ref="P134">INDEX(Raw!H:FH, MATCH(P$4, Raw!$A:$A, 0), MATCH(1, (Raw!$B$1:$FB$1=$I134)*(Raw!$B$2:$FB$2=$H134), 0))</f>
        <v>579484900</v>
      </c>
      <c r="Q134" s="11" cm="1">
        <f t="array" ref="Q134">INDEX(Raw!I:FI, MATCH(Q$4, Raw!$A:$A, 0), MATCH(1, (Raw!$B$1:$FB$1=$I134)*(Raw!$B$2:$FB$2=$H134), 0))</f>
        <v>60022000</v>
      </c>
      <c r="R134" s="11" cm="1">
        <f t="array" ref="R134">INDEX(Raw!J:FJ, MATCH(R$4, Raw!$A:$A, 0), MATCH(1, (Raw!$B$1:$FB$1=$I134)*(Raw!$B$2:$FB$2=$H134), 0))</f>
        <v>665179000</v>
      </c>
      <c r="S134" s="11" cm="1">
        <f t="array" ref="S134">INDEX(Raw!K:FK, MATCH(S$4, Raw!$A:$A, 0), MATCH(1, (Raw!$B$1:$FB$1=$I134)*(Raw!$B$2:$FB$2=$H134), 0))</f>
        <v>220803000</v>
      </c>
      <c r="T134" s="11" cm="1">
        <f t="array" ref="T134">INDEX(Raw!L:FL, MATCH(T$4, Raw!$A:$A, 0), MATCH(1, (Raw!$B$1:$FB$1=$I134)*(Raw!$B$2:$FB$2=$H134), 0))</f>
        <v>320914000</v>
      </c>
      <c r="U134" s="11" cm="1">
        <f t="array" ref="U134">INDEX(Raw!M:FM, MATCH(U$4, Raw!$A:$A, 0), MATCH(1, (Raw!$B$1:$FB$1=$I134)*(Raw!$B$2:$FB$2=$H134), 0))</f>
        <v>0</v>
      </c>
      <c r="V134" s="11" cm="1">
        <f t="array" ref="V134">INDEX(Raw!N:FN, MATCH(V$4, Raw!$A:$A, 0), MATCH(1, (Raw!$B$1:$FB$1=$I134)*(Raw!$B$2:$FB$2=$H134), 0))</f>
        <v>394172000</v>
      </c>
      <c r="W134" s="11" cm="1">
        <f t="array" ref="W134">INDEX(Raw!O:FO, MATCH(W$4, Raw!$A:$A, 0), MATCH(1, (Raw!$B$1:$FB$1=$I134)*(Raw!$B$2:$FB$2=$H134), 0))</f>
        <v>0</v>
      </c>
      <c r="X134" s="11" cm="1">
        <f t="array" ref="X134">INDEX(Raw!P:FP, MATCH(X$4, Raw!$A:$A, 0), MATCH(1, (Raw!$B$1:$FB$1=$I134)*(Raw!$B$2:$FB$2=$H134), 0))</f>
        <v>283465000</v>
      </c>
      <c r="Y134" s="11" cm="1">
        <f t="array" ref="Y134">INDEX(Raw!Q:FQ, MATCH(Y$4, Raw!$A:$A, 0), MATCH(1, (Raw!$B$1:$FB$1=$I134)*(Raw!$B$2:$FB$2=$H134), 0))</f>
        <v>0</v>
      </c>
      <c r="Z134" s="11" cm="1">
        <f t="array" ref="Z134">INDEX(Raw!R:FR, MATCH(Z$4, Raw!$A:$A, 0), MATCH(1, (Raw!$B$1:$FB$1=$I134)*(Raw!$B$2:$FB$2=$H134), 0))</f>
        <v>0</v>
      </c>
      <c r="AA134" s="11" cm="1">
        <f t="array" ref="AA134">INDEX(Raw!S:FS, MATCH(AA$4, Raw!$A:$A, 0), MATCH(1, (Raw!$B$1:$FB$1=$I134)*(Raw!$B$2:$FB$2=$H134), 0))</f>
        <v>0</v>
      </c>
      <c r="AB134" s="11" cm="1">
        <f t="array" ref="AB134">INDEX(Raw!T:FT, MATCH(AB$4, Raw!$A:$A, 0), MATCH(1, (Raw!$B$1:$FB$1=$I134)*(Raw!$B$2:$FB$2=$H134), 0))</f>
        <v>0</v>
      </c>
      <c r="AC134" s="11" cm="1">
        <f t="array" ref="AC134">INDEX(Raw!U:FU, MATCH(AC$4, Raw!$A:$A, 0), MATCH(1, (Raw!$B$1:$FB$1=$I134)*(Raw!$B$2:$FB$2=$H134), 0))</f>
        <v>4.1500000000000002E-2</v>
      </c>
      <c r="AD134" s="11" cm="1">
        <f t="array" ref="AD134">INDEX(Raw!V:FV, MATCH(AD$4, Raw!$A:$A, 0), MATCH(1, (Raw!$B$1:$FB$1=$I134)*(Raw!$B$2:$FB$2=$H134), 0))</f>
        <v>0</v>
      </c>
    </row>
    <row r="135" spans="6:30" x14ac:dyDescent="0.25">
      <c r="F135" s="11" t="s">
        <v>28</v>
      </c>
      <c r="G135" s="15">
        <f t="shared" ca="1" si="4"/>
        <v>46088</v>
      </c>
      <c r="H135" s="11">
        <f>H134</f>
        <v>1993</v>
      </c>
      <c r="I135" s="11" t="s">
        <v>23</v>
      </c>
      <c r="J135" s="11" cm="1">
        <f t="array" ref="J135">INDEX(Raw!B:FB, MATCH(J$4, Raw!$A:$A, 0), MATCH(1, (Raw!$B$1:$FB$1=$I135)*(Raw!$B$2:$FB$2=$H135), 0))</f>
        <v>3899000000</v>
      </c>
      <c r="K135" s="11" cm="1">
        <f t="array" ref="K135">INDEX(Raw!C:FC, MATCH(K$4, Raw!$A:$A, 0), MATCH(1, (Raw!$B$1:$FB$1=$I135)*(Raw!$B$2:$FB$2=$H135), 0))</f>
        <v>1093000000</v>
      </c>
      <c r="L135" s="11" cm="1">
        <f t="array" ref="L135">INDEX(Raw!D:FD, MATCH(L$4, Raw!$A:$A, 0), MATCH(1, (Raw!$B$1:$FB$1=$I135)*(Raw!$B$2:$FB$2=$H135), 0))</f>
        <v>1980140000</v>
      </c>
      <c r="M135" s="11" cm="1">
        <f t="array" ref="M135">INDEX(Raw!E:FE, MATCH(M$4, Raw!$A:$A, 0), MATCH(1, (Raw!$B$1:$FB$1=$I135)*(Raw!$B$2:$FB$2=$H135), 0))</f>
        <v>1351203000</v>
      </c>
      <c r="N135" s="11" cm="1">
        <f t="array" ref="N135">INDEX(Raw!F:FF, MATCH(N$4, Raw!$A:$A, 0), MATCH(1, (Raw!$B$1:$FB$1=$I135)*(Raw!$B$2:$FB$2=$H135), 0))</f>
        <v>0</v>
      </c>
      <c r="O135" s="11" cm="1">
        <f t="array" ref="O135">INDEX(Raw!G:FG, MATCH(O$4, Raw!$A:$A, 0), MATCH(1, (Raw!$B$1:$FB$1=$I135)*(Raw!$B$2:$FB$2=$H135), 0))</f>
        <v>1160996000</v>
      </c>
      <c r="P135" s="11" cm="1">
        <f t="array" ref="P135">INDEX(Raw!H:FH, MATCH(P$4, Raw!$A:$A, 0), MATCH(1, (Raw!$B$1:$FB$1=$I135)*(Raw!$B$2:$FB$2=$H135), 0))</f>
        <v>487078100</v>
      </c>
      <c r="Q135" s="11" cm="1">
        <f t="array" ref="Q135">INDEX(Raw!I:FI, MATCH(Q$4, Raw!$A:$A, 0), MATCH(1, (Raw!$B$1:$FB$1=$I135)*(Raw!$B$2:$FB$2=$H135), 0))</f>
        <v>20475000</v>
      </c>
      <c r="R135" s="11" cm="1">
        <f t="array" ref="R135">INDEX(Raw!J:FJ, MATCH(R$4, Raw!$A:$A, 0), MATCH(1, (Raw!$B$1:$FB$1=$I135)*(Raw!$B$2:$FB$2=$H135), 0))</f>
        <v>703195000</v>
      </c>
      <c r="S135" s="11" cm="1">
        <f t="array" ref="S135">INDEX(Raw!K:FK, MATCH(S$4, Raw!$A:$A, 0), MATCH(1, (Raw!$B$1:$FB$1=$I135)*(Raw!$B$2:$FB$2=$H135), 0))</f>
        <v>146891000</v>
      </c>
      <c r="T135" s="11" cm="1">
        <f t="array" ref="T135">INDEX(Raw!L:FL, MATCH(T$4, Raw!$A:$A, 0), MATCH(1, (Raw!$B$1:$FB$1=$I135)*(Raw!$B$2:$FB$2=$H135), 0))</f>
        <v>294335000</v>
      </c>
      <c r="U135" s="11" cm="1">
        <f t="array" ref="U135">INDEX(Raw!M:FM, MATCH(U$4, Raw!$A:$A, 0), MATCH(1, (Raw!$B$1:$FB$1=$I135)*(Raw!$B$2:$FB$2=$H135), 0))</f>
        <v>0</v>
      </c>
      <c r="V135" s="11" cm="1">
        <f t="array" ref="V135">INDEX(Raw!N:FN, MATCH(V$4, Raw!$A:$A, 0), MATCH(1, (Raw!$B$1:$FB$1=$I135)*(Raw!$B$2:$FB$2=$H135), 0))</f>
        <v>409932000</v>
      </c>
      <c r="W135" s="11" cm="1">
        <f t="array" ref="W135">INDEX(Raw!O:FO, MATCH(W$4, Raw!$A:$A, 0), MATCH(1, (Raw!$B$1:$FB$1=$I135)*(Raw!$B$2:$FB$2=$H135), 0))</f>
        <v>0</v>
      </c>
      <c r="X135" s="11" cm="1">
        <f t="array" ref="X135">INDEX(Raw!P:FP, MATCH(X$4, Raw!$A:$A, 0), MATCH(1, (Raw!$B$1:$FB$1=$I135)*(Raw!$B$2:$FB$2=$H135), 0))</f>
        <v>757229000</v>
      </c>
      <c r="Y135" s="11" cm="1">
        <f t="array" ref="Y135">INDEX(Raw!Q:FQ, MATCH(Y$4, Raw!$A:$A, 0), MATCH(1, (Raw!$B$1:$FB$1=$I135)*(Raw!$B$2:$FB$2=$H135), 0))</f>
        <v>0</v>
      </c>
      <c r="Z135" s="11" cm="1">
        <f t="array" ref="Z135">INDEX(Raw!R:FR, MATCH(Z$4, Raw!$A:$A, 0), MATCH(1, (Raw!$B$1:$FB$1=$I135)*(Raw!$B$2:$FB$2=$H135), 0))</f>
        <v>0</v>
      </c>
      <c r="AA135" s="11" cm="1">
        <f t="array" ref="AA135">INDEX(Raw!S:FS, MATCH(AA$4, Raw!$A:$A, 0), MATCH(1, (Raw!$B$1:$FB$1=$I135)*(Raw!$B$2:$FB$2=$H135), 0))</f>
        <v>0</v>
      </c>
      <c r="AB135" s="11" cm="1">
        <f t="array" ref="AB135">INDEX(Raw!T:FT, MATCH(AB$4, Raw!$A:$A, 0), MATCH(1, (Raw!$B$1:$FB$1=$I135)*(Raw!$B$2:$FB$2=$H135), 0))</f>
        <v>0</v>
      </c>
      <c r="AC135" s="11" cm="1">
        <f t="array" ref="AC135">INDEX(Raw!U:FU, MATCH(AC$4, Raw!$A:$A, 0), MATCH(1, (Raw!$B$1:$FB$1=$I135)*(Raw!$B$2:$FB$2=$H135), 0))</f>
        <v>0</v>
      </c>
      <c r="AD135" s="11" cm="1">
        <f t="array" ref="AD135">INDEX(Raw!V:FV, MATCH(AD$4, Raw!$A:$A, 0), MATCH(1, (Raw!$B$1:$FB$1=$I135)*(Raw!$B$2:$FB$2=$H135), 0))</f>
        <v>51800</v>
      </c>
    </row>
    <row r="136" spans="6:30" x14ac:dyDescent="0.25">
      <c r="F136" s="11" t="s">
        <v>28</v>
      </c>
      <c r="G136" s="15">
        <f t="shared" ca="1" si="4"/>
        <v>46088</v>
      </c>
      <c r="H136" s="11">
        <f>H135</f>
        <v>1993</v>
      </c>
      <c r="I136" s="11" t="s">
        <v>24</v>
      </c>
      <c r="J136" s="11" cm="1">
        <f t="array" ref="J136">INDEX(Raw!B:FB, MATCH(J$4, Raw!$A:$A, 0), MATCH(1, (Raw!$B$1:$FB$1=$I136)*(Raw!$B$2:$FB$2=$H136), 0))</f>
        <v>3056000000</v>
      </c>
      <c r="K136" s="11" cm="1">
        <f t="array" ref="K136">INDEX(Raw!C:FC, MATCH(K$4, Raw!$A:$A, 0), MATCH(1, (Raw!$B$1:$FB$1=$I136)*(Raw!$B$2:$FB$2=$H136), 0))</f>
        <v>1263951000</v>
      </c>
      <c r="L136" s="11" cm="1">
        <f t="array" ref="L136">INDEX(Raw!D:FD, MATCH(L$4, Raw!$A:$A, 0), MATCH(1, (Raw!$B$1:$FB$1=$I136)*(Raw!$B$2:$FB$2=$H136), 0))</f>
        <v>2122159000</v>
      </c>
      <c r="M136" s="11" cm="1">
        <f t="array" ref="M136">INDEX(Raw!E:FE, MATCH(M$4, Raw!$A:$A, 0), MATCH(1, (Raw!$B$1:$FB$1=$I136)*(Raw!$B$2:$FB$2=$H136), 0))</f>
        <v>1340276000</v>
      </c>
      <c r="N136" s="11" cm="1">
        <f t="array" ref="N136">INDEX(Raw!F:FF, MATCH(N$4, Raw!$A:$A, 0), MATCH(1, (Raw!$B$1:$FB$1=$I136)*(Raw!$B$2:$FB$2=$H136), 0))</f>
        <v>0</v>
      </c>
      <c r="O136" s="11" cm="1">
        <f t="array" ref="O136">INDEX(Raw!G:FG, MATCH(O$4, Raw!$A:$A, 0), MATCH(1, (Raw!$B$1:$FB$1=$I136)*(Raw!$B$2:$FB$2=$H136), 0))</f>
        <v>1200601000</v>
      </c>
      <c r="P136" s="11" cm="1">
        <f t="array" ref="P136">INDEX(Raw!H:FH, MATCH(P$4, Raw!$A:$A, 0), MATCH(1, (Raw!$B$1:$FB$1=$I136)*(Raw!$B$2:$FB$2=$H136), 0))</f>
        <v>644703900</v>
      </c>
      <c r="Q136" s="11" cm="1">
        <f t="array" ref="Q136">INDEX(Raw!I:FI, MATCH(Q$4, Raw!$A:$A, 0), MATCH(1, (Raw!$B$1:$FB$1=$I136)*(Raw!$B$2:$FB$2=$H136), 0))</f>
        <v>9928000</v>
      </c>
      <c r="R136" s="11" cm="1">
        <f t="array" ref="R136">INDEX(Raw!J:FJ, MATCH(R$4, Raw!$A:$A, 0), MATCH(1, (Raw!$B$1:$FB$1=$I136)*(Raw!$B$2:$FB$2=$H136), 0))</f>
        <v>467805000</v>
      </c>
      <c r="S136" s="11" cm="1">
        <f t="array" ref="S136">INDEX(Raw!K:FK, MATCH(S$4, Raw!$A:$A, 0), MATCH(1, (Raw!$B$1:$FB$1=$I136)*(Raw!$B$2:$FB$2=$H136), 0))</f>
        <v>134725000</v>
      </c>
      <c r="T136" s="11" cm="1">
        <f t="array" ref="T136">INDEX(Raw!L:FL, MATCH(T$4, Raw!$A:$A, 0), MATCH(1, (Raw!$B$1:$FB$1=$I136)*(Raw!$B$2:$FB$2=$H136), 0))</f>
        <v>394172000</v>
      </c>
      <c r="U136" s="11" cm="1">
        <f t="array" ref="U136">INDEX(Raw!M:FM, MATCH(U$4, Raw!$A:$A, 0), MATCH(1, (Raw!$B$1:$FB$1=$I136)*(Raw!$B$2:$FB$2=$H136), 0))</f>
        <v>0</v>
      </c>
      <c r="V136" s="11" cm="1">
        <f t="array" ref="V136">INDEX(Raw!N:FN, MATCH(V$4, Raw!$A:$A, 0), MATCH(1, (Raw!$B$1:$FB$1=$I136)*(Raw!$B$2:$FB$2=$H136), 0))</f>
        <v>283465000</v>
      </c>
      <c r="W136" s="11" cm="1">
        <f t="array" ref="W136">INDEX(Raw!O:FO, MATCH(W$4, Raw!$A:$A, 0), MATCH(1, (Raw!$B$1:$FB$1=$I136)*(Raw!$B$2:$FB$2=$H136), 0))</f>
        <v>530986000</v>
      </c>
      <c r="X136" s="11" cm="1">
        <f t="array" ref="X136">INDEX(Raw!P:FP, MATCH(X$4, Raw!$A:$A, 0), MATCH(1, (Raw!$B$1:$FB$1=$I136)*(Raw!$B$2:$FB$2=$H136), 0))</f>
        <v>361268000</v>
      </c>
      <c r="Y136" s="11" cm="1">
        <f t="array" ref="Y136">INDEX(Raw!Q:FQ, MATCH(Y$4, Raw!$A:$A, 0), MATCH(1, (Raw!$B$1:$FB$1=$I136)*(Raw!$B$2:$FB$2=$H136), 0))</f>
        <v>0</v>
      </c>
      <c r="Z136" s="11" cm="1">
        <f t="array" ref="Z136">INDEX(Raw!R:FR, MATCH(Z$4, Raw!$A:$A, 0), MATCH(1, (Raw!$B$1:$FB$1=$I136)*(Raw!$B$2:$FB$2=$H136), 0))</f>
        <v>0</v>
      </c>
      <c r="AA136" s="11" cm="1">
        <f t="array" ref="AA136">INDEX(Raw!S:FS, MATCH(AA$4, Raw!$A:$A, 0), MATCH(1, (Raw!$B$1:$FB$1=$I136)*(Raw!$B$2:$FB$2=$H136), 0))</f>
        <v>0</v>
      </c>
      <c r="AB136" s="11" cm="1">
        <f t="array" ref="AB136">INDEX(Raw!T:FT, MATCH(AB$4, Raw!$A:$A, 0), MATCH(1, (Raw!$B$1:$FB$1=$I136)*(Raw!$B$2:$FB$2=$H136), 0))</f>
        <v>0</v>
      </c>
      <c r="AC136" s="11" cm="1">
        <f t="array" ref="AC136">INDEX(Raw!U:FU, MATCH(AC$4, Raw!$A:$A, 0), MATCH(1, (Raw!$B$1:$FB$1=$I136)*(Raw!$B$2:$FB$2=$H136), 0))</f>
        <v>51800</v>
      </c>
      <c r="AD136" s="11" cm="1">
        <f t="array" ref="AD136">INDEX(Raw!V:FV, MATCH(AD$4, Raw!$A:$A, 0), MATCH(1, (Raw!$B$1:$FB$1=$I136)*(Raw!$B$2:$FB$2=$H136), 0))</f>
        <v>356200</v>
      </c>
    </row>
    <row r="137" spans="6:30" x14ac:dyDescent="0.25">
      <c r="F137" s="11" t="s">
        <v>28</v>
      </c>
      <c r="G137" s="15">
        <f t="shared" ca="1" si="4"/>
        <v>46088</v>
      </c>
      <c r="H137" s="11">
        <f>H133-1</f>
        <v>1992</v>
      </c>
      <c r="I137" s="11" t="s">
        <v>21</v>
      </c>
      <c r="J137" s="11" cm="1">
        <f t="array" ref="J137">INDEX(Raw!B:FB, MATCH(J$4, Raw!$A:$A, 0), MATCH(1, (Raw!$B$1:$FB$1=$I137)*(Raw!$B$2:$FB$2=$H137), 0))</f>
        <v>3244091000</v>
      </c>
      <c r="K137" s="11" cm="1">
        <f t="array" ref="K137">INDEX(Raw!C:FC, MATCH(K$4, Raw!$A:$A, 0), MATCH(1, (Raw!$B$1:$FB$1=$I137)*(Raw!$B$2:$FB$2=$H137), 0))</f>
        <v>1385344000</v>
      </c>
      <c r="L137" s="11" cm="1">
        <f t="array" ref="L137">INDEX(Raw!D:FD, MATCH(L$4, Raw!$A:$A, 0), MATCH(1, (Raw!$B$1:$FB$1=$I137)*(Raw!$B$2:$FB$2=$H137), 0))</f>
        <v>2176810000</v>
      </c>
      <c r="M137" s="11" cm="1">
        <f t="array" ref="M137">INDEX(Raw!E:FE, MATCH(M$4, Raw!$A:$A, 0), MATCH(1, (Raw!$B$1:$FB$1=$I137)*(Raw!$B$2:$FB$2=$H137), 0))</f>
        <v>1160996000</v>
      </c>
      <c r="N137" s="11" cm="1">
        <f t="array" ref="N137">INDEX(Raw!F:FF, MATCH(N$4, Raw!$A:$A, 0), MATCH(1, (Raw!$B$1:$FB$1=$I137)*(Raw!$B$2:$FB$2=$H137), 0))</f>
        <v>0</v>
      </c>
      <c r="O137" s="11" cm="1">
        <f t="array" ref="O137">INDEX(Raw!G:FG, MATCH(O$4, Raw!$A:$A, 0), MATCH(1, (Raw!$B$1:$FB$1=$I137)*(Raw!$B$2:$FB$2=$H137), 0))</f>
        <v>1220156000</v>
      </c>
      <c r="P137" s="11" cm="1">
        <f t="array" ref="P137">INDEX(Raw!H:FH, MATCH(P$4, Raw!$A:$A, 0), MATCH(1, (Raw!$B$1:$FB$1=$I137)*(Raw!$B$2:$FB$2=$H137), 0))</f>
        <v>693266800</v>
      </c>
      <c r="Q137" s="11" cm="1">
        <f t="array" ref="Q137">INDEX(Raw!I:FI, MATCH(Q$4, Raw!$A:$A, 0), MATCH(1, (Raw!$B$1:$FB$1=$I137)*(Raw!$B$2:$FB$2=$H137), 0))</f>
        <v>-26191000</v>
      </c>
      <c r="R137" s="11" cm="1">
        <f t="array" ref="R137">INDEX(Raw!J:FJ, MATCH(R$4, Raw!$A:$A, 0), MATCH(1, (Raw!$B$1:$FB$1=$I137)*(Raw!$B$2:$FB$2=$H137), 0))</f>
        <v>429060000</v>
      </c>
      <c r="S137" s="11" cm="1">
        <f t="array" ref="S137">INDEX(Raw!K:FK, MATCH(S$4, Raw!$A:$A, 0), MATCH(1, (Raw!$B$1:$FB$1=$I137)*(Raw!$B$2:$FB$2=$H137), 0))</f>
        <v>180422000</v>
      </c>
      <c r="T137" s="11" cm="1">
        <f t="array" ref="T137">INDEX(Raw!L:FL, MATCH(T$4, Raw!$A:$A, 0), MATCH(1, (Raw!$B$1:$FB$1=$I137)*(Raw!$B$2:$FB$2=$H137), 0))</f>
        <v>409932000</v>
      </c>
      <c r="U137" s="11" cm="1">
        <f t="array" ref="U137">INDEX(Raw!M:FM, MATCH(U$4, Raw!$A:$A, 0), MATCH(1, (Raw!$B$1:$FB$1=$I137)*(Raw!$B$2:$FB$2=$H137), 0))</f>
        <v>0</v>
      </c>
      <c r="V137" s="11" cm="1">
        <f t="array" ref="V137">INDEX(Raw!N:FN, MATCH(V$4, Raw!$A:$A, 0), MATCH(1, (Raw!$B$1:$FB$1=$I137)*(Raw!$B$2:$FB$2=$H137), 0))</f>
        <v>226243000</v>
      </c>
      <c r="W137" s="11" cm="1">
        <f t="array" ref="W137">INDEX(Raw!O:FO, MATCH(W$4, Raw!$A:$A, 0), MATCH(1, (Raw!$B$1:$FB$1=$I137)*(Raw!$B$2:$FB$2=$H137), 0))</f>
        <v>0</v>
      </c>
      <c r="X137" s="11" cm="1">
        <f t="array" ref="X137">INDEX(Raw!P:FP, MATCH(X$4, Raw!$A:$A, 0), MATCH(1, (Raw!$B$1:$FB$1=$I137)*(Raw!$B$2:$FB$2=$H137), 0))</f>
        <v>345519000</v>
      </c>
      <c r="Y137" s="11" cm="1">
        <f t="array" ref="Y137">INDEX(Raw!Q:FQ, MATCH(Y$4, Raw!$A:$A, 0), MATCH(1, (Raw!$B$1:$FB$1=$I137)*(Raw!$B$2:$FB$2=$H137), 0))</f>
        <v>0</v>
      </c>
      <c r="Z137" s="11" cm="1">
        <f t="array" ref="Z137">INDEX(Raw!R:FR, MATCH(Z$4, Raw!$A:$A, 0), MATCH(1, (Raw!$B$1:$FB$1=$I137)*(Raw!$B$2:$FB$2=$H137), 0))</f>
        <v>0</v>
      </c>
      <c r="AA137" s="11" cm="1">
        <f t="array" ref="AA137">INDEX(Raw!S:FS, MATCH(AA$4, Raw!$A:$A, 0), MATCH(1, (Raw!$B$1:$FB$1=$I137)*(Raw!$B$2:$FB$2=$H137), 0))</f>
        <v>0</v>
      </c>
      <c r="AB137" s="11" cm="1">
        <f t="array" ref="AB137">INDEX(Raw!T:FT, MATCH(AB$4, Raw!$A:$A, 0), MATCH(1, (Raw!$B$1:$FB$1=$I137)*(Raw!$B$2:$FB$2=$H137), 0))</f>
        <v>0</v>
      </c>
      <c r="AC137" s="11" cm="1">
        <f t="array" ref="AC137">INDEX(Raw!U:FU, MATCH(AC$4, Raw!$A:$A, 0), MATCH(1, (Raw!$B$1:$FB$1=$I137)*(Raw!$B$2:$FB$2=$H137), 0))</f>
        <v>356200</v>
      </c>
      <c r="AD137" s="11" cm="1">
        <f t="array" ref="AD137">INDEX(Raw!V:FV, MATCH(AD$4, Raw!$A:$A, 0), MATCH(1, (Raw!$B$1:$FB$1=$I137)*(Raw!$B$2:$FB$2=$H137), 0))</f>
        <v>32400</v>
      </c>
    </row>
    <row r="138" spans="6:30" x14ac:dyDescent="0.25">
      <c r="F138" s="11" t="s">
        <v>28</v>
      </c>
      <c r="G138" s="15">
        <f t="shared" ca="1" si="4"/>
        <v>46088</v>
      </c>
      <c r="H138" s="11">
        <f>H137</f>
        <v>1992</v>
      </c>
      <c r="I138" s="11" t="s">
        <v>22</v>
      </c>
      <c r="J138" s="11" cm="1">
        <f t="array" ref="J138">INDEX(Raw!B:FB, MATCH(J$4, Raw!$A:$A, 0), MATCH(1, (Raw!$B$1:$FB$1=$I138)*(Raw!$B$2:$FB$2=$H138), 0))</f>
        <v>3507503000</v>
      </c>
      <c r="K138" s="11" cm="1">
        <f t="array" ref="K138">INDEX(Raw!C:FC, MATCH(K$4, Raw!$A:$A, 0), MATCH(1, (Raw!$B$1:$FB$1=$I138)*(Raw!$B$2:$FB$2=$H138), 0))</f>
        <v>1373563000</v>
      </c>
      <c r="L138" s="11" cm="1">
        <f t="array" ref="L138">INDEX(Raw!D:FD, MATCH(L$4, Raw!$A:$A, 0), MATCH(1, (Raw!$B$1:$FB$1=$I138)*(Raw!$B$2:$FB$2=$H138), 0))</f>
        <v>1740481000</v>
      </c>
      <c r="M138" s="11" cm="1">
        <f t="array" ref="M138">INDEX(Raw!E:FE, MATCH(M$4, Raw!$A:$A, 0), MATCH(1, (Raw!$B$1:$FB$1=$I138)*(Raw!$B$2:$FB$2=$H138), 0))</f>
        <v>1200601000</v>
      </c>
      <c r="N138" s="11" cm="1">
        <f t="array" ref="N138">INDEX(Raw!F:FF, MATCH(N$4, Raw!$A:$A, 0), MATCH(1, (Raw!$B$1:$FB$1=$I138)*(Raw!$B$2:$FB$2=$H138), 0))</f>
        <v>0</v>
      </c>
      <c r="O138" s="11" cm="1">
        <f t="array" ref="O138">INDEX(Raw!G:FG, MATCH(O$4, Raw!$A:$A, 0), MATCH(1, (Raw!$B$1:$FB$1=$I138)*(Raw!$B$2:$FB$2=$H138), 0))</f>
        <v>1160498000</v>
      </c>
      <c r="P138" s="11" cm="1">
        <f t="array" ref="P138">INDEX(Raw!H:FH, MATCH(P$4, Raw!$A:$A, 0), MATCH(1, (Raw!$B$1:$FB$1=$I138)*(Raw!$B$2:$FB$2=$H138), 0))</f>
        <v>493996100</v>
      </c>
      <c r="Q138" s="11" cm="1">
        <f t="array" ref="Q138">INDEX(Raw!I:FI, MATCH(Q$4, Raw!$A:$A, 0), MATCH(1, (Raw!$B$1:$FB$1=$I138)*(Raw!$B$2:$FB$2=$H138), 0))</f>
        <v>7591000</v>
      </c>
      <c r="R138" s="11" cm="1">
        <f t="array" ref="R138">INDEX(Raw!J:FJ, MATCH(R$4, Raw!$A:$A, 0), MATCH(1, (Raw!$B$1:$FB$1=$I138)*(Raw!$B$2:$FB$2=$H138), 0))</f>
        <v>574594000</v>
      </c>
      <c r="S138" s="11" cm="1">
        <f t="array" ref="S138">INDEX(Raw!K:FK, MATCH(S$4, Raw!$A:$A, 0), MATCH(1, (Raw!$B$1:$FB$1=$I138)*(Raw!$B$2:$FB$2=$H138), 0))</f>
        <v>187637000</v>
      </c>
      <c r="T138" s="11" cm="1">
        <f t="array" ref="T138">INDEX(Raw!L:FL, MATCH(T$4, Raw!$A:$A, 0), MATCH(1, (Raw!$B$1:$FB$1=$I138)*(Raw!$B$2:$FB$2=$H138), 0))</f>
        <v>283465000</v>
      </c>
      <c r="U138" s="11" cm="1">
        <f t="array" ref="U138">INDEX(Raw!M:FM, MATCH(U$4, Raw!$A:$A, 0), MATCH(1, (Raw!$B$1:$FB$1=$I138)*(Raw!$B$2:$FB$2=$H138), 0))</f>
        <v>0</v>
      </c>
      <c r="V138" s="11" cm="1">
        <f t="array" ref="V138">INDEX(Raw!N:FN, MATCH(V$4, Raw!$A:$A, 0), MATCH(1, (Raw!$B$1:$FB$1=$I138)*(Raw!$B$2:$FB$2=$H138), 0))</f>
        <v>361268000</v>
      </c>
      <c r="W138" s="11" cm="1">
        <f t="array" ref="W138">INDEX(Raw!O:FO, MATCH(W$4, Raw!$A:$A, 0), MATCH(1, (Raw!$B$1:$FB$1=$I138)*(Raw!$B$2:$FB$2=$H138), 0))</f>
        <v>0</v>
      </c>
      <c r="X138" s="11" cm="1">
        <f t="array" ref="X138">INDEX(Raw!P:FP, MATCH(X$4, Raw!$A:$A, 0), MATCH(1, (Raw!$B$1:$FB$1=$I138)*(Raw!$B$2:$FB$2=$H138), 0))</f>
        <v>259809000.00000003</v>
      </c>
      <c r="Y138" s="11" cm="1">
        <f t="array" ref="Y138">INDEX(Raw!Q:FQ, MATCH(Y$4, Raw!$A:$A, 0), MATCH(1, (Raw!$B$1:$FB$1=$I138)*(Raw!$B$2:$FB$2=$H138), 0))</f>
        <v>0</v>
      </c>
      <c r="Z138" s="11" cm="1">
        <f t="array" ref="Z138">INDEX(Raw!R:FR, MATCH(Z$4, Raw!$A:$A, 0), MATCH(1, (Raw!$B$1:$FB$1=$I138)*(Raw!$B$2:$FB$2=$H138), 0))</f>
        <v>0</v>
      </c>
      <c r="AA138" s="11" cm="1">
        <f t="array" ref="AA138">INDEX(Raw!S:FS, MATCH(AA$4, Raw!$A:$A, 0), MATCH(1, (Raw!$B$1:$FB$1=$I138)*(Raw!$B$2:$FB$2=$H138), 0))</f>
        <v>0</v>
      </c>
      <c r="AB138" s="11" cm="1">
        <f t="array" ref="AB138">INDEX(Raw!T:FT, MATCH(AB$4, Raw!$A:$A, 0), MATCH(1, (Raw!$B$1:$FB$1=$I138)*(Raw!$B$2:$FB$2=$H138), 0))</f>
        <v>0</v>
      </c>
      <c r="AC138" s="11" cm="1">
        <f t="array" ref="AC138">INDEX(Raw!U:FU, MATCH(AC$4, Raw!$A:$A, 0), MATCH(1, (Raw!$B$1:$FB$1=$I138)*(Raw!$B$2:$FB$2=$H138), 0))</f>
        <v>32400</v>
      </c>
      <c r="AD138" s="11" cm="1">
        <f t="array" ref="AD138">INDEX(Raw!V:FV, MATCH(AD$4, Raw!$A:$A, 0), MATCH(1, (Raw!$B$1:$FB$1=$I138)*(Raw!$B$2:$FB$2=$H138), 0))</f>
        <v>45200</v>
      </c>
    </row>
    <row r="139" spans="6:30" x14ac:dyDescent="0.25">
      <c r="F139" s="11" t="s">
        <v>28</v>
      </c>
      <c r="G139" s="15">
        <f t="shared" ca="1" si="4"/>
        <v>46088</v>
      </c>
      <c r="H139" s="11">
        <f>H138</f>
        <v>1992</v>
      </c>
      <c r="I139" s="11" t="s">
        <v>23</v>
      </c>
      <c r="J139" s="11" cm="1">
        <f t="array" ref="J139">INDEX(Raw!B:FB, MATCH(J$4, Raw!$A:$A, 0), MATCH(1, (Raw!$B$1:$FB$1=$I139)*(Raw!$B$2:$FB$2=$H139), 0))</f>
        <v>3550373000</v>
      </c>
      <c r="K139" s="11" cm="1">
        <f t="array" ref="K139">INDEX(Raw!C:FC, MATCH(K$4, Raw!$A:$A, 0), MATCH(1, (Raw!$B$1:$FB$1=$I139)*(Raw!$B$2:$FB$2=$H139), 0))</f>
        <v>1031519000</v>
      </c>
      <c r="L139" s="11" cm="1">
        <f t="array" ref="L139">INDEX(Raw!D:FD, MATCH(L$4, Raw!$A:$A, 0), MATCH(1, (Raw!$B$1:$FB$1=$I139)*(Raw!$B$2:$FB$2=$H139), 0))</f>
        <v>1687679000</v>
      </c>
      <c r="M139" s="11" cm="1">
        <f t="array" ref="M139">INDEX(Raw!E:FE, MATCH(M$4, Raw!$A:$A, 0), MATCH(1, (Raw!$B$1:$FB$1=$I139)*(Raw!$B$2:$FB$2=$H139), 0))</f>
        <v>1220156000</v>
      </c>
      <c r="N139" s="11" cm="1">
        <f t="array" ref="N139">INDEX(Raw!F:FF, MATCH(N$4, Raw!$A:$A, 0), MATCH(1, (Raw!$B$1:$FB$1=$I139)*(Raw!$B$2:$FB$2=$H139), 0))</f>
        <v>0</v>
      </c>
      <c r="O139" s="11" cm="1">
        <f t="array" ref="O139">INDEX(Raw!G:FG, MATCH(O$4, Raw!$A:$A, 0), MATCH(1, (Raw!$B$1:$FB$1=$I139)*(Raw!$B$2:$FB$2=$H139), 0))</f>
        <v>1022929000</v>
      </c>
      <c r="P139" s="11" cm="1">
        <f t="array" ref="P139">INDEX(Raw!H:FH, MATCH(P$4, Raw!$A:$A, 0), MATCH(1, (Raw!$B$1:$FB$1=$I139)*(Raw!$B$2:$FB$2=$H139), 0))</f>
        <v>421468000</v>
      </c>
      <c r="Q139" s="11" cm="1">
        <f t="array" ref="Q139">INDEX(Raw!I:FI, MATCH(Q$4, Raw!$A:$A, 0), MATCH(1, (Raw!$B$1:$FB$1=$I139)*(Raw!$B$2:$FB$2=$H139), 0))</f>
        <v>62164000</v>
      </c>
      <c r="R139" s="11" cm="1">
        <f t="array" ref="R139">INDEX(Raw!J:FJ, MATCH(R$4, Raw!$A:$A, 0), MATCH(1, (Raw!$B$1:$FB$1=$I139)*(Raw!$B$2:$FB$2=$H139), 0))</f>
        <v>597569000</v>
      </c>
      <c r="S139" s="11" cm="1">
        <f t="array" ref="S139">INDEX(Raw!K:FK, MATCH(S$4, Raw!$A:$A, 0), MATCH(1, (Raw!$B$1:$FB$1=$I139)*(Raw!$B$2:$FB$2=$H139), 0))</f>
        <v>129747999.99999999</v>
      </c>
      <c r="T139" s="11" cm="1">
        <f t="array" ref="T139">INDEX(Raw!L:FL, MATCH(T$4, Raw!$A:$A, 0), MATCH(1, (Raw!$B$1:$FB$1=$I139)*(Raw!$B$2:$FB$2=$H139), 0))</f>
        <v>226243000</v>
      </c>
      <c r="U139" s="11" cm="1">
        <f t="array" ref="U139">INDEX(Raw!M:FM, MATCH(U$4, Raw!$A:$A, 0), MATCH(1, (Raw!$B$1:$FB$1=$I139)*(Raw!$B$2:$FB$2=$H139), 0))</f>
        <v>0</v>
      </c>
      <c r="V139" s="11" cm="1">
        <f t="array" ref="V139">INDEX(Raw!N:FN, MATCH(V$4, Raw!$A:$A, 0), MATCH(1, (Raw!$B$1:$FB$1=$I139)*(Raw!$B$2:$FB$2=$H139), 0))</f>
        <v>345519000</v>
      </c>
      <c r="W139" s="11" cm="1">
        <f t="array" ref="W139">INDEX(Raw!O:FO, MATCH(W$4, Raw!$A:$A, 0), MATCH(1, (Raw!$B$1:$FB$1=$I139)*(Raw!$B$2:$FB$2=$H139), 0))</f>
        <v>0</v>
      </c>
      <c r="X139" s="11" cm="1">
        <f t="array" ref="X139">INDEX(Raw!P:FP, MATCH(X$4, Raw!$A:$A, 0), MATCH(1, (Raw!$B$1:$FB$1=$I139)*(Raw!$B$2:$FB$2=$H139), 0))</f>
        <v>235491000</v>
      </c>
      <c r="Y139" s="11" cm="1">
        <f t="array" ref="Y139">INDEX(Raw!Q:FQ, MATCH(Y$4, Raw!$A:$A, 0), MATCH(1, (Raw!$B$1:$FB$1=$I139)*(Raw!$B$2:$FB$2=$H139), 0))</f>
        <v>0</v>
      </c>
      <c r="Z139" s="11" cm="1">
        <f t="array" ref="Z139">INDEX(Raw!R:FR, MATCH(Z$4, Raw!$A:$A, 0), MATCH(1, (Raw!$B$1:$FB$1=$I139)*(Raw!$B$2:$FB$2=$H139), 0))</f>
        <v>0</v>
      </c>
      <c r="AA139" s="11" cm="1">
        <f t="array" ref="AA139">INDEX(Raw!S:FS, MATCH(AA$4, Raw!$A:$A, 0), MATCH(1, (Raw!$B$1:$FB$1=$I139)*(Raw!$B$2:$FB$2=$H139), 0))</f>
        <v>0</v>
      </c>
      <c r="AB139" s="11" cm="1">
        <f t="array" ref="AB139">INDEX(Raw!T:FT, MATCH(AB$4, Raw!$A:$A, 0), MATCH(1, (Raw!$B$1:$FB$1=$I139)*(Raw!$B$2:$FB$2=$H139), 0))</f>
        <v>0</v>
      </c>
      <c r="AC139" s="11" cm="1">
        <f t="array" ref="AC139">INDEX(Raw!U:FU, MATCH(AC$4, Raw!$A:$A, 0), MATCH(1, (Raw!$B$1:$FB$1=$I139)*(Raw!$B$2:$FB$2=$H139), 0))</f>
        <v>45200</v>
      </c>
      <c r="AD139" s="11" cm="1">
        <f t="array" ref="AD139">INDEX(Raw!V:FV, MATCH(AD$4, Raw!$A:$A, 0), MATCH(1, (Raw!$B$1:$FB$1=$I139)*(Raw!$B$2:$FB$2=$H139), 0))</f>
        <v>44200</v>
      </c>
    </row>
    <row r="140" spans="6:30" x14ac:dyDescent="0.25">
      <c r="F140" s="11" t="s">
        <v>28</v>
      </c>
      <c r="G140" s="15">
        <f t="shared" ca="1" si="4"/>
        <v>46088</v>
      </c>
      <c r="H140" s="11">
        <f>H139</f>
        <v>1992</v>
      </c>
      <c r="I140" s="11" t="s">
        <v>24</v>
      </c>
      <c r="J140" s="11" cm="1">
        <f t="array" ref="J140">INDEX(Raw!B:FB, MATCH(J$4, Raw!$A:$A, 0), MATCH(1, (Raw!$B$1:$FB$1=$I140)*(Raw!$B$2:$FB$2=$H140), 0))</f>
        <v>2772000000</v>
      </c>
      <c r="K140" s="11" cm="1">
        <f t="array" ref="K140">INDEX(Raw!C:FC, MATCH(K$4, Raw!$A:$A, 0), MATCH(1, (Raw!$B$1:$FB$1=$I140)*(Raw!$B$2:$FB$2=$H140), 0))</f>
        <v>1191322000</v>
      </c>
      <c r="L140" s="11" cm="1">
        <f t="array" ref="L140">INDEX(Raw!D:FD, MATCH(L$4, Raw!$A:$A, 0), MATCH(1, (Raw!$B$1:$FB$1=$I140)*(Raw!$B$2:$FB$2=$H140), 0))</f>
        <v>1864860000</v>
      </c>
      <c r="M140" s="11" cm="1">
        <f t="array" ref="M140">INDEX(Raw!E:FE, MATCH(M$4, Raw!$A:$A, 0), MATCH(1, (Raw!$B$1:$FB$1=$I140)*(Raw!$B$2:$FB$2=$H140), 0))</f>
        <v>1160498000</v>
      </c>
      <c r="N140" s="11" cm="1">
        <f t="array" ref="N140">INDEX(Raw!F:FF, MATCH(N$4, Raw!$A:$A, 0), MATCH(1, (Raw!$B$1:$FB$1=$I140)*(Raw!$B$2:$FB$2=$H140), 0))</f>
        <v>0</v>
      </c>
      <c r="O140" s="11" cm="1">
        <f t="array" ref="O140">INDEX(Raw!G:FG, MATCH(O$4, Raw!$A:$A, 0), MATCH(1, (Raw!$B$1:$FB$1=$I140)*(Raw!$B$2:$FB$2=$H140), 0))</f>
        <v>1059328000</v>
      </c>
      <c r="P140" s="11" cm="1">
        <f t="array" ref="P140">INDEX(Raw!H:FH, MATCH(P$4, Raw!$A:$A, 0), MATCH(1, (Raw!$B$1:$FB$1=$I140)*(Raw!$B$2:$FB$2=$H140), 0))</f>
        <v>512429900</v>
      </c>
      <c r="Q140" s="11" cm="1">
        <f t="array" ref="Q140">INDEX(Raw!I:FI, MATCH(Q$4, Raw!$A:$A, 0), MATCH(1, (Raw!$B$1:$FB$1=$I140)*(Raw!$B$2:$FB$2=$H140), 0))</f>
        <v>17887000</v>
      </c>
      <c r="R140" s="11" cm="1">
        <f t="array" ref="R140">INDEX(Raw!J:FJ, MATCH(R$4, Raw!$A:$A, 0), MATCH(1, (Raw!$B$1:$FB$1=$I140)*(Raw!$B$2:$FB$2=$H140), 0))</f>
        <v>413213000</v>
      </c>
      <c r="S140" s="11" cm="1">
        <f t="array" ref="S140">INDEX(Raw!K:FK, MATCH(S$4, Raw!$A:$A, 0), MATCH(1, (Raw!$B$1:$FB$1=$I140)*(Raw!$B$2:$FB$2=$H140), 0))</f>
        <v>116602000</v>
      </c>
      <c r="T140" s="11" cm="1">
        <f t="array" ref="T140">INDEX(Raw!L:FL, MATCH(T$4, Raw!$A:$A, 0), MATCH(1, (Raw!$B$1:$FB$1=$I140)*(Raw!$B$2:$FB$2=$H140), 0))</f>
        <v>361268000</v>
      </c>
      <c r="U140" s="11" cm="1">
        <f t="array" ref="U140">INDEX(Raw!M:FM, MATCH(U$4, Raw!$A:$A, 0), MATCH(1, (Raw!$B$1:$FB$1=$I140)*(Raw!$B$2:$FB$2=$H140), 0))</f>
        <v>0</v>
      </c>
      <c r="V140" s="11" cm="1">
        <f t="array" ref="V140">INDEX(Raw!N:FN, MATCH(V$4, Raw!$A:$A, 0), MATCH(1, (Raw!$B$1:$FB$1=$I140)*(Raw!$B$2:$FB$2=$H140), 0))</f>
        <v>259809000.00000003</v>
      </c>
      <c r="W140" s="11" cm="1">
        <f t="array" ref="W140">INDEX(Raw!O:FO, MATCH(W$4, Raw!$A:$A, 0), MATCH(1, (Raw!$B$1:$FB$1=$I140)*(Raw!$B$2:$FB$2=$H140), 0))</f>
        <v>0</v>
      </c>
      <c r="X140" s="11" cm="1">
        <f t="array" ref="X140">INDEX(Raw!P:FP, MATCH(X$4, Raw!$A:$A, 0), MATCH(1, (Raw!$B$1:$FB$1=$I140)*(Raw!$B$2:$FB$2=$H140), 0))</f>
        <v>295616000</v>
      </c>
      <c r="Y140" s="11" cm="1">
        <f t="array" ref="Y140">INDEX(Raw!Q:FQ, MATCH(Y$4, Raw!$A:$A, 0), MATCH(1, (Raw!$B$1:$FB$1=$I140)*(Raw!$B$2:$FB$2=$H140), 0))</f>
        <v>0</v>
      </c>
      <c r="Z140" s="11" cm="1">
        <f t="array" ref="Z140">INDEX(Raw!R:FR, MATCH(Z$4, Raw!$A:$A, 0), MATCH(1, (Raw!$B$1:$FB$1=$I140)*(Raw!$B$2:$FB$2=$H140), 0))</f>
        <v>0</v>
      </c>
      <c r="AA140" s="11" cm="1">
        <f t="array" ref="AA140">INDEX(Raw!S:FS, MATCH(AA$4, Raw!$A:$A, 0), MATCH(1, (Raw!$B$1:$FB$1=$I140)*(Raw!$B$2:$FB$2=$H140), 0))</f>
        <v>0</v>
      </c>
      <c r="AB140" s="11" cm="1">
        <f t="array" ref="AB140">INDEX(Raw!T:FT, MATCH(AB$4, Raw!$A:$A, 0), MATCH(1, (Raw!$B$1:$FB$1=$I140)*(Raw!$B$2:$FB$2=$H140), 0))</f>
        <v>0</v>
      </c>
      <c r="AC140" s="11" cm="1">
        <f t="array" ref="AC140">INDEX(Raw!U:FU, MATCH(AC$4, Raw!$A:$A, 0), MATCH(1, (Raw!$B$1:$FB$1=$I140)*(Raw!$B$2:$FB$2=$H140), 0))</f>
        <v>44200</v>
      </c>
      <c r="AD140" s="11" cm="1">
        <f t="array" ref="AD140">INDEX(Raw!V:FV, MATCH(AD$4, Raw!$A:$A, 0), MATCH(1, (Raw!$B$1:$FB$1=$I140)*(Raw!$B$2:$FB$2=$H140), 0))</f>
        <v>30700</v>
      </c>
    </row>
    <row r="141" spans="6:30" x14ac:dyDescent="0.25">
      <c r="F141" s="11" t="s">
        <v>28</v>
      </c>
      <c r="G141" s="15">
        <f t="shared" ca="1" si="4"/>
        <v>46088</v>
      </c>
      <c r="H141" s="11">
        <f>H137-1</f>
        <v>1991</v>
      </c>
      <c r="I141" s="11" t="s">
        <v>21</v>
      </c>
      <c r="J141" s="11" cm="1">
        <f t="array" ref="J141">INDEX(Raw!B:FB, MATCH(J$4, Raw!$A:$A, 0), MATCH(1, (Raw!$B$1:$FB$1=$I141)*(Raw!$B$2:$FB$2=$H141), 0))</f>
        <v>2879001000</v>
      </c>
      <c r="K141" s="11" cm="1">
        <f t="array" ref="K141">INDEX(Raw!C:FC, MATCH(K$4, Raw!$A:$A, 0), MATCH(1, (Raw!$B$1:$FB$1=$I141)*(Raw!$B$2:$FB$2=$H141), 0))</f>
        <v>1307256000</v>
      </c>
      <c r="L141" s="11" cm="1">
        <f t="array" ref="L141">INDEX(Raw!D:FD, MATCH(L$4, Raw!$A:$A, 0), MATCH(1, (Raw!$B$1:$FB$1=$I141)*(Raw!$B$2:$FB$2=$H141), 0))</f>
        <v>1853765000</v>
      </c>
      <c r="M141" s="11" cm="1">
        <f t="array" ref="M141">INDEX(Raw!E:FE, MATCH(M$4, Raw!$A:$A, 0), MATCH(1, (Raw!$B$1:$FB$1=$I141)*(Raw!$B$2:$FB$2=$H141), 0))</f>
        <v>1022929000</v>
      </c>
      <c r="N141" s="11" cm="1">
        <f t="array" ref="N141">INDEX(Raw!F:FF, MATCH(N$4, Raw!$A:$A, 0), MATCH(1, (Raw!$B$1:$FB$1=$I141)*(Raw!$B$2:$FB$2=$H141), 0))</f>
        <v>0</v>
      </c>
      <c r="O141" s="11" cm="1">
        <f t="array" ref="O141">INDEX(Raw!G:FG, MATCH(O$4, Raw!$A:$A, 0), MATCH(1, (Raw!$B$1:$FB$1=$I141)*(Raw!$B$2:$FB$2=$H141), 0))</f>
        <v>1113039000</v>
      </c>
      <c r="P141" s="11" cm="1">
        <f t="array" ref="P141">INDEX(Raw!H:FH, MATCH(P$4, Raw!$A:$A, 0), MATCH(1, (Raw!$B$1:$FB$1=$I141)*(Raw!$B$2:$FB$2=$H141), 0))</f>
        <v>579682100</v>
      </c>
      <c r="Q141" s="11" cm="1">
        <f t="array" ref="Q141">INDEX(Raw!I:FI, MATCH(Q$4, Raw!$A:$A, 0), MATCH(1, (Raw!$B$1:$FB$1=$I141)*(Raw!$B$2:$FB$2=$H141), 0))</f>
        <v>-24770000</v>
      </c>
      <c r="R141" s="11" cm="1">
        <f t="array" ref="R141">INDEX(Raw!J:FJ, MATCH(R$4, Raw!$A:$A, 0), MATCH(1, (Raw!$B$1:$FB$1=$I141)*(Raw!$B$2:$FB$2=$H141), 0))</f>
        <v>342845000</v>
      </c>
      <c r="S141" s="11" cm="1">
        <f t="array" ref="S141">INDEX(Raw!K:FK, MATCH(S$4, Raw!$A:$A, 0), MATCH(1, (Raw!$B$1:$FB$1=$I141)*(Raw!$B$2:$FB$2=$H141), 0))</f>
        <v>170009000</v>
      </c>
      <c r="T141" s="11" cm="1">
        <f t="array" ref="T141">INDEX(Raw!L:FL, MATCH(T$4, Raw!$A:$A, 0), MATCH(1, (Raw!$B$1:$FB$1=$I141)*(Raw!$B$2:$FB$2=$H141), 0))</f>
        <v>345519000</v>
      </c>
      <c r="U141" s="11" cm="1">
        <f t="array" ref="U141">INDEX(Raw!M:FM, MATCH(U$4, Raw!$A:$A, 0), MATCH(1, (Raw!$B$1:$FB$1=$I141)*(Raw!$B$2:$FB$2=$H141), 0))</f>
        <v>0</v>
      </c>
      <c r="V141" s="11" cm="1">
        <f t="array" ref="V141">INDEX(Raw!N:FN, MATCH(V$4, Raw!$A:$A, 0), MATCH(1, (Raw!$B$1:$FB$1=$I141)*(Raw!$B$2:$FB$2=$H141), 0))</f>
        <v>235491000</v>
      </c>
      <c r="W141" s="11" cm="1">
        <f t="array" ref="W141">INDEX(Raw!O:FO, MATCH(W$4, Raw!$A:$A, 0), MATCH(1, (Raw!$B$1:$FB$1=$I141)*(Raw!$B$2:$FB$2=$H141), 0))</f>
        <v>0</v>
      </c>
      <c r="X141" s="11" cm="1">
        <f t="array" ref="X141">INDEX(Raw!P:FP, MATCH(X$4, Raw!$A:$A, 0), MATCH(1, (Raw!$B$1:$FB$1=$I141)*(Raw!$B$2:$FB$2=$H141), 0))</f>
        <v>303058000</v>
      </c>
      <c r="Y141" s="11" cm="1">
        <f t="array" ref="Y141">INDEX(Raw!Q:FQ, MATCH(Y$4, Raw!$A:$A, 0), MATCH(1, (Raw!$B$1:$FB$1=$I141)*(Raw!$B$2:$FB$2=$H141), 0))</f>
        <v>0</v>
      </c>
      <c r="Z141" s="11" cm="1">
        <f t="array" ref="Z141">INDEX(Raw!R:FR, MATCH(Z$4, Raw!$A:$A, 0), MATCH(1, (Raw!$B$1:$FB$1=$I141)*(Raw!$B$2:$FB$2=$H141), 0))</f>
        <v>0</v>
      </c>
      <c r="AA141" s="11" cm="1">
        <f t="array" ref="AA141">INDEX(Raw!S:FS, MATCH(AA$4, Raw!$A:$A, 0), MATCH(1, (Raw!$B$1:$FB$1=$I141)*(Raw!$B$2:$FB$2=$H141), 0))</f>
        <v>0</v>
      </c>
      <c r="AB141" s="11" cm="1">
        <f t="array" ref="AB141">INDEX(Raw!T:FT, MATCH(AB$4, Raw!$A:$A, 0), MATCH(1, (Raw!$B$1:$FB$1=$I141)*(Raw!$B$2:$FB$2=$H141), 0))</f>
        <v>0</v>
      </c>
      <c r="AC141" s="11" cm="1">
        <f t="array" ref="AC141">INDEX(Raw!U:FU, MATCH(AC$4, Raw!$A:$A, 0), MATCH(1, (Raw!$B$1:$FB$1=$I141)*(Raw!$B$2:$FB$2=$H141), 0))</f>
        <v>30700</v>
      </c>
      <c r="AD141" s="11" cm="1">
        <f t="array" ref="AD141">INDEX(Raw!V:FV, MATCH(AD$4, Raw!$A:$A, 0), MATCH(1, (Raw!$B$1:$FB$1=$I141)*(Raw!$B$2:$FB$2=$H141), 0))</f>
        <v>0</v>
      </c>
    </row>
    <row r="142" spans="6:30" x14ac:dyDescent="0.25">
      <c r="F142" s="11" t="s">
        <v>28</v>
      </c>
      <c r="G142" s="15">
        <f t="shared" ca="1" si="4"/>
        <v>46088</v>
      </c>
      <c r="H142" s="11">
        <f>H141</f>
        <v>1991</v>
      </c>
      <c r="I142" s="11" t="s">
        <v>22</v>
      </c>
      <c r="J142" s="11" cm="1">
        <f t="array" ref="J142">INDEX(Raw!B:FB, MATCH(J$4, Raw!$A:$A, 0), MATCH(1, (Raw!$B$1:$FB$1=$I142)*(Raw!$B$2:$FB$2=$H142), 0))</f>
        <v>3172116000</v>
      </c>
      <c r="K142" s="11" cm="1">
        <f t="array" ref="K142">INDEX(Raw!C:FC, MATCH(K$4, Raw!$A:$A, 0), MATCH(1, (Raw!$B$1:$FB$1=$I142)*(Raw!$B$2:$FB$2=$H142), 0))</f>
        <v>1185758000</v>
      </c>
      <c r="L142" s="11" cm="1">
        <f t="array" ref="L142">INDEX(Raw!D:FD, MATCH(L$4, Raw!$A:$A, 0), MATCH(1, (Raw!$B$1:$FB$1=$I142)*(Raw!$B$2:$FB$2=$H142), 0))</f>
        <v>1516925000</v>
      </c>
      <c r="M142" s="11" cm="1">
        <f t="array" ref="M142">INDEX(Raw!E:FE, MATCH(M$4, Raw!$A:$A, 0), MATCH(1, (Raw!$B$1:$FB$1=$I142)*(Raw!$B$2:$FB$2=$H142), 0))</f>
        <v>1059328000</v>
      </c>
      <c r="N142" s="11" cm="1">
        <f t="array" ref="N142">INDEX(Raw!F:FF, MATCH(N$4, Raw!$A:$A, 0), MATCH(1, (Raw!$B$1:$FB$1=$I142)*(Raw!$B$2:$FB$2=$H142), 0))</f>
        <v>0</v>
      </c>
      <c r="O142" s="11" cm="1">
        <f t="array" ref="O142">INDEX(Raw!G:FG, MATCH(O$4, Raw!$A:$A, 0), MATCH(1, (Raw!$B$1:$FB$1=$I142)*(Raw!$B$2:$FB$2=$H142), 0))</f>
        <v>1059741000</v>
      </c>
      <c r="P142" s="11" cm="1">
        <f t="array" ref="P142">INDEX(Raw!H:FH, MATCH(P$4, Raw!$A:$A, 0), MATCH(1, (Raw!$B$1:$FB$1=$I142)*(Raw!$B$2:$FB$2=$H142), 0))</f>
        <v>437983200</v>
      </c>
      <c r="Q142" s="11" cm="1">
        <f t="array" ref="Q142">INDEX(Raw!I:FI, MATCH(Q$4, Raw!$A:$A, 0), MATCH(1, (Raw!$B$1:$FB$1=$I142)*(Raw!$B$2:$FB$2=$H142), 0))</f>
        <v>-38910000</v>
      </c>
      <c r="R142" s="11" cm="1">
        <f t="array" ref="R142">INDEX(Raw!J:FJ, MATCH(R$4, Raw!$A:$A, 0), MATCH(1, (Raw!$B$1:$FB$1=$I142)*(Raw!$B$2:$FB$2=$H142), 0))</f>
        <v>531277000.00000006</v>
      </c>
      <c r="S142" s="11" cm="1">
        <f t="array" ref="S142">INDEX(Raw!K:FK, MATCH(S$4, Raw!$A:$A, 0), MATCH(1, (Raw!$B$1:$FB$1=$I142)*(Raw!$B$2:$FB$2=$H142), 0))</f>
        <v>162597000</v>
      </c>
      <c r="T142" s="11" cm="1">
        <f t="array" ref="T142">INDEX(Raw!L:FL, MATCH(T$4, Raw!$A:$A, 0), MATCH(1, (Raw!$B$1:$FB$1=$I142)*(Raw!$B$2:$FB$2=$H142), 0))</f>
        <v>259809000.00000003</v>
      </c>
      <c r="U142" s="11" cm="1">
        <f t="array" ref="U142">INDEX(Raw!M:FM, MATCH(U$4, Raw!$A:$A, 0), MATCH(1, (Raw!$B$1:$FB$1=$I142)*(Raw!$B$2:$FB$2=$H142), 0))</f>
        <v>0</v>
      </c>
      <c r="V142" s="11" cm="1">
        <f t="array" ref="V142">INDEX(Raw!N:FN, MATCH(V$4, Raw!$A:$A, 0), MATCH(1, (Raw!$B$1:$FB$1=$I142)*(Raw!$B$2:$FB$2=$H142), 0))</f>
        <v>295616000</v>
      </c>
      <c r="W142" s="11" cm="1">
        <f t="array" ref="W142">INDEX(Raw!O:FO, MATCH(W$4, Raw!$A:$A, 0), MATCH(1, (Raw!$B$1:$FB$1=$I142)*(Raw!$B$2:$FB$2=$H142), 0))</f>
        <v>0</v>
      </c>
      <c r="X142" s="11" cm="1">
        <f t="array" ref="X142">INDEX(Raw!P:FP, MATCH(X$4, Raw!$A:$A, 0), MATCH(1, (Raw!$B$1:$FB$1=$I142)*(Raw!$B$2:$FB$2=$H142), 0))</f>
        <v>210538000</v>
      </c>
      <c r="Y142" s="11" cm="1">
        <f t="array" ref="Y142">INDEX(Raw!Q:FQ, MATCH(Y$4, Raw!$A:$A, 0), MATCH(1, (Raw!$B$1:$FB$1=$I142)*(Raw!$B$2:$FB$2=$H142), 0))</f>
        <v>0</v>
      </c>
      <c r="Z142" s="11" cm="1">
        <f t="array" ref="Z142">INDEX(Raw!R:FR, MATCH(Z$4, Raw!$A:$A, 0), MATCH(1, (Raw!$B$1:$FB$1=$I142)*(Raw!$B$2:$FB$2=$H142), 0))</f>
        <v>0</v>
      </c>
      <c r="AA142" s="11" cm="1">
        <f t="array" ref="AA142">INDEX(Raw!S:FS, MATCH(AA$4, Raw!$A:$A, 0), MATCH(1, (Raw!$B$1:$FB$1=$I142)*(Raw!$B$2:$FB$2=$H142), 0))</f>
        <v>0</v>
      </c>
      <c r="AB142" s="11" cm="1">
        <f t="array" ref="AB142">INDEX(Raw!T:FT, MATCH(AB$4, Raw!$A:$A, 0), MATCH(1, (Raw!$B$1:$FB$1=$I142)*(Raw!$B$2:$FB$2=$H142), 0))</f>
        <v>0</v>
      </c>
      <c r="AC142" s="11" cm="1">
        <f t="array" ref="AC142">INDEX(Raw!U:FU, MATCH(AC$4, Raw!$A:$A, 0), MATCH(1, (Raw!$B$1:$FB$1=$I142)*(Raw!$B$2:$FB$2=$H142), 0))</f>
        <v>0</v>
      </c>
      <c r="AD142" s="11" cm="1">
        <f t="array" ref="AD142">INDEX(Raw!V:FV, MATCH(AD$4, Raw!$A:$A, 0), MATCH(1, (Raw!$B$1:$FB$1=$I142)*(Raw!$B$2:$FB$2=$H142), 0))</f>
        <v>0</v>
      </c>
    </row>
    <row r="143" spans="6:30" x14ac:dyDescent="0.25">
      <c r="F143" s="11" t="s">
        <v>28</v>
      </c>
      <c r="G143" s="15">
        <f t="shared" ca="1" si="4"/>
        <v>46088</v>
      </c>
      <c r="H143" s="11">
        <f>H142</f>
        <v>1991</v>
      </c>
      <c r="I143" s="11" t="s">
        <v>23</v>
      </c>
      <c r="J143" s="11" cm="1">
        <f t="array" ref="J143">INDEX(Raw!B:FB, MATCH(J$4, Raw!$A:$A, 0), MATCH(1, (Raw!$B$1:$FB$1=$I143)*(Raw!$B$2:$FB$2=$H143), 0))</f>
        <v>3039523000</v>
      </c>
      <c r="K143" s="11" cm="1">
        <f t="array" ref="K143">INDEX(Raw!C:FC, MATCH(K$4, Raw!$A:$A, 0), MATCH(1, (Raw!$B$1:$FB$1=$I143)*(Raw!$B$2:$FB$2=$H143), 0))</f>
        <v>964049000</v>
      </c>
      <c r="L143" s="11" cm="1">
        <f t="array" ref="L143">INDEX(Raw!D:FD, MATCH(L$4, Raw!$A:$A, 0), MATCH(1, (Raw!$B$1:$FB$1=$I143)*(Raw!$B$2:$FB$2=$H143), 0))</f>
        <v>1480796000</v>
      </c>
      <c r="M143" s="11" cm="1">
        <f t="array" ref="M143">INDEX(Raw!E:FE, MATCH(M$4, Raw!$A:$A, 0), MATCH(1, (Raw!$B$1:$FB$1=$I143)*(Raw!$B$2:$FB$2=$H143), 0))</f>
        <v>1113039000</v>
      </c>
      <c r="N143" s="11" cm="1">
        <f t="array" ref="N143">INDEX(Raw!F:FF, MATCH(N$4, Raw!$A:$A, 0), MATCH(1, (Raw!$B$1:$FB$1=$I143)*(Raw!$B$2:$FB$2=$H143), 0))</f>
        <v>0</v>
      </c>
      <c r="O143" s="11" cm="1">
        <f t="array" ref="O143">INDEX(Raw!G:FG, MATCH(O$4, Raw!$A:$A, 0), MATCH(1, (Raw!$B$1:$FB$1=$I143)*(Raw!$B$2:$FB$2=$H143), 0))</f>
        <v>843828000</v>
      </c>
      <c r="P143" s="11" cm="1">
        <f t="array" ref="P143">INDEX(Raw!H:FH, MATCH(P$4, Raw!$A:$A, 0), MATCH(1, (Raw!$B$1:$FB$1=$I143)*(Raw!$B$2:$FB$2=$H143), 0))</f>
        <v>381755100</v>
      </c>
      <c r="Q143" s="11" cm="1">
        <f t="array" ref="Q143">INDEX(Raw!I:FI, MATCH(Q$4, Raw!$A:$A, 0), MATCH(1, (Raw!$B$1:$FB$1=$I143)*(Raw!$B$2:$FB$2=$H143), 0))</f>
        <v>72977000</v>
      </c>
      <c r="R143" s="11" cm="1">
        <f t="array" ref="R143">INDEX(Raw!J:FJ, MATCH(R$4, Raw!$A:$A, 0), MATCH(1, (Raw!$B$1:$FB$1=$I143)*(Raw!$B$2:$FB$2=$H143), 0))</f>
        <v>508116000</v>
      </c>
      <c r="S143" s="11" cm="1">
        <f t="array" ref="S143">INDEX(Raw!K:FK, MATCH(S$4, Raw!$A:$A, 0), MATCH(1, (Raw!$B$1:$FB$1=$I143)*(Raw!$B$2:$FB$2=$H143), 0))</f>
        <v>122263000</v>
      </c>
      <c r="T143" s="11" cm="1">
        <f t="array" ref="T143">INDEX(Raw!L:FL, MATCH(T$4, Raw!$A:$A, 0), MATCH(1, (Raw!$B$1:$FB$1=$I143)*(Raw!$B$2:$FB$2=$H143), 0))</f>
        <v>235491000</v>
      </c>
      <c r="U143" s="11" cm="1">
        <f t="array" ref="U143">INDEX(Raw!M:FM, MATCH(U$4, Raw!$A:$A, 0), MATCH(1, (Raw!$B$1:$FB$1=$I143)*(Raw!$B$2:$FB$2=$H143), 0))</f>
        <v>0</v>
      </c>
      <c r="V143" s="11" cm="1">
        <f t="array" ref="V143">INDEX(Raw!N:FN, MATCH(V$4, Raw!$A:$A, 0), MATCH(1, (Raw!$B$1:$FB$1=$I143)*(Raw!$B$2:$FB$2=$H143), 0))</f>
        <v>303058000</v>
      </c>
      <c r="W143" s="11" cm="1">
        <f t="array" ref="W143">INDEX(Raw!O:FO, MATCH(W$4, Raw!$A:$A, 0), MATCH(1, (Raw!$B$1:$FB$1=$I143)*(Raw!$B$2:$FB$2=$H143), 0))</f>
        <v>0</v>
      </c>
      <c r="X143" s="11" cm="1">
        <f t="array" ref="X143">INDEX(Raw!P:FP, MATCH(X$4, Raw!$A:$A, 0), MATCH(1, (Raw!$B$1:$FB$1=$I143)*(Raw!$B$2:$FB$2=$H143), 0))</f>
        <v>192955000</v>
      </c>
      <c r="Y143" s="11" cm="1">
        <f t="array" ref="Y143">INDEX(Raw!Q:FQ, MATCH(Y$4, Raw!$A:$A, 0), MATCH(1, (Raw!$B$1:$FB$1=$I143)*(Raw!$B$2:$FB$2=$H143), 0))</f>
        <v>0</v>
      </c>
      <c r="Z143" s="11" cm="1">
        <f t="array" ref="Z143">INDEX(Raw!R:FR, MATCH(Z$4, Raw!$A:$A, 0), MATCH(1, (Raw!$B$1:$FB$1=$I143)*(Raw!$B$2:$FB$2=$H143), 0))</f>
        <v>0</v>
      </c>
      <c r="AA143" s="11" cm="1">
        <f t="array" ref="AA143">INDEX(Raw!S:FS, MATCH(AA$4, Raw!$A:$A, 0), MATCH(1, (Raw!$B$1:$FB$1=$I143)*(Raw!$B$2:$FB$2=$H143), 0))</f>
        <v>0</v>
      </c>
      <c r="AB143" s="11" cm="1">
        <f t="array" ref="AB143">INDEX(Raw!T:FT, MATCH(AB$4, Raw!$A:$A, 0), MATCH(1, (Raw!$B$1:$FB$1=$I143)*(Raw!$B$2:$FB$2=$H143), 0))</f>
        <v>0</v>
      </c>
      <c r="AC143" s="11" cm="1">
        <f t="array" ref="AC143">INDEX(Raw!U:FU, MATCH(AC$4, Raw!$A:$A, 0), MATCH(1, (Raw!$B$1:$FB$1=$I143)*(Raw!$B$2:$FB$2=$H143), 0))</f>
        <v>0</v>
      </c>
      <c r="AD143" s="11" cm="1">
        <f t="array" ref="AD143">INDEX(Raw!V:FV, MATCH(AD$4, Raw!$A:$A, 0), MATCH(1, (Raw!$B$1:$FB$1=$I143)*(Raw!$B$2:$FB$2=$H143), 0))</f>
        <v>0</v>
      </c>
    </row>
    <row r="144" spans="6:30" x14ac:dyDescent="0.25">
      <c r="F144" s="11" t="s">
        <v>28</v>
      </c>
      <c r="G144" s="15">
        <f t="shared" ca="1" si="4"/>
        <v>46088</v>
      </c>
      <c r="H144" s="11">
        <f>H143</f>
        <v>1991</v>
      </c>
      <c r="I144" s="11" t="s">
        <v>24</v>
      </c>
      <c r="J144" s="11" cm="1">
        <f t="array" ref="J144">INDEX(Raw!B:FB, MATCH(J$4, Raw!$A:$A, 0), MATCH(1, (Raw!$B$1:$FB$1=$I144)*(Raw!$B$2:$FB$2=$H144), 0))</f>
        <v>2480974000</v>
      </c>
      <c r="K144" s="11" cm="1">
        <f t="array" ref="K144">INDEX(Raw!C:FC, MATCH(K$4, Raw!$A:$A, 0), MATCH(1, (Raw!$B$1:$FB$1=$I144)*(Raw!$B$2:$FB$2=$H144), 0))</f>
        <v>1075213000</v>
      </c>
      <c r="L144" s="11" cm="1">
        <f t="array" ref="L144">INDEX(Raw!D:FD, MATCH(L$4, Raw!$A:$A, 0), MATCH(1, (Raw!$B$1:$FB$1=$I144)*(Raw!$B$2:$FB$2=$H144), 0))</f>
        <v>1625469000</v>
      </c>
      <c r="M144" s="11" cm="1">
        <f t="array" ref="M144">INDEX(Raw!E:FE, MATCH(M$4, Raw!$A:$A, 0), MATCH(1, (Raw!$B$1:$FB$1=$I144)*(Raw!$B$2:$FB$2=$H144), 0))</f>
        <v>1059741000</v>
      </c>
      <c r="N144" s="11" cm="1">
        <f t="array" ref="N144">INDEX(Raw!F:FF, MATCH(N$4, Raw!$A:$A, 0), MATCH(1, (Raw!$B$1:$FB$1=$I144)*(Raw!$B$2:$FB$2=$H144), 0))</f>
        <v>0</v>
      </c>
      <c r="O144" s="11" cm="1">
        <f t="array" ref="O144">INDEX(Raw!G:FG, MATCH(O$4, Raw!$A:$A, 0), MATCH(1, (Raw!$B$1:$FB$1=$I144)*(Raw!$B$2:$FB$2=$H144), 0))</f>
        <v>849972000</v>
      </c>
      <c r="P144" s="11" cm="1">
        <f t="array" ref="P144">INDEX(Raw!H:FH, MATCH(P$4, Raw!$A:$A, 0), MATCH(1, (Raw!$B$1:$FB$1=$I144)*(Raw!$B$2:$FB$2=$H144), 0))</f>
        <v>458300000</v>
      </c>
      <c r="Q144" s="11" cm="1">
        <f t="array" ref="Q144">INDEX(Raw!I:FI, MATCH(Q$4, Raw!$A:$A, 0), MATCH(1, (Raw!$B$1:$FB$1=$I144)*(Raw!$B$2:$FB$2=$H144), 0))</f>
        <v>9341000</v>
      </c>
      <c r="R144" s="11" cm="1">
        <f t="array" ref="R144">INDEX(Raw!J:FJ, MATCH(R$4, Raw!$A:$A, 0), MATCH(1, (Raw!$B$1:$FB$1=$I144)*(Raw!$B$2:$FB$2=$H144), 0))</f>
        <v>382072000</v>
      </c>
      <c r="S144" s="11" cm="1">
        <f t="array" ref="S144">INDEX(Raw!K:FK, MATCH(S$4, Raw!$A:$A, 0), MATCH(1, (Raw!$B$1:$FB$1=$I144)*(Raw!$B$2:$FB$2=$H144), 0))</f>
        <v>114809000</v>
      </c>
      <c r="T144" s="11" cm="1">
        <f t="array" ref="T144">INDEX(Raw!L:FL, MATCH(T$4, Raw!$A:$A, 0), MATCH(1, (Raw!$B$1:$FB$1=$I144)*(Raw!$B$2:$FB$2=$H144), 0))</f>
        <v>295616000</v>
      </c>
      <c r="U144" s="11" cm="1">
        <f t="array" ref="U144">INDEX(Raw!M:FM, MATCH(U$4, Raw!$A:$A, 0), MATCH(1, (Raw!$B$1:$FB$1=$I144)*(Raw!$B$2:$FB$2=$H144), 0))</f>
        <v>0</v>
      </c>
      <c r="V144" s="11" cm="1">
        <f t="array" ref="V144">INDEX(Raw!N:FN, MATCH(V$4, Raw!$A:$A, 0), MATCH(1, (Raw!$B$1:$FB$1=$I144)*(Raw!$B$2:$FB$2=$H144), 0))</f>
        <v>210538000</v>
      </c>
      <c r="W144" s="11" cm="1">
        <f t="array" ref="W144">INDEX(Raw!O:FO, MATCH(W$4, Raw!$A:$A, 0), MATCH(1, (Raw!$B$1:$FB$1=$I144)*(Raw!$B$2:$FB$2=$H144), 0))</f>
        <v>0</v>
      </c>
      <c r="X144" s="11" cm="1">
        <f t="array" ref="X144">INDEX(Raw!P:FP, MATCH(X$4, Raw!$A:$A, 0), MATCH(1, (Raw!$B$1:$FB$1=$I144)*(Raw!$B$2:$FB$2=$H144), 0))</f>
        <v>271363000</v>
      </c>
      <c r="Y144" s="11" cm="1">
        <f t="array" ref="Y144">INDEX(Raw!Q:FQ, MATCH(Y$4, Raw!$A:$A, 0), MATCH(1, (Raw!$B$1:$FB$1=$I144)*(Raw!$B$2:$FB$2=$H144), 0))</f>
        <v>0</v>
      </c>
      <c r="Z144" s="11" cm="1">
        <f t="array" ref="Z144">INDEX(Raw!R:FR, MATCH(Z$4, Raw!$A:$A, 0), MATCH(1, (Raw!$B$1:$FB$1=$I144)*(Raw!$B$2:$FB$2=$H144), 0))</f>
        <v>0</v>
      </c>
      <c r="AA144" s="11" cm="1">
        <f t="array" ref="AA144">INDEX(Raw!S:FS, MATCH(AA$4, Raw!$A:$A, 0), MATCH(1, (Raw!$B$1:$FB$1=$I144)*(Raw!$B$2:$FB$2=$H144), 0))</f>
        <v>0</v>
      </c>
      <c r="AB144" s="11" cm="1">
        <f t="array" ref="AB144">INDEX(Raw!T:FT, MATCH(AB$4, Raw!$A:$A, 0), MATCH(1, (Raw!$B$1:$FB$1=$I144)*(Raw!$B$2:$FB$2=$H144), 0))</f>
        <v>0</v>
      </c>
      <c r="AC144" s="11" cm="1">
        <f t="array" ref="AC144">INDEX(Raw!U:FU, MATCH(AC$4, Raw!$A:$A, 0), MATCH(1, (Raw!$B$1:$FB$1=$I144)*(Raw!$B$2:$FB$2=$H144), 0))</f>
        <v>0</v>
      </c>
      <c r="AD144" s="11" cm="1">
        <f t="array" ref="AD144">INDEX(Raw!V:FV, MATCH(AD$4, Raw!$A:$A, 0), MATCH(1, (Raw!$B$1:$FB$1=$I144)*(Raw!$B$2:$FB$2=$H144), 0))</f>
        <v>0</v>
      </c>
    </row>
    <row r="145" spans="6:30" x14ac:dyDescent="0.25">
      <c r="F145" s="11" t="s">
        <v>28</v>
      </c>
      <c r="G145" s="15">
        <f t="shared" ca="1" si="4"/>
        <v>46088</v>
      </c>
      <c r="H145" s="11">
        <f>H141-1</f>
        <v>1990</v>
      </c>
      <c r="I145" s="11" t="s">
        <v>21</v>
      </c>
      <c r="J145" s="11" cm="1">
        <f t="array" ref="J145">INDEX(Raw!B:FB, MATCH(J$4, Raw!$A:$A, 0), MATCH(1, (Raw!$B$1:$FB$1=$I145)*(Raw!$B$2:$FB$2=$H145), 0))</f>
        <v>2556009000</v>
      </c>
      <c r="K145" s="11" cm="1">
        <f t="array" ref="K145">INDEX(Raw!C:FC, MATCH(K$4, Raw!$A:$A, 0), MATCH(1, (Raw!$B$1:$FB$1=$I145)*(Raw!$B$2:$FB$2=$H145), 0))</f>
        <v>1167285000</v>
      </c>
      <c r="L145" s="11" cm="1">
        <f t="array" ref="L145">INDEX(Raw!D:FD, MATCH(L$4, Raw!$A:$A, 0), MATCH(1, (Raw!$B$1:$FB$1=$I145)*(Raw!$B$2:$FB$2=$H145), 0))</f>
        <v>1639423000</v>
      </c>
      <c r="M145" s="11" cm="1">
        <f t="array" ref="M145">INDEX(Raw!E:FE, MATCH(M$4, Raw!$A:$A, 0), MATCH(1, (Raw!$B$1:$FB$1=$I145)*(Raw!$B$2:$FB$2=$H145), 0))</f>
        <v>843828000</v>
      </c>
      <c r="N145" s="11" cm="1">
        <f t="array" ref="N145">INDEX(Raw!F:FF, MATCH(N$4, Raw!$A:$A, 0), MATCH(1, (Raw!$B$1:$FB$1=$I145)*(Raw!$B$2:$FB$2=$H145), 0))</f>
        <v>0</v>
      </c>
      <c r="O145" s="11" cm="1">
        <f t="array" ref="O145">INDEX(Raw!G:FG, MATCH(O$4, Raw!$A:$A, 0), MATCH(1, (Raw!$B$1:$FB$1=$I145)*(Raw!$B$2:$FB$2=$H145), 0))</f>
        <v>848336000</v>
      </c>
      <c r="P145" s="11" cm="1">
        <f t="array" ref="P145">INDEX(Raw!H:FH, MATCH(P$4, Raw!$A:$A, 0), MATCH(1, (Raw!$B$1:$FB$1=$I145)*(Raw!$B$2:$FB$2=$H145), 0))</f>
        <v>498775100</v>
      </c>
      <c r="Q145" s="11" cm="1">
        <f t="array" ref="Q145">INDEX(Raw!I:FI, MATCH(Q$4, Raw!$A:$A, 0), MATCH(1, (Raw!$B$1:$FB$1=$I145)*(Raw!$B$2:$FB$2=$H145), 0))</f>
        <v>-4883000</v>
      </c>
      <c r="R145" s="11" cm="1">
        <f t="array" ref="R145">INDEX(Raw!J:FJ, MATCH(R$4, Raw!$A:$A, 0), MATCH(1, (Raw!$B$1:$FB$1=$I145)*(Raw!$B$2:$FB$2=$H145), 0))</f>
        <v>350300000</v>
      </c>
      <c r="S145" s="11" cm="1">
        <f t="array" ref="S145">INDEX(Raw!K:FK, MATCH(S$4, Raw!$A:$A, 0), MATCH(1, (Raw!$B$1:$FB$1=$I145)*(Raw!$B$2:$FB$2=$H145), 0))</f>
        <v>154332000</v>
      </c>
      <c r="T145" s="11" cm="1">
        <f t="array" ref="T145">INDEX(Raw!L:FL, MATCH(T$4, Raw!$A:$A, 0), MATCH(1, (Raw!$B$1:$FB$1=$I145)*(Raw!$B$2:$FB$2=$H145), 0))</f>
        <v>303058000</v>
      </c>
      <c r="U145" s="11" cm="1">
        <f t="array" ref="U145">INDEX(Raw!M:FM, MATCH(U$4, Raw!$A:$A, 0), MATCH(1, (Raw!$B$1:$FB$1=$I145)*(Raw!$B$2:$FB$2=$H145), 0))</f>
        <v>0</v>
      </c>
      <c r="V145" s="11" cm="1">
        <f t="array" ref="V145">INDEX(Raw!N:FN, MATCH(V$4, Raw!$A:$A, 0), MATCH(1, (Raw!$B$1:$FB$1=$I145)*(Raw!$B$2:$FB$2=$H145), 0))</f>
        <v>192955000</v>
      </c>
      <c r="W145" s="11" cm="1">
        <f t="array" ref="W145">INDEX(Raw!O:FO, MATCH(W$4, Raw!$A:$A, 0), MATCH(1, (Raw!$B$1:$FB$1=$I145)*(Raw!$B$2:$FB$2=$H145), 0))</f>
        <v>0</v>
      </c>
      <c r="X145" s="11" cm="1">
        <f t="array" ref="X145">INDEX(Raw!P:FP, MATCH(X$4, Raw!$A:$A, 0), MATCH(1, (Raw!$B$1:$FB$1=$I145)*(Raw!$B$2:$FB$2=$H145), 0))</f>
        <v>266370000</v>
      </c>
      <c r="Y145" s="11" cm="1">
        <f t="array" ref="Y145">INDEX(Raw!Q:FQ, MATCH(Y$4, Raw!$A:$A, 0), MATCH(1, (Raw!$B$1:$FB$1=$I145)*(Raw!$B$2:$FB$2=$H145), 0))</f>
        <v>0</v>
      </c>
      <c r="Z145" s="11" cm="1">
        <f t="array" ref="Z145">INDEX(Raw!R:FR, MATCH(Z$4, Raw!$A:$A, 0), MATCH(1, (Raw!$B$1:$FB$1=$I145)*(Raw!$B$2:$FB$2=$H145), 0))</f>
        <v>0</v>
      </c>
      <c r="AA145" s="11" cm="1">
        <f t="array" ref="AA145">INDEX(Raw!S:FS, MATCH(AA$4, Raw!$A:$A, 0), MATCH(1, (Raw!$B$1:$FB$1=$I145)*(Raw!$B$2:$FB$2=$H145), 0))</f>
        <v>0</v>
      </c>
      <c r="AB145" s="11" cm="1">
        <f t="array" ref="AB145">INDEX(Raw!T:FT, MATCH(AB$4, Raw!$A:$A, 0), MATCH(1, (Raw!$B$1:$FB$1=$I145)*(Raw!$B$2:$FB$2=$H145), 0))</f>
        <v>0</v>
      </c>
      <c r="AC145" s="11" cm="1">
        <f t="array" ref="AC145">INDEX(Raw!U:FU, MATCH(AC$4, Raw!$A:$A, 0), MATCH(1, (Raw!$B$1:$FB$1=$I145)*(Raw!$B$2:$FB$2=$H145), 0))</f>
        <v>0</v>
      </c>
      <c r="AD145" s="11" cm="1">
        <f t="array" ref="AD145">INDEX(Raw!V:FV, MATCH(AD$4, Raw!$A:$A, 0), MATCH(1, (Raw!$B$1:$FB$1=$I145)*(Raw!$B$2:$FB$2=$H145), 0))</f>
        <v>0</v>
      </c>
    </row>
    <row r="146" spans="6:30" x14ac:dyDescent="0.25">
      <c r="F146" s="11" t="s">
        <v>28</v>
      </c>
      <c r="G146" s="15">
        <f t="shared" ca="1" si="4"/>
        <v>46088</v>
      </c>
      <c r="H146" s="11">
        <f>H145</f>
        <v>1990</v>
      </c>
      <c r="I146" s="11" t="s">
        <v>22</v>
      </c>
      <c r="J146" s="11" cm="1">
        <f t="array" ref="J146">INDEX(Raw!B:FB, MATCH(J$4, Raw!$A:$A, 0), MATCH(1, (Raw!$B$1:$FB$1=$I146)*(Raw!$B$2:$FB$2=$H146), 0))</f>
        <v>2792754000</v>
      </c>
      <c r="K146" s="11" cm="1">
        <f t="array" ref="K146">INDEX(Raw!C:FC, MATCH(K$4, Raw!$A:$A, 0), MATCH(1, (Raw!$B$1:$FB$1=$I146)*(Raw!$B$2:$FB$2=$H146), 0))</f>
        <v>1099885000</v>
      </c>
      <c r="L146" s="11" cm="1">
        <f t="array" ref="L146">INDEX(Raw!D:FD, MATCH(L$4, Raw!$A:$A, 0), MATCH(1, (Raw!$B$1:$FB$1=$I146)*(Raw!$B$2:$FB$2=$H146), 0))</f>
        <v>1281811000</v>
      </c>
      <c r="M146" s="11" cm="1">
        <f t="array" ref="M146">INDEX(Raw!E:FE, MATCH(M$4, Raw!$A:$A, 0), MATCH(1, (Raw!$B$1:$FB$1=$I146)*(Raw!$B$2:$FB$2=$H146), 0))</f>
        <v>849972000</v>
      </c>
      <c r="N146" s="11" cm="1">
        <f t="array" ref="N146">INDEX(Raw!F:FF, MATCH(N$4, Raw!$A:$A, 0), MATCH(1, (Raw!$B$1:$FB$1=$I146)*(Raw!$B$2:$FB$2=$H146), 0))</f>
        <v>0</v>
      </c>
      <c r="O146" s="11" cm="1">
        <f t="array" ref="O146">INDEX(Raw!G:FG, MATCH(O$4, Raw!$A:$A, 0), MATCH(1, (Raw!$B$1:$FB$1=$I146)*(Raw!$B$2:$FB$2=$H146), 0))</f>
        <v>883935000</v>
      </c>
      <c r="P146" s="11" cm="1">
        <f t="array" ref="P146">INDEX(Raw!H:FH, MATCH(P$4, Raw!$A:$A, 0), MATCH(1, (Raw!$B$1:$FB$1=$I146)*(Raw!$B$2:$FB$2=$H146), 0))</f>
        <v>386955000</v>
      </c>
      <c r="Q146" s="11" cm="1">
        <f t="array" ref="Q146">INDEX(Raw!I:FI, MATCH(Q$4, Raw!$A:$A, 0), MATCH(1, (Raw!$B$1:$FB$1=$I146)*(Raw!$B$2:$FB$2=$H146), 0))</f>
        <v>9585000</v>
      </c>
      <c r="R146" s="11" cm="1">
        <f t="array" ref="R146">INDEX(Raw!J:FJ, MATCH(R$4, Raw!$A:$A, 0), MATCH(1, (Raw!$B$1:$FB$1=$I146)*(Raw!$B$2:$FB$2=$H146), 0))</f>
        <v>449948000</v>
      </c>
      <c r="S146" s="11" cm="1">
        <f t="array" ref="S146">INDEX(Raw!K:FK, MATCH(S$4, Raw!$A:$A, 0), MATCH(1, (Raw!$B$1:$FB$1=$I146)*(Raw!$B$2:$FB$2=$H146), 0))</f>
        <v>161755000</v>
      </c>
      <c r="T146" s="11" cm="1">
        <f t="array" ref="T146">INDEX(Raw!L:FL, MATCH(T$4, Raw!$A:$A, 0), MATCH(1, (Raw!$B$1:$FB$1=$I146)*(Raw!$B$2:$FB$2=$H146), 0))</f>
        <v>210538000</v>
      </c>
      <c r="U146" s="11" cm="1">
        <f t="array" ref="U146">INDEX(Raw!M:FM, MATCH(U$4, Raw!$A:$A, 0), MATCH(1, (Raw!$B$1:$FB$1=$I146)*(Raw!$B$2:$FB$2=$H146), 0))</f>
        <v>0</v>
      </c>
      <c r="V146" s="11" cm="1">
        <f t="array" ref="V146">INDEX(Raw!N:FN, MATCH(V$4, Raw!$A:$A, 0), MATCH(1, (Raw!$B$1:$FB$1=$I146)*(Raw!$B$2:$FB$2=$H146), 0))</f>
        <v>271363000</v>
      </c>
      <c r="W146" s="11" cm="1">
        <f t="array" ref="W146">INDEX(Raw!O:FO, MATCH(W$4, Raw!$A:$A, 0), MATCH(1, (Raw!$B$1:$FB$1=$I146)*(Raw!$B$2:$FB$2=$H146), 0))</f>
        <v>0</v>
      </c>
      <c r="X146" s="11" cm="1">
        <f t="array" ref="X146">INDEX(Raw!P:FP, MATCH(X$4, Raw!$A:$A, 0), MATCH(1, (Raw!$B$1:$FB$1=$I146)*(Raw!$B$2:$FB$2=$H146), 0))</f>
        <v>185448000</v>
      </c>
      <c r="Y146" s="11" cm="1">
        <f t="array" ref="Y146">INDEX(Raw!Q:FQ, MATCH(Y$4, Raw!$A:$A, 0), MATCH(1, (Raw!$B$1:$FB$1=$I146)*(Raw!$B$2:$FB$2=$H146), 0))</f>
        <v>0</v>
      </c>
      <c r="Z146" s="11" cm="1">
        <f t="array" ref="Z146">INDEX(Raw!R:FR, MATCH(Z$4, Raw!$A:$A, 0), MATCH(1, (Raw!$B$1:$FB$1=$I146)*(Raw!$B$2:$FB$2=$H146), 0))</f>
        <v>0</v>
      </c>
      <c r="AA146" s="11" cm="1">
        <f t="array" ref="AA146">INDEX(Raw!S:FS, MATCH(AA$4, Raw!$A:$A, 0), MATCH(1, (Raw!$B$1:$FB$1=$I146)*(Raw!$B$2:$FB$2=$H146), 0))</f>
        <v>0</v>
      </c>
      <c r="AB146" s="11" cm="1">
        <f t="array" ref="AB146">INDEX(Raw!T:FT, MATCH(AB$4, Raw!$A:$A, 0), MATCH(1, (Raw!$B$1:$FB$1=$I146)*(Raw!$B$2:$FB$2=$H146), 0))</f>
        <v>0</v>
      </c>
      <c r="AC146" s="11" cm="1">
        <f t="array" ref="AC146">INDEX(Raw!U:FU, MATCH(AC$4, Raw!$A:$A, 0), MATCH(1, (Raw!$B$1:$FB$1=$I146)*(Raw!$B$2:$FB$2=$H146), 0))</f>
        <v>0</v>
      </c>
      <c r="AD146" s="11" cm="1">
        <f t="array" ref="AD146">INDEX(Raw!V:FV, MATCH(AD$4, Raw!$A:$A, 0), MATCH(1, (Raw!$B$1:$FB$1=$I146)*(Raw!$B$2:$FB$2=$H146), 0))</f>
        <v>0</v>
      </c>
    </row>
    <row r="147" spans="6:30" x14ac:dyDescent="0.25">
      <c r="F147" s="11" t="s">
        <v>28</v>
      </c>
      <c r="G147" s="15">
        <f t="shared" ca="1" si="4"/>
        <v>46088</v>
      </c>
      <c r="H147" s="11">
        <f>H146</f>
        <v>1990</v>
      </c>
      <c r="I147" s="11" t="s">
        <v>23</v>
      </c>
      <c r="J147" s="11" cm="1">
        <f t="array" ref="J147">INDEX(Raw!B:FB, MATCH(J$4, Raw!$A:$A, 0), MATCH(1, (Raw!$B$1:$FB$1=$I147)*(Raw!$B$2:$FB$2=$H147), 0))</f>
        <v>2739308000</v>
      </c>
      <c r="K147" s="11" cm="1">
        <f t="array" ref="K147">INDEX(Raw!C:FC, MATCH(K$4, Raw!$A:$A, 0), MATCH(1, (Raw!$B$1:$FB$1=$I147)*(Raw!$B$2:$FB$2=$H147), 0))</f>
        <v>866467000</v>
      </c>
      <c r="L147" s="11" cm="1">
        <f t="array" ref="L147">INDEX(Raw!D:FD, MATCH(L$4, Raw!$A:$A, 0), MATCH(1, (Raw!$B$1:$FB$1=$I147)*(Raw!$B$2:$FB$2=$H147), 0))</f>
        <v>1231727000</v>
      </c>
      <c r="M147" s="11" cm="1">
        <f t="array" ref="M147">INDEX(Raw!E:FE, MATCH(M$4, Raw!$A:$A, 0), MATCH(1, (Raw!$B$1:$FB$1=$I147)*(Raw!$B$2:$FB$2=$H147), 0))</f>
        <v>848336000</v>
      </c>
      <c r="N147" s="11" cm="1">
        <f t="array" ref="N147">INDEX(Raw!F:FF, MATCH(N$4, Raw!$A:$A, 0), MATCH(1, (Raw!$B$1:$FB$1=$I147)*(Raw!$B$2:$FB$2=$H147), 0))</f>
        <v>0</v>
      </c>
      <c r="O147" s="11" cm="1">
        <f t="array" ref="O147">INDEX(Raw!G:FG, MATCH(O$4, Raw!$A:$A, 0), MATCH(1, (Raw!$B$1:$FB$1=$I147)*(Raw!$B$2:$FB$2=$H147), 0))</f>
        <v>765689000</v>
      </c>
      <c r="P147" s="11" cm="1">
        <f t="array" ref="P147">INDEX(Raw!H:FH, MATCH(P$4, Raw!$A:$A, 0), MATCH(1, (Raw!$B$1:$FB$1=$I147)*(Raw!$B$2:$FB$2=$H147), 0))</f>
        <v>340715000</v>
      </c>
      <c r="Q147" s="11" cm="1">
        <f t="array" ref="Q147">INDEX(Raw!I:FI, MATCH(Q$4, Raw!$A:$A, 0), MATCH(1, (Raw!$B$1:$FB$1=$I147)*(Raw!$B$2:$FB$2=$H147), 0))</f>
        <v>18521000</v>
      </c>
      <c r="R147" s="11" cm="1">
        <f t="array" ref="R147">INDEX(Raw!J:FJ, MATCH(R$4, Raw!$A:$A, 0), MATCH(1, (Raw!$B$1:$FB$1=$I147)*(Raw!$B$2:$FB$2=$H147), 0))</f>
        <v>464813000</v>
      </c>
      <c r="S147" s="11" cm="1">
        <f t="array" ref="S147">INDEX(Raw!K:FK, MATCH(S$4, Raw!$A:$A, 0), MATCH(1, (Raw!$B$1:$FB$1=$I147)*(Raw!$B$2:$FB$2=$H147), 0))</f>
        <v>106538000</v>
      </c>
      <c r="T147" s="11" cm="1">
        <f t="array" ref="T147">INDEX(Raw!L:FL, MATCH(T$4, Raw!$A:$A, 0), MATCH(1, (Raw!$B$1:$FB$1=$I147)*(Raw!$B$2:$FB$2=$H147), 0))</f>
        <v>192955000</v>
      </c>
      <c r="U147" s="11" cm="1">
        <f t="array" ref="U147">INDEX(Raw!M:FM, MATCH(U$4, Raw!$A:$A, 0), MATCH(1, (Raw!$B$1:$FB$1=$I147)*(Raw!$B$2:$FB$2=$H147), 0))</f>
        <v>0</v>
      </c>
      <c r="V147" s="11" cm="1">
        <f t="array" ref="V147">INDEX(Raw!N:FN, MATCH(V$4, Raw!$A:$A, 0), MATCH(1, (Raw!$B$1:$FB$1=$I147)*(Raw!$B$2:$FB$2=$H147), 0))</f>
        <v>266370000</v>
      </c>
      <c r="W147" s="11" cm="1">
        <f t="array" ref="W147">INDEX(Raw!O:FO, MATCH(W$4, Raw!$A:$A, 0), MATCH(1, (Raw!$B$1:$FB$1=$I147)*(Raw!$B$2:$FB$2=$H147), 0))</f>
        <v>0</v>
      </c>
      <c r="X147" s="11" cm="1">
        <f t="array" ref="X147">INDEX(Raw!P:FP, MATCH(X$4, Raw!$A:$A, 0), MATCH(1, (Raw!$B$1:$FB$1=$I147)*(Raw!$B$2:$FB$2=$H147), 0))</f>
        <v>0</v>
      </c>
      <c r="Y147" s="11" cm="1">
        <f t="array" ref="Y147">INDEX(Raw!Q:FQ, MATCH(Y$4, Raw!$A:$A, 0), MATCH(1, (Raw!$B$1:$FB$1=$I147)*(Raw!$B$2:$FB$2=$H147), 0))</f>
        <v>0</v>
      </c>
      <c r="Z147" s="11" cm="1">
        <f t="array" ref="Z147">INDEX(Raw!R:FR, MATCH(Z$4, Raw!$A:$A, 0), MATCH(1, (Raw!$B$1:$FB$1=$I147)*(Raw!$B$2:$FB$2=$H147), 0))</f>
        <v>0</v>
      </c>
      <c r="AA147" s="11" cm="1">
        <f t="array" ref="AA147">INDEX(Raw!S:FS, MATCH(AA$4, Raw!$A:$A, 0), MATCH(1, (Raw!$B$1:$FB$1=$I147)*(Raw!$B$2:$FB$2=$H147), 0))</f>
        <v>0</v>
      </c>
      <c r="AB147" s="11" cm="1">
        <f t="array" ref="AB147">INDEX(Raw!T:FT, MATCH(AB$4, Raw!$A:$A, 0), MATCH(1, (Raw!$B$1:$FB$1=$I147)*(Raw!$B$2:$FB$2=$H147), 0))</f>
        <v>0</v>
      </c>
      <c r="AC147" s="11" cm="1">
        <f t="array" ref="AC147">INDEX(Raw!U:FU, MATCH(AC$4, Raw!$A:$A, 0), MATCH(1, (Raw!$B$1:$FB$1=$I147)*(Raw!$B$2:$FB$2=$H147), 0))</f>
        <v>0</v>
      </c>
      <c r="AD147" s="11" cm="1">
        <f t="array" ref="AD147">INDEX(Raw!V:FV, MATCH(AD$4, Raw!$A:$A, 0), MATCH(1, (Raw!$B$1:$FB$1=$I147)*(Raw!$B$2:$FB$2=$H147), 0))</f>
        <v>0</v>
      </c>
    </row>
    <row r="148" spans="6:30" x14ac:dyDescent="0.25">
      <c r="F148" s="11" t="s">
        <v>28</v>
      </c>
      <c r="G148" s="15">
        <f t="shared" ca="1" si="4"/>
        <v>46088</v>
      </c>
      <c r="H148" s="11">
        <f>H147</f>
        <v>1990</v>
      </c>
      <c r="I148" s="11" t="s">
        <v>24</v>
      </c>
      <c r="J148" s="11" cm="1">
        <f t="array" ref="J148">INDEX(Raw!B:FB, MATCH(J$4, Raw!$A:$A, 0), MATCH(1, (Raw!$B$1:$FB$1=$I148)*(Raw!$B$2:$FB$2=$H148), 0))</f>
        <v>2148278000</v>
      </c>
      <c r="K148" s="11" cm="1">
        <f t="array" ref="K148">INDEX(Raw!C:FC, MATCH(K$4, Raw!$A:$A, 0), MATCH(1, (Raw!$B$1:$FB$1=$I148)*(Raw!$B$2:$FB$2=$H148), 0))</f>
        <v>1017185000</v>
      </c>
      <c r="L148" s="11" cm="1">
        <f t="array" ref="L148">INDEX(Raw!D:FD, MATCH(L$4, Raw!$A:$A, 0), MATCH(1, (Raw!$B$1:$FB$1=$I148)*(Raw!$B$2:$FB$2=$H148), 0))</f>
        <v>1306636000</v>
      </c>
      <c r="M148" s="11" cm="1">
        <f t="array" ref="M148">INDEX(Raw!E:FE, MATCH(M$4, Raw!$A:$A, 0), MATCH(1, (Raw!$B$1:$FB$1=$I148)*(Raw!$B$2:$FB$2=$H148), 0))</f>
        <v>883935000</v>
      </c>
      <c r="N148" s="11" cm="1">
        <f t="array" ref="N148">INDEX(Raw!F:FF, MATCH(N$4, Raw!$A:$A, 0), MATCH(1, (Raw!$B$1:$FB$1=$I148)*(Raw!$B$2:$FB$2=$H148), 0))</f>
        <v>0</v>
      </c>
      <c r="O148" s="11" cm="1">
        <f t="array" ref="O148">INDEX(Raw!G:FG, MATCH(O$4, Raw!$A:$A, 0), MATCH(1, (Raw!$B$1:$FB$1=$I148)*(Raw!$B$2:$FB$2=$H148), 0))</f>
        <v>773356000</v>
      </c>
      <c r="P148" s="11" cm="1">
        <f t="array" ref="P148">INDEX(Raw!H:FH, MATCH(P$4, Raw!$A:$A, 0), MATCH(1, (Raw!$B$1:$FB$1=$I148)*(Raw!$B$2:$FB$2=$H148), 0))</f>
        <v>431427000</v>
      </c>
      <c r="Q148" s="11" cm="1">
        <f t="array" ref="Q148">INDEX(Raw!I:FI, MATCH(Q$4, Raw!$A:$A, 0), MATCH(1, (Raw!$B$1:$FB$1=$I148)*(Raw!$B$2:$FB$2=$H148), 0))</f>
        <v>-644000</v>
      </c>
      <c r="R148" s="11" cm="1">
        <f t="array" ref="R148">INDEX(Raw!J:FJ, MATCH(R$4, Raw!$A:$A, 0), MATCH(1, (Raw!$B$1:$FB$1=$I148)*(Raw!$B$2:$FB$2=$H148), 0))</f>
        <v>317076000</v>
      </c>
      <c r="S148" s="11" cm="1">
        <f t="array" ref="S148">INDEX(Raw!K:FK, MATCH(S$4, Raw!$A:$A, 0), MATCH(1, (Raw!$B$1:$FB$1=$I148)*(Raw!$B$2:$FB$2=$H148), 0))</f>
        <v>59560000</v>
      </c>
      <c r="T148" s="11" cm="1">
        <f t="array" ref="T148">INDEX(Raw!L:FL, MATCH(T$4, Raw!$A:$A, 0), MATCH(1, (Raw!$B$1:$FB$1=$I148)*(Raw!$B$2:$FB$2=$H148), 0))</f>
        <v>271363000</v>
      </c>
      <c r="U148" s="11" cm="1">
        <f t="array" ref="U148">INDEX(Raw!M:FM, MATCH(U$4, Raw!$A:$A, 0), MATCH(1, (Raw!$B$1:$FB$1=$I148)*(Raw!$B$2:$FB$2=$H148), 0))</f>
        <v>0</v>
      </c>
      <c r="V148" s="11" cm="1">
        <f t="array" ref="V148">INDEX(Raw!N:FN, MATCH(V$4, Raw!$A:$A, 0), MATCH(1, (Raw!$B$1:$FB$1=$I148)*(Raw!$B$2:$FB$2=$H148), 0))</f>
        <v>185448000</v>
      </c>
      <c r="W148" s="11" cm="1">
        <f t="array" ref="W148">INDEX(Raw!O:FO, MATCH(W$4, Raw!$A:$A, 0), MATCH(1, (Raw!$B$1:$FB$1=$I148)*(Raw!$B$2:$FB$2=$H148), 0))</f>
        <v>0</v>
      </c>
      <c r="X148" s="11" cm="1">
        <f t="array" ref="X148">INDEX(Raw!P:FP, MATCH(X$4, Raw!$A:$A, 0), MATCH(1, (Raw!$B$1:$FB$1=$I148)*(Raw!$B$2:$FB$2=$H148), 0))</f>
        <v>0</v>
      </c>
      <c r="Y148" s="11" cm="1">
        <f t="array" ref="Y148">INDEX(Raw!Q:FQ, MATCH(Y$4, Raw!$A:$A, 0), MATCH(1, (Raw!$B$1:$FB$1=$I148)*(Raw!$B$2:$FB$2=$H148), 0))</f>
        <v>0</v>
      </c>
      <c r="Z148" s="11" cm="1">
        <f t="array" ref="Z148">INDEX(Raw!R:FR, MATCH(Z$4, Raw!$A:$A, 0), MATCH(1, (Raw!$B$1:$FB$1=$I148)*(Raw!$B$2:$FB$2=$H148), 0))</f>
        <v>0</v>
      </c>
      <c r="AA148" s="11" cm="1">
        <f t="array" ref="AA148">INDEX(Raw!S:FS, MATCH(AA$4, Raw!$A:$A, 0), MATCH(1, (Raw!$B$1:$FB$1=$I148)*(Raw!$B$2:$FB$2=$H148), 0))</f>
        <v>0</v>
      </c>
      <c r="AB148" s="11" cm="1">
        <f t="array" ref="AB148">INDEX(Raw!T:FT, MATCH(AB$4, Raw!$A:$A, 0), MATCH(1, (Raw!$B$1:$FB$1=$I148)*(Raw!$B$2:$FB$2=$H148), 0))</f>
        <v>0</v>
      </c>
      <c r="AC148" s="11" cm="1">
        <f t="array" ref="AC148">INDEX(Raw!U:FU, MATCH(AC$4, Raw!$A:$A, 0), MATCH(1, (Raw!$B$1:$FB$1=$I148)*(Raw!$B$2:$FB$2=$H148), 0))</f>
        <v>0</v>
      </c>
      <c r="AD148" s="11" cm="1">
        <f t="array" ref="AD148">INDEX(Raw!V:FV, MATCH(AD$4, Raw!$A:$A, 0), MATCH(1, (Raw!$B$1:$FB$1=$I148)*(Raw!$B$2:$FB$2=$H148), 0))</f>
        <v>0</v>
      </c>
    </row>
    <row r="149" spans="6:30" x14ac:dyDescent="0.25">
      <c r="F149" s="11" t="s">
        <v>28</v>
      </c>
      <c r="G149" s="15">
        <f t="shared" ca="1" si="4"/>
        <v>46088</v>
      </c>
      <c r="H149" s="11">
        <f>H145-1</f>
        <v>1989</v>
      </c>
      <c r="I149" s="11" t="s">
        <v>21</v>
      </c>
      <c r="J149" s="11" cm="1">
        <f t="array" ref="J149">INDEX(Raw!B:FB, MATCH(J$4, Raw!$A:$A, 0), MATCH(1, (Raw!$B$1:$FB$1=$I149)*(Raw!$B$2:$FB$2=$H149), 0))</f>
        <v>2248912000</v>
      </c>
      <c r="K149" s="11" cm="1">
        <f t="array" ref="K149">INDEX(Raw!C:FC, MATCH(K$4, Raw!$A:$A, 0), MATCH(1, (Raw!$B$1:$FB$1=$I149)*(Raw!$B$2:$FB$2=$H149), 0))</f>
        <v>995928000</v>
      </c>
      <c r="L149" s="11" cm="1">
        <f t="array" ref="L149">INDEX(Raw!D:FD, MATCH(L$4, Raw!$A:$A, 0), MATCH(1, (Raw!$B$1:$FB$1=$I149)*(Raw!$B$2:$FB$2=$H149), 0))</f>
        <v>1382710000</v>
      </c>
      <c r="M149" s="11" cm="1">
        <f t="array" ref="M149">INDEX(Raw!E:FE, MATCH(M$4, Raw!$A:$A, 0), MATCH(1, (Raw!$B$1:$FB$1=$I149)*(Raw!$B$2:$FB$2=$H149), 0))</f>
        <v>765689000</v>
      </c>
      <c r="N149" s="11" cm="1">
        <f t="array" ref="N149">INDEX(Raw!F:FF, MATCH(N$4, Raw!$A:$A, 0), MATCH(1, (Raw!$B$1:$FB$1=$I149)*(Raw!$B$2:$FB$2=$H149), 0))</f>
        <v>0</v>
      </c>
      <c r="O149" s="11" cm="1">
        <f t="array" ref="O149">INDEX(Raw!G:FG, MATCH(O$4, Raw!$A:$A, 0), MATCH(1, (Raw!$B$1:$FB$1=$I149)*(Raw!$B$2:$FB$2=$H149), 0))</f>
        <v>790416000</v>
      </c>
      <c r="P149" s="11" cm="1">
        <f t="array" ref="P149">INDEX(Raw!H:FH, MATCH(P$4, Raw!$A:$A, 0), MATCH(1, (Raw!$B$1:$FB$1=$I149)*(Raw!$B$2:$FB$2=$H149), 0))</f>
        <v>465457000</v>
      </c>
      <c r="Q149" s="11" cm="1">
        <f t="array" ref="Q149">INDEX(Raw!I:FI, MATCH(Q$4, Raw!$A:$A, 0), MATCH(1, (Raw!$B$1:$FB$1=$I149)*(Raw!$B$2:$FB$2=$H149), 0))</f>
        <v>-43626000</v>
      </c>
      <c r="R149" s="11" cm="1">
        <f t="array" ref="R149">INDEX(Raw!J:FJ, MATCH(R$4, Raw!$A:$A, 0), MATCH(1, (Raw!$B$1:$FB$1=$I149)*(Raw!$B$2:$FB$2=$H149), 0))</f>
        <v>252515000</v>
      </c>
      <c r="S149" s="11" cm="1">
        <f t="array" ref="S149">INDEX(Raw!K:FK, MATCH(S$4, Raw!$A:$A, 0), MATCH(1, (Raw!$B$1:$FB$1=$I149)*(Raw!$B$2:$FB$2=$H149), 0))</f>
        <v>147923000</v>
      </c>
      <c r="T149" s="11" cm="1">
        <f t="array" ref="T149">INDEX(Raw!L:FL, MATCH(T$4, Raw!$A:$A, 0), MATCH(1, (Raw!$B$1:$FB$1=$I149)*(Raw!$B$2:$FB$2=$H149), 0))</f>
        <v>266370000</v>
      </c>
      <c r="U149" s="11" cm="1">
        <f t="array" ref="U149">INDEX(Raw!M:FM, MATCH(U$4, Raw!$A:$A, 0), MATCH(1, (Raw!$B$1:$FB$1=$I149)*(Raw!$B$2:$FB$2=$H149), 0))</f>
        <v>0</v>
      </c>
      <c r="V149" s="11" cm="1">
        <f t="array" ref="V149">INDEX(Raw!N:FN, MATCH(V$4, Raw!$A:$A, 0), MATCH(1, (Raw!$B$1:$FB$1=$I149)*(Raw!$B$2:$FB$2=$H149), 0))</f>
        <v>0</v>
      </c>
      <c r="W149" s="11" cm="1">
        <f t="array" ref="W149">INDEX(Raw!O:FO, MATCH(W$4, Raw!$A:$A, 0), MATCH(1, (Raw!$B$1:$FB$1=$I149)*(Raw!$B$2:$FB$2=$H149), 0))</f>
        <v>0</v>
      </c>
      <c r="X149" s="11" cm="1">
        <f t="array" ref="X149">INDEX(Raw!P:FP, MATCH(X$4, Raw!$A:$A, 0), MATCH(1, (Raw!$B$1:$FB$1=$I149)*(Raw!$B$2:$FB$2=$H149), 0))</f>
        <v>0</v>
      </c>
      <c r="Y149" s="11" cm="1">
        <f t="array" ref="Y149">INDEX(Raw!Q:FQ, MATCH(Y$4, Raw!$A:$A, 0), MATCH(1, (Raw!$B$1:$FB$1=$I149)*(Raw!$B$2:$FB$2=$H149), 0))</f>
        <v>0</v>
      </c>
      <c r="Z149" s="11" cm="1">
        <f t="array" ref="Z149">INDEX(Raw!R:FR, MATCH(Z$4, Raw!$A:$A, 0), MATCH(1, (Raw!$B$1:$FB$1=$I149)*(Raw!$B$2:$FB$2=$H149), 0))</f>
        <v>0</v>
      </c>
      <c r="AA149" s="11" cm="1">
        <f t="array" ref="AA149">INDEX(Raw!S:FS, MATCH(AA$4, Raw!$A:$A, 0), MATCH(1, (Raw!$B$1:$FB$1=$I149)*(Raw!$B$2:$FB$2=$H149), 0))</f>
        <v>0</v>
      </c>
      <c r="AB149" s="11" cm="1">
        <f t="array" ref="AB149">INDEX(Raw!T:FT, MATCH(AB$4, Raw!$A:$A, 0), MATCH(1, (Raw!$B$1:$FB$1=$I149)*(Raw!$B$2:$FB$2=$H149), 0))</f>
        <v>0</v>
      </c>
      <c r="AC149" s="11" cm="1">
        <f t="array" ref="AC149">INDEX(Raw!U:FU, MATCH(AC$4, Raw!$A:$A, 0), MATCH(1, (Raw!$B$1:$FB$1=$I149)*(Raw!$B$2:$FB$2=$H149), 0))</f>
        <v>0</v>
      </c>
      <c r="AD149" s="11" cm="1">
        <f t="array" ref="AD149">INDEX(Raw!V:FV, MATCH(AD$4, Raw!$A:$A, 0), MATCH(1, (Raw!$B$1:$FB$1=$I149)*(Raw!$B$2:$FB$2=$H149), 0))</f>
        <v>0</v>
      </c>
    </row>
    <row r="150" spans="6:30" x14ac:dyDescent="0.25">
      <c r="F150" s="11" t="s">
        <v>28</v>
      </c>
      <c r="G150" s="15">
        <f t="shared" ca="1" si="4"/>
        <v>46088</v>
      </c>
      <c r="H150" s="11">
        <f>H149</f>
        <v>1989</v>
      </c>
      <c r="I150" s="11" t="s">
        <v>22</v>
      </c>
      <c r="J150" s="11" cm="1">
        <f t="array" ref="J150">INDEX(Raw!B:FB, MATCH(J$4, Raw!$A:$A, 0), MATCH(1, (Raw!$B$1:$FB$1=$I150)*(Raw!$B$2:$FB$2=$H150), 0))</f>
        <v>2302564000</v>
      </c>
      <c r="K150" s="11" cm="1">
        <f t="array" ref="K150">INDEX(Raw!C:FC, MATCH(K$4, Raw!$A:$A, 0), MATCH(1, (Raw!$B$1:$FB$1=$I150)*(Raw!$B$2:$FB$2=$H150), 0))</f>
        <v>1046412000</v>
      </c>
      <c r="L150" s="11" cm="1">
        <f t="array" ref="L150">INDEX(Raw!D:FD, MATCH(L$4, Raw!$A:$A, 0), MATCH(1, (Raw!$B$1:$FB$1=$I150)*(Raw!$B$2:$FB$2=$H150), 0))</f>
        <v>1152644000</v>
      </c>
      <c r="M150" s="11" cm="1">
        <f t="array" ref="M150">INDEX(Raw!E:FE, MATCH(M$4, Raw!$A:$A, 0), MATCH(1, (Raw!$B$1:$FB$1=$I150)*(Raw!$B$2:$FB$2=$H150), 0))</f>
        <v>773356000</v>
      </c>
      <c r="N150" s="11" cm="1">
        <f t="array" ref="N150">INDEX(Raw!F:FF, MATCH(N$4, Raw!$A:$A, 0), MATCH(1, (Raw!$B$1:$FB$1=$I150)*(Raw!$B$2:$FB$2=$H150), 0))</f>
        <v>0</v>
      </c>
      <c r="O150" s="11" cm="1">
        <f t="array" ref="O150">INDEX(Raw!G:FG, MATCH(O$4, Raw!$A:$A, 0), MATCH(1, (Raw!$B$1:$FB$1=$I150)*(Raw!$B$2:$FB$2=$H150), 0))</f>
        <v>827201000</v>
      </c>
      <c r="P150" s="11" cm="1">
        <f t="array" ref="P150">INDEX(Raw!H:FH, MATCH(P$4, Raw!$A:$A, 0), MATCH(1, (Raw!$B$1:$FB$1=$I150)*(Raw!$B$2:$FB$2=$H150), 0))</f>
        <v>360702000</v>
      </c>
      <c r="Q150" s="11" cm="1">
        <f t="array" ref="Q150">INDEX(Raw!I:FI, MATCH(Q$4, Raw!$A:$A, 0), MATCH(1, (Raw!$B$1:$FB$1=$I150)*(Raw!$B$2:$FB$2=$H150), 0))</f>
        <v>70268000</v>
      </c>
      <c r="R150" s="11" cm="1">
        <f t="array" ref="R150">INDEX(Raw!J:FJ, MATCH(R$4, Raw!$A:$A, 0), MATCH(1, (Raw!$B$1:$FB$1=$I150)*(Raw!$B$2:$FB$2=$H150), 0))</f>
        <v>419286000</v>
      </c>
      <c r="S150" s="11" cm="1">
        <f t="array" ref="S150">INDEX(Raw!K:FK, MATCH(S$4, Raw!$A:$A, 0), MATCH(1, (Raw!$B$1:$FB$1=$I150)*(Raw!$B$2:$FB$2=$H150), 0))</f>
        <v>170300000</v>
      </c>
      <c r="T150" s="11" cm="1">
        <f t="array" ref="T150">INDEX(Raw!L:FL, MATCH(T$4, Raw!$A:$A, 0), MATCH(1, (Raw!$B$1:$FB$1=$I150)*(Raw!$B$2:$FB$2=$H150), 0))</f>
        <v>185448000</v>
      </c>
      <c r="U150" s="11" cm="1">
        <f t="array" ref="U150">INDEX(Raw!M:FM, MATCH(U$4, Raw!$A:$A, 0), MATCH(1, (Raw!$B$1:$FB$1=$I150)*(Raw!$B$2:$FB$2=$H150), 0))</f>
        <v>0</v>
      </c>
      <c r="V150" s="11" cm="1">
        <f t="array" ref="V150">INDEX(Raw!N:FN, MATCH(V$4, Raw!$A:$A, 0), MATCH(1, (Raw!$B$1:$FB$1=$I150)*(Raw!$B$2:$FB$2=$H150), 0))</f>
        <v>0</v>
      </c>
      <c r="W150" s="11" cm="1">
        <f t="array" ref="W150">INDEX(Raw!O:FO, MATCH(W$4, Raw!$A:$A, 0), MATCH(1, (Raw!$B$1:$FB$1=$I150)*(Raw!$B$2:$FB$2=$H150), 0))</f>
        <v>0</v>
      </c>
      <c r="X150" s="11" cm="1">
        <f t="array" ref="X150">INDEX(Raw!P:FP, MATCH(X$4, Raw!$A:$A, 0), MATCH(1, (Raw!$B$1:$FB$1=$I150)*(Raw!$B$2:$FB$2=$H150), 0))</f>
        <v>0</v>
      </c>
      <c r="Y150" s="11" cm="1">
        <f t="array" ref="Y150">INDEX(Raw!Q:FQ, MATCH(Y$4, Raw!$A:$A, 0), MATCH(1, (Raw!$B$1:$FB$1=$I150)*(Raw!$B$2:$FB$2=$H150), 0))</f>
        <v>0</v>
      </c>
      <c r="Z150" s="11" cm="1">
        <f t="array" ref="Z150">INDEX(Raw!R:FR, MATCH(Z$4, Raw!$A:$A, 0), MATCH(1, (Raw!$B$1:$FB$1=$I150)*(Raw!$B$2:$FB$2=$H150), 0))</f>
        <v>0</v>
      </c>
      <c r="AA150" s="11" cm="1">
        <f t="array" ref="AA150">INDEX(Raw!S:FS, MATCH(AA$4, Raw!$A:$A, 0), MATCH(1, (Raw!$B$1:$FB$1=$I150)*(Raw!$B$2:$FB$2=$H150), 0))</f>
        <v>0</v>
      </c>
      <c r="AB150" s="11" cm="1">
        <f t="array" ref="AB150">INDEX(Raw!T:FT, MATCH(AB$4, Raw!$A:$A, 0), MATCH(1, (Raw!$B$1:$FB$1=$I150)*(Raw!$B$2:$FB$2=$H150), 0))</f>
        <v>0</v>
      </c>
      <c r="AC150" s="11" cm="1">
        <f t="array" ref="AC150">INDEX(Raw!U:FU, MATCH(AC$4, Raw!$A:$A, 0), MATCH(1, (Raw!$B$1:$FB$1=$I150)*(Raw!$B$2:$FB$2=$H150), 0))</f>
        <v>0</v>
      </c>
      <c r="AD150" s="11" cm="1">
        <f t="array" ref="AD150">INDEX(Raw!V:FV, MATCH(AD$4, Raw!$A:$A, 0), MATCH(1, (Raw!$B$1:$FB$1=$I150)*(Raw!$B$2:$FB$2=$H150), 0))</f>
        <v>0</v>
      </c>
    </row>
    <row r="151" spans="6:30" x14ac:dyDescent="0.25">
      <c r="F151" s="11" t="s">
        <v>28</v>
      </c>
      <c r="G151" s="15">
        <f t="shared" ca="1" si="4"/>
        <v>46088</v>
      </c>
      <c r="H151" s="11">
        <f>H150</f>
        <v>1989</v>
      </c>
      <c r="I151" s="11" t="s">
        <v>23</v>
      </c>
      <c r="J151" s="11" cm="1">
        <f t="array" ref="J151">INDEX(Raw!B:FB, MATCH(J$4, Raw!$A:$A, 0), MATCH(1, (Raw!$B$1:$FB$1=$I151)*(Raw!$B$2:$FB$2=$H151), 0))</f>
        <v>2429122000</v>
      </c>
      <c r="K151" s="11" cm="1">
        <f t="array" ref="K151">INDEX(Raw!C:FC, MATCH(K$4, Raw!$A:$A, 0), MATCH(1, (Raw!$B$1:$FB$1=$I151)*(Raw!$B$2:$FB$2=$H151), 0))</f>
        <v>832544000</v>
      </c>
      <c r="L151" s="11" cm="1">
        <f t="array" ref="L151">INDEX(Raw!D:FD, MATCH(L$4, Raw!$A:$A, 0), MATCH(1, (Raw!$B$1:$FB$1=$I151)*(Raw!$B$2:$FB$2=$H151), 0))</f>
        <v>1114071000</v>
      </c>
      <c r="M151" s="11" cm="1">
        <f t="array" ref="M151">INDEX(Raw!E:FE, MATCH(M$4, Raw!$A:$A, 0), MATCH(1, (Raw!$B$1:$FB$1=$I151)*(Raw!$B$2:$FB$2=$H151), 0))</f>
        <v>790416000</v>
      </c>
      <c r="N151" s="11" cm="1">
        <f t="array" ref="N151">INDEX(Raw!F:FF, MATCH(N$4, Raw!$A:$A, 0), MATCH(1, (Raw!$B$1:$FB$1=$I151)*(Raw!$B$2:$FB$2=$H151), 0))</f>
        <v>0</v>
      </c>
      <c r="O151" s="11" cm="1">
        <f t="array" ref="O151">INDEX(Raw!G:FG, MATCH(O$4, Raw!$A:$A, 0), MATCH(1, (Raw!$B$1:$FB$1=$I151)*(Raw!$B$2:$FB$2=$H151), 0))</f>
        <v>647085000</v>
      </c>
      <c r="P151" s="11" cm="1">
        <f t="array" ref="P151">INDEX(Raw!H:FH, MATCH(P$4, Raw!$A:$A, 0), MATCH(1, (Raw!$B$1:$FB$1=$I151)*(Raw!$B$2:$FB$2=$H151), 0))</f>
        <v>182247000</v>
      </c>
      <c r="Q151" s="11" cm="1">
        <f t="array" ref="Q151">INDEX(Raw!I:FI, MATCH(Q$4, Raw!$A:$A, 0), MATCH(1, (Raw!$B$1:$FB$1=$I151)*(Raw!$B$2:$FB$2=$H151), 0))</f>
        <v>25132000</v>
      </c>
      <c r="R151" s="11" cm="1">
        <f t="array" ref="R151">INDEX(Raw!J:FJ, MATCH(R$4, Raw!$A:$A, 0), MATCH(1, (Raw!$B$1:$FB$1=$I151)*(Raw!$B$2:$FB$2=$H151), 0))</f>
        <v>436670000</v>
      </c>
      <c r="S151" s="11" cm="1">
        <f t="array" ref="S151">INDEX(Raw!K:FK, MATCH(S$4, Raw!$A:$A, 0), MATCH(1, (Raw!$B$1:$FB$1=$I151)*(Raw!$B$2:$FB$2=$H151), 0))</f>
        <v>118565000</v>
      </c>
      <c r="T151" s="11" cm="1">
        <f t="array" ref="T151">INDEX(Raw!L:FL, MATCH(T$4, Raw!$A:$A, 0), MATCH(1, (Raw!$B$1:$FB$1=$I151)*(Raw!$B$2:$FB$2=$H151), 0))</f>
        <v>0</v>
      </c>
      <c r="U151" s="11" cm="1">
        <f t="array" ref="U151">INDEX(Raw!M:FM, MATCH(U$4, Raw!$A:$A, 0), MATCH(1, (Raw!$B$1:$FB$1=$I151)*(Raw!$B$2:$FB$2=$H151), 0))</f>
        <v>0</v>
      </c>
      <c r="V151" s="11" cm="1">
        <f t="array" ref="V151">INDEX(Raw!N:FN, MATCH(V$4, Raw!$A:$A, 0), MATCH(1, (Raw!$B$1:$FB$1=$I151)*(Raw!$B$2:$FB$2=$H151), 0))</f>
        <v>0</v>
      </c>
      <c r="W151" s="11" cm="1">
        <f t="array" ref="W151">INDEX(Raw!O:FO, MATCH(W$4, Raw!$A:$A, 0), MATCH(1, (Raw!$B$1:$FB$1=$I151)*(Raw!$B$2:$FB$2=$H151), 0))</f>
        <v>0</v>
      </c>
      <c r="X151" s="11" cm="1">
        <f t="array" ref="X151">INDEX(Raw!P:FP, MATCH(X$4, Raw!$A:$A, 0), MATCH(1, (Raw!$B$1:$FB$1=$I151)*(Raw!$B$2:$FB$2=$H151), 0))</f>
        <v>0</v>
      </c>
      <c r="Y151" s="11" cm="1">
        <f t="array" ref="Y151">INDEX(Raw!Q:FQ, MATCH(Y$4, Raw!$A:$A, 0), MATCH(1, (Raw!$B$1:$FB$1=$I151)*(Raw!$B$2:$FB$2=$H151), 0))</f>
        <v>0</v>
      </c>
      <c r="Z151" s="11" cm="1">
        <f t="array" ref="Z151">INDEX(Raw!R:FR, MATCH(Z$4, Raw!$A:$A, 0), MATCH(1, (Raw!$B$1:$FB$1=$I151)*(Raw!$B$2:$FB$2=$H151), 0))</f>
        <v>0</v>
      </c>
      <c r="AA151" s="11" cm="1">
        <f t="array" ref="AA151">INDEX(Raw!S:FS, MATCH(AA$4, Raw!$A:$A, 0), MATCH(1, (Raw!$B$1:$FB$1=$I151)*(Raw!$B$2:$FB$2=$H151), 0))</f>
        <v>0</v>
      </c>
      <c r="AB151" s="11" cm="1">
        <f t="array" ref="AB151">INDEX(Raw!T:FT, MATCH(AB$4, Raw!$A:$A, 0), MATCH(1, (Raw!$B$1:$FB$1=$I151)*(Raw!$B$2:$FB$2=$H151), 0))</f>
        <v>0</v>
      </c>
      <c r="AC151" s="11" cm="1">
        <f t="array" ref="AC151">INDEX(Raw!U:FU, MATCH(AC$4, Raw!$A:$A, 0), MATCH(1, (Raw!$B$1:$FB$1=$I151)*(Raw!$B$2:$FB$2=$H151), 0))</f>
        <v>0</v>
      </c>
      <c r="AD151" s="11" cm="1">
        <f t="array" ref="AD151">INDEX(Raw!V:FV, MATCH(AD$4, Raw!$A:$A, 0), MATCH(1, (Raw!$B$1:$FB$1=$I151)*(Raw!$B$2:$FB$2=$H151), 0))</f>
        <v>0</v>
      </c>
    </row>
    <row r="152" spans="6:30" x14ac:dyDescent="0.25">
      <c r="F152" s="11" t="s">
        <v>28</v>
      </c>
      <c r="G152" s="15">
        <f t="shared" ca="1" si="4"/>
        <v>46088</v>
      </c>
      <c r="H152" s="11">
        <f>H151</f>
        <v>1989</v>
      </c>
      <c r="I152" s="11" t="s">
        <v>24</v>
      </c>
      <c r="J152" s="11" cm="1">
        <f t="array" ref="J152">INDEX(Raw!B:FB, MATCH(J$4, Raw!$A:$A, 0), MATCH(1, (Raw!$B$1:$FB$1=$I152)*(Raw!$B$2:$FB$2=$H152), 0))</f>
        <v>1985188000</v>
      </c>
      <c r="K152" s="11" cm="1">
        <f t="array" ref="K152">INDEX(Raw!C:FC, MATCH(K$4, Raw!$A:$A, 0), MATCH(1, (Raw!$B$1:$FB$1=$I152)*(Raw!$B$2:$FB$2=$H152), 0))</f>
        <v>912758000</v>
      </c>
      <c r="L152" s="11" cm="1">
        <f t="array" ref="L152">INDEX(Raw!D:FD, MATCH(L$4, Raw!$A:$A, 0), MATCH(1, (Raw!$B$1:$FB$1=$I152)*(Raw!$B$2:$FB$2=$H152), 0))</f>
        <v>1221843000</v>
      </c>
      <c r="M152" s="11" cm="1">
        <f t="array" ref="M152">INDEX(Raw!E:FE, MATCH(M$4, Raw!$A:$A, 0), MATCH(1, (Raw!$B$1:$FB$1=$I152)*(Raw!$B$2:$FB$2=$H152), 0))</f>
        <v>827201000</v>
      </c>
      <c r="N152" s="11" cm="1">
        <f t="array" ref="N152">INDEX(Raw!F:FF, MATCH(N$4, Raw!$A:$A, 0), MATCH(1, (Raw!$B$1:$FB$1=$I152)*(Raw!$B$2:$FB$2=$H152), 0))</f>
        <v>0</v>
      </c>
      <c r="O152" s="11" cm="1">
        <f t="array" ref="O152">INDEX(Raw!G:FG, MATCH(O$4, Raw!$A:$A, 0), MATCH(1, (Raw!$B$1:$FB$1=$I152)*(Raw!$B$2:$FB$2=$H152), 0))</f>
        <v>469902000</v>
      </c>
      <c r="P152" s="11" cm="1">
        <f t="array" ref="P152">INDEX(Raw!H:FH, MATCH(P$4, Raw!$A:$A, 0), MATCH(1, (Raw!$B$1:$FB$1=$I152)*(Raw!$B$2:$FB$2=$H152), 0))</f>
        <v>394154100</v>
      </c>
      <c r="Q152" s="11" cm="1">
        <f t="array" ref="Q152">INDEX(Raw!I:FI, MATCH(Q$4, Raw!$A:$A, 0), MATCH(1, (Raw!$B$1:$FB$1=$I152)*(Raw!$B$2:$FB$2=$H152), 0))</f>
        <v>13396000</v>
      </c>
      <c r="R152" s="11" cm="1">
        <f t="array" ref="R152">INDEX(Raw!J:FJ, MATCH(R$4, Raw!$A:$A, 0), MATCH(1, (Raw!$B$1:$FB$1=$I152)*(Raw!$B$2:$FB$2=$H152), 0))</f>
        <v>304013000</v>
      </c>
      <c r="S152" s="11" cm="1">
        <f t="array" ref="S152">INDEX(Raw!K:FK, MATCH(S$4, Raw!$A:$A, 0), MATCH(1, (Raw!$B$1:$FB$1=$I152)*(Raw!$B$2:$FB$2=$H152), 0))</f>
        <v>0</v>
      </c>
      <c r="T152" s="11" cm="1">
        <f t="array" ref="T152">INDEX(Raw!L:FL, MATCH(T$4, Raw!$A:$A, 0), MATCH(1, (Raw!$B$1:$FB$1=$I152)*(Raw!$B$2:$FB$2=$H152), 0))</f>
        <v>0</v>
      </c>
      <c r="U152" s="11" cm="1">
        <f t="array" ref="U152">INDEX(Raw!M:FM, MATCH(U$4, Raw!$A:$A, 0), MATCH(1, (Raw!$B$1:$FB$1=$I152)*(Raw!$B$2:$FB$2=$H152), 0))</f>
        <v>0</v>
      </c>
      <c r="V152" s="11" cm="1">
        <f t="array" ref="V152">INDEX(Raw!N:FN, MATCH(V$4, Raw!$A:$A, 0), MATCH(1, (Raw!$B$1:$FB$1=$I152)*(Raw!$B$2:$FB$2=$H152), 0))</f>
        <v>0</v>
      </c>
      <c r="W152" s="11" cm="1">
        <f t="array" ref="W152">INDEX(Raw!O:FO, MATCH(W$4, Raw!$A:$A, 0), MATCH(1, (Raw!$B$1:$FB$1=$I152)*(Raw!$B$2:$FB$2=$H152), 0))</f>
        <v>0</v>
      </c>
      <c r="X152" s="11" cm="1">
        <f t="array" ref="X152">INDEX(Raw!P:FP, MATCH(X$4, Raw!$A:$A, 0), MATCH(1, (Raw!$B$1:$FB$1=$I152)*(Raw!$B$2:$FB$2=$H152), 0))</f>
        <v>0</v>
      </c>
      <c r="Y152" s="11" cm="1">
        <f t="array" ref="Y152">INDEX(Raw!Q:FQ, MATCH(Y$4, Raw!$A:$A, 0), MATCH(1, (Raw!$B$1:$FB$1=$I152)*(Raw!$B$2:$FB$2=$H152), 0))</f>
        <v>0</v>
      </c>
      <c r="Z152" s="11" cm="1">
        <f t="array" ref="Z152">INDEX(Raw!R:FR, MATCH(Z$4, Raw!$A:$A, 0), MATCH(1, (Raw!$B$1:$FB$1=$I152)*(Raw!$B$2:$FB$2=$H152), 0))</f>
        <v>0</v>
      </c>
      <c r="AA152" s="11" cm="1">
        <f t="array" ref="AA152">INDEX(Raw!S:FS, MATCH(AA$4, Raw!$A:$A, 0), MATCH(1, (Raw!$B$1:$FB$1=$I152)*(Raw!$B$2:$FB$2=$H152), 0))</f>
        <v>0</v>
      </c>
      <c r="AB152" s="11" cm="1">
        <f t="array" ref="AB152">INDEX(Raw!T:FT, MATCH(AB$4, Raw!$A:$A, 0), MATCH(1, (Raw!$B$1:$FB$1=$I152)*(Raw!$B$2:$FB$2=$H152), 0))</f>
        <v>0</v>
      </c>
      <c r="AC152" s="11" cm="1">
        <f t="array" ref="AC152">INDEX(Raw!U:FU, MATCH(AC$4, Raw!$A:$A, 0), MATCH(1, (Raw!$B$1:$FB$1=$I152)*(Raw!$B$2:$FB$2=$H152), 0))</f>
        <v>0</v>
      </c>
      <c r="AD152" s="11" cm="1">
        <f t="array" ref="AD152">INDEX(Raw!V:FV, MATCH(AD$4, Raw!$A:$A, 0), MATCH(1, (Raw!$B$1:$FB$1=$I152)*(Raw!$B$2:$FB$2=$H152), 0))</f>
        <v>0</v>
      </c>
    </row>
    <row r="153" spans="6:30" x14ac:dyDescent="0.25">
      <c r="F153" s="11" t="s">
        <v>28</v>
      </c>
      <c r="G153" s="15">
        <f t="shared" ca="1" si="4"/>
        <v>46088</v>
      </c>
      <c r="H153" s="11">
        <f>H149-1</f>
        <v>1988</v>
      </c>
      <c r="I153" s="11" t="s">
        <v>21</v>
      </c>
      <c r="J153" s="11" cm="1">
        <f t="array" ref="J153">INDEX(Raw!B:FB, MATCH(J$4, Raw!$A:$A, 0), MATCH(1, (Raw!$B$1:$FB$1=$I153)*(Raw!$B$2:$FB$2=$H153), 0))</f>
        <v>2026829000</v>
      </c>
      <c r="K153" s="11" cm="1">
        <f t="array" ref="K153">INDEX(Raw!C:FC, MATCH(K$4, Raw!$A:$A, 0), MATCH(1, (Raw!$B$1:$FB$1=$I153)*(Raw!$B$2:$FB$2=$H153), 0))</f>
        <v>906477000</v>
      </c>
      <c r="L153" s="11" cm="1">
        <f t="array" ref="L153">INDEX(Raw!D:FD, MATCH(L$4, Raw!$A:$A, 0), MATCH(1, (Raw!$B$1:$FB$1=$I153)*(Raw!$B$2:$FB$2=$H153), 0))</f>
        <v>1292658000</v>
      </c>
      <c r="M153" s="11" cm="1">
        <f t="array" ref="M153">INDEX(Raw!E:FE, MATCH(M$4, Raw!$A:$A, 0), MATCH(1, (Raw!$B$1:$FB$1=$I153)*(Raw!$B$2:$FB$2=$H153), 0))</f>
        <v>647085000</v>
      </c>
      <c r="N153" s="11" cm="1">
        <f t="array" ref="N153">INDEX(Raw!F:FF, MATCH(N$4, Raw!$A:$A, 0), MATCH(1, (Raw!$B$1:$FB$1=$I153)*(Raw!$B$2:$FB$2=$H153), 0))</f>
        <v>0</v>
      </c>
      <c r="O153" s="11" cm="1">
        <f t="array" ref="O153">INDEX(Raw!G:FG, MATCH(O$4, Raw!$A:$A, 0), MATCH(1, (Raw!$B$1:$FB$1=$I153)*(Raw!$B$2:$FB$2=$H153), 0))</f>
        <v>837039000</v>
      </c>
      <c r="P153" s="11" cm="1">
        <f t="array" ref="P153">INDEX(Raw!H:FH, MATCH(P$4, Raw!$A:$A, 0), MATCH(1, (Raw!$B$1:$FB$1=$I153)*(Raw!$B$2:$FB$2=$H153), 0))</f>
        <v>423273900</v>
      </c>
      <c r="Q153" s="11" cm="1">
        <f t="array" ref="Q153">INDEX(Raw!I:FI, MATCH(Q$4, Raw!$A:$A, 0), MATCH(1, (Raw!$B$1:$FB$1=$I153)*(Raw!$B$2:$FB$2=$H153), 0))</f>
        <v>-20102000</v>
      </c>
      <c r="R153" s="11" cm="1">
        <f t="array" ref="R153">INDEX(Raw!J:FJ, MATCH(R$4, Raw!$A:$A, 0), MATCH(1, (Raw!$B$1:$FB$1=$I153)*(Raw!$B$2:$FB$2=$H153), 0))</f>
        <v>0</v>
      </c>
      <c r="S153" s="11" cm="1">
        <f t="array" ref="S153">INDEX(Raw!K:FK, MATCH(S$4, Raw!$A:$A, 0), MATCH(1, (Raw!$B$1:$FB$1=$I153)*(Raw!$B$2:$FB$2=$H153), 0))</f>
        <v>0</v>
      </c>
      <c r="T153" s="11" cm="1">
        <f t="array" ref="T153">INDEX(Raw!L:FL, MATCH(T$4, Raw!$A:$A, 0), MATCH(1, (Raw!$B$1:$FB$1=$I153)*(Raw!$B$2:$FB$2=$H153), 0))</f>
        <v>0</v>
      </c>
      <c r="U153" s="11" cm="1">
        <f t="array" ref="U153">INDEX(Raw!M:FM, MATCH(U$4, Raw!$A:$A, 0), MATCH(1, (Raw!$B$1:$FB$1=$I153)*(Raw!$B$2:$FB$2=$H153), 0))</f>
        <v>0</v>
      </c>
      <c r="V153" s="11" cm="1">
        <f t="array" ref="V153">INDEX(Raw!N:FN, MATCH(V$4, Raw!$A:$A, 0), MATCH(1, (Raw!$B$1:$FB$1=$I153)*(Raw!$B$2:$FB$2=$H153), 0))</f>
        <v>0</v>
      </c>
      <c r="W153" s="11" cm="1">
        <f t="array" ref="W153">INDEX(Raw!O:FO, MATCH(W$4, Raw!$A:$A, 0), MATCH(1, (Raw!$B$1:$FB$1=$I153)*(Raw!$B$2:$FB$2=$H153), 0))</f>
        <v>0</v>
      </c>
      <c r="X153" s="11" cm="1">
        <f t="array" ref="X153">INDEX(Raw!P:FP, MATCH(X$4, Raw!$A:$A, 0), MATCH(1, (Raw!$B$1:$FB$1=$I153)*(Raw!$B$2:$FB$2=$H153), 0))</f>
        <v>0</v>
      </c>
      <c r="Y153" s="11" cm="1">
        <f t="array" ref="Y153">INDEX(Raw!Q:FQ, MATCH(Y$4, Raw!$A:$A, 0), MATCH(1, (Raw!$B$1:$FB$1=$I153)*(Raw!$B$2:$FB$2=$H153), 0))</f>
        <v>0</v>
      </c>
      <c r="Z153" s="11" cm="1">
        <f t="array" ref="Z153">INDEX(Raw!R:FR, MATCH(Z$4, Raw!$A:$A, 0), MATCH(1, (Raw!$B$1:$FB$1=$I153)*(Raw!$B$2:$FB$2=$H153), 0))</f>
        <v>0</v>
      </c>
      <c r="AA153" s="11" cm="1">
        <f t="array" ref="AA153">INDEX(Raw!S:FS, MATCH(AA$4, Raw!$A:$A, 0), MATCH(1, (Raw!$B$1:$FB$1=$I153)*(Raw!$B$2:$FB$2=$H153), 0))</f>
        <v>0</v>
      </c>
      <c r="AB153" s="11" cm="1">
        <f t="array" ref="AB153">INDEX(Raw!T:FT, MATCH(AB$4, Raw!$A:$A, 0), MATCH(1, (Raw!$B$1:$FB$1=$I153)*(Raw!$B$2:$FB$2=$H153), 0))</f>
        <v>0</v>
      </c>
      <c r="AC153" s="11" cm="1">
        <f t="array" ref="AC153">INDEX(Raw!U:FU, MATCH(AC$4, Raw!$A:$A, 0), MATCH(1, (Raw!$B$1:$FB$1=$I153)*(Raw!$B$2:$FB$2=$H153), 0))</f>
        <v>0</v>
      </c>
      <c r="AD153" s="11" cm="1">
        <f t="array" ref="AD153">INDEX(Raw!V:FV, MATCH(AD$4, Raw!$A:$A, 0), MATCH(1, (Raw!$B$1:$FB$1=$I153)*(Raw!$B$2:$FB$2=$H153), 0))</f>
        <v>0</v>
      </c>
    </row>
    <row r="154" spans="6:30" x14ac:dyDescent="0.25">
      <c r="F154" s="11" t="s">
        <v>28</v>
      </c>
      <c r="G154" s="15">
        <f t="shared" ca="1" si="4"/>
        <v>46088</v>
      </c>
      <c r="H154" s="11">
        <f>H153</f>
        <v>1988</v>
      </c>
      <c r="I154" s="11" t="s">
        <v>22</v>
      </c>
      <c r="J154" s="11" cm="1">
        <f t="array" ref="J154">INDEX(Raw!B:FB, MATCH(J$4, Raw!$A:$A, 0), MATCH(1, (Raw!$B$1:$FB$1=$I154)*(Raw!$B$2:$FB$2=$H154), 0))</f>
        <v>2128320000.0000002</v>
      </c>
      <c r="K154" s="11" cm="1">
        <f t="array" ref="K154">INDEX(Raw!C:FC, MATCH(K$4, Raw!$A:$A, 0), MATCH(1, (Raw!$B$1:$FB$1=$I154)*(Raw!$B$2:$FB$2=$H154), 0))</f>
        <v>1020974000</v>
      </c>
      <c r="L154" s="11" cm="1">
        <f t="array" ref="L154">INDEX(Raw!D:FD, MATCH(L$4, Raw!$A:$A, 0), MATCH(1, (Raw!$B$1:$FB$1=$I154)*(Raw!$B$2:$FB$2=$H154), 0))</f>
        <v>1007787000</v>
      </c>
      <c r="M154" s="11" cm="1">
        <f t="array" ref="M154">INDEX(Raw!E:FE, MATCH(M$4, Raw!$A:$A, 0), MATCH(1, (Raw!$B$1:$FB$1=$I154)*(Raw!$B$2:$FB$2=$H154), 0))</f>
        <v>469902000</v>
      </c>
      <c r="N154" s="11" cm="1">
        <f t="array" ref="N154">INDEX(Raw!F:FF, MATCH(N$4, Raw!$A:$A, 0), MATCH(1, (Raw!$B$1:$FB$1=$I154)*(Raw!$B$2:$FB$2=$H154), 0))</f>
        <v>0</v>
      </c>
      <c r="O154" s="11" cm="1">
        <f t="array" ref="O154">INDEX(Raw!G:FG, MATCH(O$4, Raw!$A:$A, 0), MATCH(1, (Raw!$B$1:$FB$1=$I154)*(Raw!$B$2:$FB$2=$H154), 0))</f>
        <v>790695000</v>
      </c>
      <c r="P154" s="11" cm="1">
        <f t="array" ref="P154">INDEX(Raw!H:FH, MATCH(P$4, Raw!$A:$A, 0), MATCH(1, (Raw!$B$1:$FB$1=$I154)*(Raw!$B$2:$FB$2=$H154), 0))</f>
        <v>324115000</v>
      </c>
      <c r="Q154" s="11" cm="1">
        <f t="array" ref="Q154">INDEX(Raw!I:FI, MATCH(Q$4, Raw!$A:$A, 0), MATCH(1, (Raw!$B$1:$FB$1=$I154)*(Raw!$B$2:$FB$2=$H154), 0))</f>
        <v>0</v>
      </c>
      <c r="R154" s="11" cm="1">
        <f t="array" ref="R154">INDEX(Raw!J:FJ, MATCH(R$4, Raw!$A:$A, 0), MATCH(1, (Raw!$B$1:$FB$1=$I154)*(Raw!$B$2:$FB$2=$H154), 0))</f>
        <v>0</v>
      </c>
      <c r="S154" s="11" cm="1">
        <f t="array" ref="S154">INDEX(Raw!K:FK, MATCH(S$4, Raw!$A:$A, 0), MATCH(1, (Raw!$B$1:$FB$1=$I154)*(Raw!$B$2:$FB$2=$H154), 0))</f>
        <v>0</v>
      </c>
      <c r="T154" s="11" cm="1">
        <f t="array" ref="T154">INDEX(Raw!L:FL, MATCH(T$4, Raw!$A:$A, 0), MATCH(1, (Raw!$B$1:$FB$1=$I154)*(Raw!$B$2:$FB$2=$H154), 0))</f>
        <v>0</v>
      </c>
      <c r="U154" s="11" cm="1">
        <f t="array" ref="U154">INDEX(Raw!M:FM, MATCH(U$4, Raw!$A:$A, 0), MATCH(1, (Raw!$B$1:$FB$1=$I154)*(Raw!$B$2:$FB$2=$H154), 0))</f>
        <v>0</v>
      </c>
      <c r="V154" s="11" cm="1">
        <f t="array" ref="V154">INDEX(Raw!N:FN, MATCH(V$4, Raw!$A:$A, 0), MATCH(1, (Raw!$B$1:$FB$1=$I154)*(Raw!$B$2:$FB$2=$H154), 0))</f>
        <v>0</v>
      </c>
      <c r="W154" s="11" cm="1">
        <f t="array" ref="W154">INDEX(Raw!O:FO, MATCH(W$4, Raw!$A:$A, 0), MATCH(1, (Raw!$B$1:$FB$1=$I154)*(Raw!$B$2:$FB$2=$H154), 0))</f>
        <v>0</v>
      </c>
      <c r="X154" s="11" cm="1">
        <f t="array" ref="X154">INDEX(Raw!P:FP, MATCH(X$4, Raw!$A:$A, 0), MATCH(1, (Raw!$B$1:$FB$1=$I154)*(Raw!$B$2:$FB$2=$H154), 0))</f>
        <v>0</v>
      </c>
      <c r="Y154" s="11" cm="1">
        <f t="array" ref="Y154">INDEX(Raw!Q:FQ, MATCH(Y$4, Raw!$A:$A, 0), MATCH(1, (Raw!$B$1:$FB$1=$I154)*(Raw!$B$2:$FB$2=$H154), 0))</f>
        <v>0</v>
      </c>
      <c r="Z154" s="11" cm="1">
        <f t="array" ref="Z154">INDEX(Raw!R:FR, MATCH(Z$4, Raw!$A:$A, 0), MATCH(1, (Raw!$B$1:$FB$1=$I154)*(Raw!$B$2:$FB$2=$H154), 0))</f>
        <v>0</v>
      </c>
      <c r="AA154" s="11" cm="1">
        <f t="array" ref="AA154">INDEX(Raw!S:FS, MATCH(AA$4, Raw!$A:$A, 0), MATCH(1, (Raw!$B$1:$FB$1=$I154)*(Raw!$B$2:$FB$2=$H154), 0))</f>
        <v>0</v>
      </c>
      <c r="AB154" s="11" cm="1">
        <f t="array" ref="AB154">INDEX(Raw!T:FT, MATCH(AB$4, Raw!$A:$A, 0), MATCH(1, (Raw!$B$1:$FB$1=$I154)*(Raw!$B$2:$FB$2=$H154), 0))</f>
        <v>0</v>
      </c>
      <c r="AC154" s="11" cm="1">
        <f t="array" ref="AC154">INDEX(Raw!U:FU, MATCH(AC$4, Raw!$A:$A, 0), MATCH(1, (Raw!$B$1:$FB$1=$I154)*(Raw!$B$2:$FB$2=$H154), 0))</f>
        <v>0</v>
      </c>
      <c r="AD154" s="11" cm="1">
        <f t="array" ref="AD154">INDEX(Raw!V:FV, MATCH(AD$4, Raw!$A:$A, 0), MATCH(1, (Raw!$B$1:$FB$1=$I154)*(Raw!$B$2:$FB$2=$H154), 0))</f>
        <v>0</v>
      </c>
    </row>
    <row r="155" spans="6:30" x14ac:dyDescent="0.25">
      <c r="F155" s="11" t="s">
        <v>28</v>
      </c>
      <c r="G155" s="15">
        <f t="shared" ca="1" si="4"/>
        <v>46088</v>
      </c>
      <c r="H155" s="11">
        <f>H154</f>
        <v>1988</v>
      </c>
      <c r="I155" s="11" t="s">
        <v>23</v>
      </c>
      <c r="J155" s="11" cm="1">
        <f t="array" ref="J155">INDEX(Raw!B:FB, MATCH(J$4, Raw!$A:$A, 0), MATCH(1, (Raw!$B$1:$FB$1=$I155)*(Raw!$B$2:$FB$2=$H155), 0))</f>
        <v>2313632000</v>
      </c>
      <c r="K155" s="11" cm="1">
        <f t="array" ref="K155">INDEX(Raw!C:FC, MATCH(K$4, Raw!$A:$A, 0), MATCH(1, (Raw!$B$1:$FB$1=$I155)*(Raw!$B$2:$FB$2=$H155), 0))</f>
        <v>861263000</v>
      </c>
      <c r="L155" s="11" cm="1">
        <f t="array" ref="L155">INDEX(Raw!D:FD, MATCH(L$4, Raw!$A:$A, 0), MATCH(1, (Raw!$B$1:$FB$1=$I155)*(Raw!$B$2:$FB$2=$H155), 0))</f>
        <v>652149000</v>
      </c>
      <c r="M155" s="11" cm="1">
        <f t="array" ref="M155">INDEX(Raw!E:FE, MATCH(M$4, Raw!$A:$A, 0), MATCH(1, (Raw!$B$1:$FB$1=$I155)*(Raw!$B$2:$FB$2=$H155), 0))</f>
        <v>837039000</v>
      </c>
      <c r="N155" s="11" cm="1">
        <f t="array" ref="N155">INDEX(Raw!F:FF, MATCH(N$4, Raw!$A:$A, 0), MATCH(1, (Raw!$B$1:$FB$1=$I155)*(Raw!$B$2:$FB$2=$H155), 0))</f>
        <v>0</v>
      </c>
      <c r="O155" s="11" cm="1">
        <f t="array" ref="O155">INDEX(Raw!G:FG, MATCH(O$4, Raw!$A:$A, 0), MATCH(1, (Raw!$B$1:$FB$1=$I155)*(Raw!$B$2:$FB$2=$H155), 0))</f>
        <v>603756000</v>
      </c>
      <c r="P155" s="11" cm="1">
        <f t="array" ref="P155">INDEX(Raw!H:FH, MATCH(P$4, Raw!$A:$A, 0), MATCH(1, (Raw!$B$1:$FB$1=$I155)*(Raw!$B$2:$FB$2=$H155), 0))</f>
        <v>0</v>
      </c>
      <c r="Q155" s="11" cm="1">
        <f t="array" ref="Q155">INDEX(Raw!I:FI, MATCH(Q$4, Raw!$A:$A, 0), MATCH(1, (Raw!$B$1:$FB$1=$I155)*(Raw!$B$2:$FB$2=$H155), 0))</f>
        <v>0</v>
      </c>
      <c r="R155" s="11" cm="1">
        <f t="array" ref="R155">INDEX(Raw!J:FJ, MATCH(R$4, Raw!$A:$A, 0), MATCH(1, (Raw!$B$1:$FB$1=$I155)*(Raw!$B$2:$FB$2=$H155), 0))</f>
        <v>0</v>
      </c>
      <c r="S155" s="11" cm="1">
        <f t="array" ref="S155">INDEX(Raw!K:FK, MATCH(S$4, Raw!$A:$A, 0), MATCH(1, (Raw!$B$1:$FB$1=$I155)*(Raw!$B$2:$FB$2=$H155), 0))</f>
        <v>0</v>
      </c>
      <c r="T155" s="11" cm="1">
        <f t="array" ref="T155">INDEX(Raw!L:FL, MATCH(T$4, Raw!$A:$A, 0), MATCH(1, (Raw!$B$1:$FB$1=$I155)*(Raw!$B$2:$FB$2=$H155), 0))</f>
        <v>0</v>
      </c>
      <c r="U155" s="11" cm="1">
        <f t="array" ref="U155">INDEX(Raw!M:FM, MATCH(U$4, Raw!$A:$A, 0), MATCH(1, (Raw!$B$1:$FB$1=$I155)*(Raw!$B$2:$FB$2=$H155), 0))</f>
        <v>0</v>
      </c>
      <c r="V155" s="11" cm="1">
        <f t="array" ref="V155">INDEX(Raw!N:FN, MATCH(V$4, Raw!$A:$A, 0), MATCH(1, (Raw!$B$1:$FB$1=$I155)*(Raw!$B$2:$FB$2=$H155), 0))</f>
        <v>0</v>
      </c>
      <c r="W155" s="11" cm="1">
        <f t="array" ref="W155">INDEX(Raw!O:FO, MATCH(W$4, Raw!$A:$A, 0), MATCH(1, (Raw!$B$1:$FB$1=$I155)*(Raw!$B$2:$FB$2=$H155), 0))</f>
        <v>0</v>
      </c>
      <c r="X155" s="11" cm="1">
        <f t="array" ref="X155">INDEX(Raw!P:FP, MATCH(X$4, Raw!$A:$A, 0), MATCH(1, (Raw!$B$1:$FB$1=$I155)*(Raw!$B$2:$FB$2=$H155), 0))</f>
        <v>0</v>
      </c>
      <c r="Y155" s="11" cm="1">
        <f t="array" ref="Y155">INDEX(Raw!Q:FQ, MATCH(Y$4, Raw!$A:$A, 0), MATCH(1, (Raw!$B$1:$FB$1=$I155)*(Raw!$B$2:$FB$2=$H155), 0))</f>
        <v>0</v>
      </c>
      <c r="Z155" s="11" cm="1">
        <f t="array" ref="Z155">INDEX(Raw!R:FR, MATCH(Z$4, Raw!$A:$A, 0), MATCH(1, (Raw!$B$1:$FB$1=$I155)*(Raw!$B$2:$FB$2=$H155), 0))</f>
        <v>0</v>
      </c>
      <c r="AA155" s="11" cm="1">
        <f t="array" ref="AA155">INDEX(Raw!S:FS, MATCH(AA$4, Raw!$A:$A, 0), MATCH(1, (Raw!$B$1:$FB$1=$I155)*(Raw!$B$2:$FB$2=$H155), 0))</f>
        <v>0</v>
      </c>
      <c r="AB155" s="11" cm="1">
        <f t="array" ref="AB155">INDEX(Raw!T:FT, MATCH(AB$4, Raw!$A:$A, 0), MATCH(1, (Raw!$B$1:$FB$1=$I155)*(Raw!$B$2:$FB$2=$H155), 0))</f>
        <v>0</v>
      </c>
      <c r="AC155" s="11" cm="1">
        <f t="array" ref="AC155">INDEX(Raw!U:FU, MATCH(AC$4, Raw!$A:$A, 0), MATCH(1, (Raw!$B$1:$FB$1=$I155)*(Raw!$B$2:$FB$2=$H155), 0))</f>
        <v>0</v>
      </c>
      <c r="AD155" s="11" cm="1">
        <f t="array" ref="AD155">INDEX(Raw!V:FV, MATCH(AD$4, Raw!$A:$A, 0), MATCH(1, (Raw!$B$1:$FB$1=$I155)*(Raw!$B$2:$FB$2=$H155), 0))</f>
        <v>0</v>
      </c>
    </row>
    <row r="156" spans="6:30" x14ac:dyDescent="0.25">
      <c r="F156" s="11" t="s">
        <v>28</v>
      </c>
      <c r="G156" s="15">
        <f t="shared" ca="1" si="4"/>
        <v>46088</v>
      </c>
      <c r="H156" s="11">
        <f>H155</f>
        <v>1988</v>
      </c>
      <c r="I156" s="11" t="s">
        <v>24</v>
      </c>
      <c r="J156" s="11" cm="1">
        <f t="array" ref="J156">INDEX(Raw!B:FB, MATCH(J$4, Raw!$A:$A, 0), MATCH(1, (Raw!$B$1:$FB$1=$I156)*(Raw!$B$2:$FB$2=$H156), 0))</f>
        <v>1869050000</v>
      </c>
      <c r="K156" s="11" cm="1">
        <f t="array" ref="K156">INDEX(Raw!C:FC, MATCH(K$4, Raw!$A:$A, 0), MATCH(1, (Raw!$B$1:$FB$1=$I156)*(Raw!$B$2:$FB$2=$H156), 0))</f>
        <v>191775000</v>
      </c>
      <c r="L156" s="11" cm="1">
        <f t="array" ref="L156">INDEX(Raw!D:FD, MATCH(L$4, Raw!$A:$A, 0), MATCH(1, (Raw!$B$1:$FB$1=$I156)*(Raw!$B$2:$FB$2=$H156), 0))</f>
        <v>1231193000</v>
      </c>
      <c r="M156" s="11" cm="1">
        <f t="array" ref="M156">INDEX(Raw!E:FE, MATCH(M$4, Raw!$A:$A, 0), MATCH(1, (Raw!$B$1:$FB$1=$I156)*(Raw!$B$2:$FB$2=$H156), 0))</f>
        <v>790695000</v>
      </c>
      <c r="N156" s="11" cm="1">
        <f t="array" ref="N156">INDEX(Raw!F:FF, MATCH(N$4, Raw!$A:$A, 0), MATCH(1, (Raw!$B$1:$FB$1=$I156)*(Raw!$B$2:$FB$2=$H156), 0))</f>
        <v>0</v>
      </c>
      <c r="O156" s="11" cm="1">
        <f t="array" ref="O156">INDEX(Raw!G:FG, MATCH(O$4, Raw!$A:$A, 0), MATCH(1, (Raw!$B$1:$FB$1=$I156)*(Raw!$B$2:$FB$2=$H156), 0))</f>
        <v>0</v>
      </c>
      <c r="P156" s="11" cm="1">
        <f t="array" ref="P156">INDEX(Raw!H:FH, MATCH(P$4, Raw!$A:$A, 0), MATCH(1, (Raw!$B$1:$FB$1=$I156)*(Raw!$B$2:$FB$2=$H156), 0))</f>
        <v>0</v>
      </c>
      <c r="Q156" s="11" cm="1">
        <f t="array" ref="Q156">INDEX(Raw!I:FI, MATCH(Q$4, Raw!$A:$A, 0), MATCH(1, (Raw!$B$1:$FB$1=$I156)*(Raw!$B$2:$FB$2=$H156), 0))</f>
        <v>0</v>
      </c>
      <c r="R156" s="11" cm="1">
        <f t="array" ref="R156">INDEX(Raw!J:FJ, MATCH(R$4, Raw!$A:$A, 0), MATCH(1, (Raw!$B$1:$FB$1=$I156)*(Raw!$B$2:$FB$2=$H156), 0))</f>
        <v>0</v>
      </c>
      <c r="S156" s="11" cm="1">
        <f t="array" ref="S156">INDEX(Raw!K:FK, MATCH(S$4, Raw!$A:$A, 0), MATCH(1, (Raw!$B$1:$FB$1=$I156)*(Raw!$B$2:$FB$2=$H156), 0))</f>
        <v>0</v>
      </c>
      <c r="T156" s="11" cm="1">
        <f t="array" ref="T156">INDEX(Raw!L:FL, MATCH(T$4, Raw!$A:$A, 0), MATCH(1, (Raw!$B$1:$FB$1=$I156)*(Raw!$B$2:$FB$2=$H156), 0))</f>
        <v>0</v>
      </c>
      <c r="U156" s="11" cm="1">
        <f t="array" ref="U156">INDEX(Raw!M:FM, MATCH(U$4, Raw!$A:$A, 0), MATCH(1, (Raw!$B$1:$FB$1=$I156)*(Raw!$B$2:$FB$2=$H156), 0))</f>
        <v>0</v>
      </c>
      <c r="V156" s="11" cm="1">
        <f t="array" ref="V156">INDEX(Raw!N:FN, MATCH(V$4, Raw!$A:$A, 0), MATCH(1, (Raw!$B$1:$FB$1=$I156)*(Raw!$B$2:$FB$2=$H156), 0))</f>
        <v>0</v>
      </c>
      <c r="W156" s="11" cm="1">
        <f t="array" ref="W156">INDEX(Raw!O:FO, MATCH(W$4, Raw!$A:$A, 0), MATCH(1, (Raw!$B$1:$FB$1=$I156)*(Raw!$B$2:$FB$2=$H156), 0))</f>
        <v>0</v>
      </c>
      <c r="X156" s="11" cm="1">
        <f t="array" ref="X156">INDEX(Raw!P:FP, MATCH(X$4, Raw!$A:$A, 0), MATCH(1, (Raw!$B$1:$FB$1=$I156)*(Raw!$B$2:$FB$2=$H156), 0))</f>
        <v>0</v>
      </c>
      <c r="Y156" s="11" cm="1">
        <f t="array" ref="Y156">INDEX(Raw!Q:FQ, MATCH(Y$4, Raw!$A:$A, 0), MATCH(1, (Raw!$B$1:$FB$1=$I156)*(Raw!$B$2:$FB$2=$H156), 0))</f>
        <v>0</v>
      </c>
      <c r="Z156" s="11" cm="1">
        <f t="array" ref="Z156">INDEX(Raw!R:FR, MATCH(Z$4, Raw!$A:$A, 0), MATCH(1, (Raw!$B$1:$FB$1=$I156)*(Raw!$B$2:$FB$2=$H156), 0))</f>
        <v>0</v>
      </c>
      <c r="AA156" s="11" cm="1">
        <f t="array" ref="AA156">INDEX(Raw!S:FS, MATCH(AA$4, Raw!$A:$A, 0), MATCH(1, (Raw!$B$1:$FB$1=$I156)*(Raw!$B$2:$FB$2=$H156), 0))</f>
        <v>0</v>
      </c>
      <c r="AB156" s="11" cm="1">
        <f t="array" ref="AB156">INDEX(Raw!T:FT, MATCH(AB$4, Raw!$A:$A, 0), MATCH(1, (Raw!$B$1:$FB$1=$I156)*(Raw!$B$2:$FB$2=$H156), 0))</f>
        <v>0</v>
      </c>
      <c r="AC156" s="11" cm="1">
        <f t="array" ref="AC156">INDEX(Raw!U:FU, MATCH(AC$4, Raw!$A:$A, 0), MATCH(1, (Raw!$B$1:$FB$1=$I156)*(Raw!$B$2:$FB$2=$H156), 0))</f>
        <v>0</v>
      </c>
      <c r="AD156" s="11" cm="1">
        <f t="array" ref="AD156">INDEX(Raw!V:FV, MATCH(AD$4, Raw!$A:$A, 0), MATCH(1, (Raw!$B$1:$FB$1=$I156)*(Raw!$B$2:$FB$2=$H156), 0))</f>
        <v>0</v>
      </c>
    </row>
    <row r="157" spans="6:30" x14ac:dyDescent="0.25">
      <c r="F157" s="11" t="s">
        <v>28</v>
      </c>
      <c r="G157" s="15">
        <f t="shared" ca="1" si="4"/>
        <v>46088</v>
      </c>
      <c r="H157" s="11">
        <f>H153-1</f>
        <v>1987</v>
      </c>
      <c r="I157" s="11" t="s">
        <v>21</v>
      </c>
      <c r="J157" s="11" cm="1">
        <f t="array" ref="J157">INDEX(Raw!B:FB, MATCH(J$4, Raw!$A:$A, 0), MATCH(1, (Raw!$B$1:$FB$1=$I157)*(Raw!$B$2:$FB$2=$H157), 0))</f>
        <v>843924000</v>
      </c>
      <c r="K157" s="11" cm="1">
        <f t="array" ref="K157">INDEX(Raw!C:FC, MATCH(K$4, Raw!$A:$A, 0), MATCH(1, (Raw!$B$1:$FB$1=$I157)*(Raw!$B$2:$FB$2=$H157), 0))</f>
        <v>1251933000</v>
      </c>
      <c r="L157" s="11" cm="1">
        <f t="array" ref="L157">INDEX(Raw!D:FD, MATCH(L$4, Raw!$A:$A, 0), MATCH(1, (Raw!$B$1:$FB$1=$I157)*(Raw!$B$2:$FB$2=$H157), 0))</f>
        <v>1213969000</v>
      </c>
      <c r="M157" s="11" cm="1">
        <f t="array" ref="M157">INDEX(Raw!E:FE, MATCH(M$4, Raw!$A:$A, 0), MATCH(1, (Raw!$B$1:$FB$1=$I157)*(Raw!$B$2:$FB$2=$H157), 0))</f>
        <v>603756000</v>
      </c>
      <c r="N157" s="11" cm="1">
        <f t="array" ref="N157">INDEX(Raw!F:FF, MATCH(N$4, Raw!$A:$A, 0), MATCH(1, (Raw!$B$1:$FB$1=$I157)*(Raw!$B$2:$FB$2=$H157), 0))</f>
        <v>0</v>
      </c>
      <c r="O157" s="11" cm="1">
        <f t="array" ref="O157">INDEX(Raw!G:FG, MATCH(O$4, Raw!$A:$A, 0), MATCH(1, (Raw!$B$1:$FB$1=$I157)*(Raw!$B$2:$FB$2=$H157), 0))</f>
        <v>0</v>
      </c>
      <c r="P157" s="11" cm="1">
        <f t="array" ref="P157">INDEX(Raw!H:FH, MATCH(P$4, Raw!$A:$A, 0), MATCH(1, (Raw!$B$1:$FB$1=$I157)*(Raw!$B$2:$FB$2=$H157), 0))</f>
        <v>0</v>
      </c>
      <c r="Q157" s="11" cm="1">
        <f t="array" ref="Q157">INDEX(Raw!I:FI, MATCH(Q$4, Raw!$A:$A, 0), MATCH(1, (Raw!$B$1:$FB$1=$I157)*(Raw!$B$2:$FB$2=$H157), 0))</f>
        <v>0</v>
      </c>
      <c r="R157" s="11" cm="1">
        <f t="array" ref="R157">INDEX(Raw!J:FJ, MATCH(R$4, Raw!$A:$A, 0), MATCH(1, (Raw!$B$1:$FB$1=$I157)*(Raw!$B$2:$FB$2=$H157), 0))</f>
        <v>0</v>
      </c>
      <c r="S157" s="11" cm="1">
        <f t="array" ref="S157">INDEX(Raw!K:FK, MATCH(S$4, Raw!$A:$A, 0), MATCH(1, (Raw!$B$1:$FB$1=$I157)*(Raw!$B$2:$FB$2=$H157), 0))</f>
        <v>0</v>
      </c>
      <c r="T157" s="11" cm="1">
        <f t="array" ref="T157">INDEX(Raw!L:FL, MATCH(T$4, Raw!$A:$A, 0), MATCH(1, (Raw!$B$1:$FB$1=$I157)*(Raw!$B$2:$FB$2=$H157), 0))</f>
        <v>0</v>
      </c>
      <c r="U157" s="11" cm="1">
        <f t="array" ref="U157">INDEX(Raw!M:FM, MATCH(U$4, Raw!$A:$A, 0), MATCH(1, (Raw!$B$1:$FB$1=$I157)*(Raw!$B$2:$FB$2=$H157), 0))</f>
        <v>0</v>
      </c>
      <c r="V157" s="11" cm="1">
        <f t="array" ref="V157">INDEX(Raw!N:FN, MATCH(V$4, Raw!$A:$A, 0), MATCH(1, (Raw!$B$1:$FB$1=$I157)*(Raw!$B$2:$FB$2=$H157), 0))</f>
        <v>0</v>
      </c>
      <c r="W157" s="11" cm="1">
        <f t="array" ref="W157">INDEX(Raw!O:FO, MATCH(W$4, Raw!$A:$A, 0), MATCH(1, (Raw!$B$1:$FB$1=$I157)*(Raw!$B$2:$FB$2=$H157), 0))</f>
        <v>0</v>
      </c>
      <c r="X157" s="11" cm="1">
        <f t="array" ref="X157">INDEX(Raw!P:FP, MATCH(X$4, Raw!$A:$A, 0), MATCH(1, (Raw!$B$1:$FB$1=$I157)*(Raw!$B$2:$FB$2=$H157), 0))</f>
        <v>0</v>
      </c>
      <c r="Y157" s="11" cm="1">
        <f t="array" ref="Y157">INDEX(Raw!Q:FQ, MATCH(Y$4, Raw!$A:$A, 0), MATCH(1, (Raw!$B$1:$FB$1=$I157)*(Raw!$B$2:$FB$2=$H157), 0))</f>
        <v>0</v>
      </c>
      <c r="Z157" s="11" cm="1">
        <f t="array" ref="Z157">INDEX(Raw!R:FR, MATCH(Z$4, Raw!$A:$A, 0), MATCH(1, (Raw!$B$1:$FB$1=$I157)*(Raw!$B$2:$FB$2=$H157), 0))</f>
        <v>0</v>
      </c>
      <c r="AA157" s="11" cm="1">
        <f t="array" ref="AA157">INDEX(Raw!S:FS, MATCH(AA$4, Raw!$A:$A, 0), MATCH(1, (Raw!$B$1:$FB$1=$I157)*(Raw!$B$2:$FB$2=$H157), 0))</f>
        <v>0</v>
      </c>
      <c r="AB157" s="11" cm="1">
        <f t="array" ref="AB157">INDEX(Raw!T:FT, MATCH(AB$4, Raw!$A:$A, 0), MATCH(1, (Raw!$B$1:$FB$1=$I157)*(Raw!$B$2:$FB$2=$H157), 0))</f>
        <v>0</v>
      </c>
      <c r="AC157" s="11" cm="1">
        <f t="array" ref="AC157">INDEX(Raw!U:FU, MATCH(AC$4, Raw!$A:$A, 0), MATCH(1, (Raw!$B$1:$FB$1=$I157)*(Raw!$B$2:$FB$2=$H157), 0))</f>
        <v>0</v>
      </c>
      <c r="AD157" s="11" cm="1">
        <f t="array" ref="AD157">INDEX(Raw!V:FV, MATCH(AD$4, Raw!$A:$A, 0), MATCH(1, (Raw!$B$1:$FB$1=$I157)*(Raw!$B$2:$FB$2=$H157), 0))</f>
        <v>0</v>
      </c>
    </row>
    <row r="158" spans="6:30" x14ac:dyDescent="0.25">
      <c r="F158" s="11" t="s">
        <v>28</v>
      </c>
      <c r="G158" s="15">
        <f t="shared" ca="1" si="4"/>
        <v>46088</v>
      </c>
      <c r="H158" s="11">
        <f>H157</f>
        <v>1987</v>
      </c>
      <c r="I158" s="11" t="s">
        <v>22</v>
      </c>
      <c r="J158" s="11" cm="1">
        <f t="array" ref="J158">INDEX(Raw!B:FB, MATCH(J$4, Raw!$A:$A, 0), MATCH(1, (Raw!$B$1:$FB$1=$I158)*(Raw!$B$2:$FB$2=$H158), 0))</f>
        <v>2483126000</v>
      </c>
      <c r="K158" s="11" cm="1">
        <f t="array" ref="K158">INDEX(Raw!C:FC, MATCH(K$4, Raw!$A:$A, 0), MATCH(1, (Raw!$B$1:$FB$1=$I158)*(Raw!$B$2:$FB$2=$H158), 0))</f>
        <v>1221200000</v>
      </c>
      <c r="L158" s="11" cm="1">
        <f t="array" ref="L158">INDEX(Raw!D:FD, MATCH(L$4, Raw!$A:$A, 0), MATCH(1, (Raw!$B$1:$FB$1=$I158)*(Raw!$B$2:$FB$2=$H158), 0))</f>
        <v>927871000</v>
      </c>
      <c r="M158" s="11" cm="1">
        <f t="array" ref="M158">INDEX(Raw!E:FE, MATCH(M$4, Raw!$A:$A, 0), MATCH(1, (Raw!$B$1:$FB$1=$I158)*(Raw!$B$2:$FB$2=$H158), 0))</f>
        <v>0</v>
      </c>
      <c r="N158" s="11" cm="1">
        <f t="array" ref="N158">INDEX(Raw!F:FF, MATCH(N$4, Raw!$A:$A, 0), MATCH(1, (Raw!$B$1:$FB$1=$I158)*(Raw!$B$2:$FB$2=$H158), 0))</f>
        <v>0</v>
      </c>
      <c r="O158" s="11" cm="1">
        <f t="array" ref="O158">INDEX(Raw!G:FG, MATCH(O$4, Raw!$A:$A, 0), MATCH(1, (Raw!$B$1:$FB$1=$I158)*(Raw!$B$2:$FB$2=$H158), 0))</f>
        <v>0</v>
      </c>
      <c r="P158" s="11" cm="1">
        <f t="array" ref="P158">INDEX(Raw!H:FH, MATCH(P$4, Raw!$A:$A, 0), MATCH(1, (Raw!$B$1:$FB$1=$I158)*(Raw!$B$2:$FB$2=$H158), 0))</f>
        <v>0</v>
      </c>
      <c r="Q158" s="11" cm="1">
        <f t="array" ref="Q158">INDEX(Raw!I:FI, MATCH(Q$4, Raw!$A:$A, 0), MATCH(1, (Raw!$B$1:$FB$1=$I158)*(Raw!$B$2:$FB$2=$H158), 0))</f>
        <v>0</v>
      </c>
      <c r="R158" s="11" cm="1">
        <f t="array" ref="R158">INDEX(Raw!J:FJ, MATCH(R$4, Raw!$A:$A, 0), MATCH(1, (Raw!$B$1:$FB$1=$I158)*(Raw!$B$2:$FB$2=$H158), 0))</f>
        <v>0</v>
      </c>
      <c r="S158" s="11" cm="1">
        <f t="array" ref="S158">INDEX(Raw!K:FK, MATCH(S$4, Raw!$A:$A, 0), MATCH(1, (Raw!$B$1:$FB$1=$I158)*(Raw!$B$2:$FB$2=$H158), 0))</f>
        <v>0</v>
      </c>
      <c r="T158" s="11" cm="1">
        <f t="array" ref="T158">INDEX(Raw!L:FL, MATCH(T$4, Raw!$A:$A, 0), MATCH(1, (Raw!$B$1:$FB$1=$I158)*(Raw!$B$2:$FB$2=$H158), 0))</f>
        <v>0</v>
      </c>
      <c r="U158" s="11" cm="1">
        <f t="array" ref="U158">INDEX(Raw!M:FM, MATCH(U$4, Raw!$A:$A, 0), MATCH(1, (Raw!$B$1:$FB$1=$I158)*(Raw!$B$2:$FB$2=$H158), 0))</f>
        <v>0</v>
      </c>
      <c r="V158" s="11" cm="1">
        <f t="array" ref="V158">INDEX(Raw!N:FN, MATCH(V$4, Raw!$A:$A, 0), MATCH(1, (Raw!$B$1:$FB$1=$I158)*(Raw!$B$2:$FB$2=$H158), 0))</f>
        <v>0</v>
      </c>
      <c r="W158" s="11" cm="1">
        <f t="array" ref="W158">INDEX(Raw!O:FO, MATCH(W$4, Raw!$A:$A, 0), MATCH(1, (Raw!$B$1:$FB$1=$I158)*(Raw!$B$2:$FB$2=$H158), 0))</f>
        <v>0</v>
      </c>
      <c r="X158" s="11" cm="1">
        <f t="array" ref="X158">INDEX(Raw!P:FP, MATCH(X$4, Raw!$A:$A, 0), MATCH(1, (Raw!$B$1:$FB$1=$I158)*(Raw!$B$2:$FB$2=$H158), 0))</f>
        <v>0</v>
      </c>
      <c r="Y158" s="11" cm="1">
        <f t="array" ref="Y158">INDEX(Raw!Q:FQ, MATCH(Y$4, Raw!$A:$A, 0), MATCH(1, (Raw!$B$1:$FB$1=$I158)*(Raw!$B$2:$FB$2=$H158), 0))</f>
        <v>0</v>
      </c>
      <c r="Z158" s="11" cm="1">
        <f t="array" ref="Z158">INDEX(Raw!R:FR, MATCH(Z$4, Raw!$A:$A, 0), MATCH(1, (Raw!$B$1:$FB$1=$I158)*(Raw!$B$2:$FB$2=$H158), 0))</f>
        <v>0</v>
      </c>
      <c r="AA158" s="11" cm="1">
        <f t="array" ref="AA158">INDEX(Raw!S:FS, MATCH(AA$4, Raw!$A:$A, 0), MATCH(1, (Raw!$B$1:$FB$1=$I158)*(Raw!$B$2:$FB$2=$H158), 0))</f>
        <v>0</v>
      </c>
      <c r="AB158" s="11" cm="1">
        <f t="array" ref="AB158">INDEX(Raw!T:FT, MATCH(AB$4, Raw!$A:$A, 0), MATCH(1, (Raw!$B$1:$FB$1=$I158)*(Raw!$B$2:$FB$2=$H158), 0))</f>
        <v>0</v>
      </c>
      <c r="AC158" s="11" cm="1">
        <f t="array" ref="AC158">INDEX(Raw!U:FU, MATCH(AC$4, Raw!$A:$A, 0), MATCH(1, (Raw!$B$1:$FB$1=$I158)*(Raw!$B$2:$FB$2=$H158), 0))</f>
        <v>0</v>
      </c>
      <c r="AD158" s="11" cm="1">
        <f t="array" ref="AD158">INDEX(Raw!V:FV, MATCH(AD$4, Raw!$A:$A, 0), MATCH(1, (Raw!$B$1:$FB$1=$I158)*(Raw!$B$2:$FB$2=$H158), 0))</f>
        <v>0</v>
      </c>
    </row>
    <row r="159" spans="6:30" x14ac:dyDescent="0.25">
      <c r="F159" s="11" t="s">
        <v>28</v>
      </c>
      <c r="G159" s="15">
        <f t="shared" ca="1" si="4"/>
        <v>46088</v>
      </c>
      <c r="H159" s="11">
        <f>H158</f>
        <v>1987</v>
      </c>
      <c r="I159" s="11" t="s">
        <v>23</v>
      </c>
      <c r="J159" s="11" cm="1">
        <f t="array" ref="J159">INDEX(Raw!B:FB, MATCH(J$4, Raw!$A:$A, 0), MATCH(1, (Raw!$B$1:$FB$1=$I159)*(Raw!$B$2:$FB$2=$H159), 0))</f>
        <v>2435169000</v>
      </c>
      <c r="K159" s="11" cm="1">
        <f t="array" ref="K159">INDEX(Raw!C:FC, MATCH(K$4, Raw!$A:$A, 0), MATCH(1, (Raw!$B$1:$FB$1=$I159)*(Raw!$B$2:$FB$2=$H159), 0))</f>
        <v>968251000</v>
      </c>
      <c r="L159" s="11" cm="1">
        <f t="array" ref="L159">INDEX(Raw!D:FD, MATCH(L$4, Raw!$A:$A, 0), MATCH(1, (Raw!$B$1:$FB$1=$I159)*(Raw!$B$2:$FB$2=$H159), 0))</f>
        <v>0</v>
      </c>
      <c r="M159" s="11" cm="1">
        <f t="array" ref="M159">INDEX(Raw!E:FE, MATCH(M$4, Raw!$A:$A, 0), MATCH(1, (Raw!$B$1:$FB$1=$I159)*(Raw!$B$2:$FB$2=$H159), 0))</f>
        <v>0</v>
      </c>
      <c r="N159" s="11" cm="1">
        <f t="array" ref="N159">INDEX(Raw!F:FF, MATCH(N$4, Raw!$A:$A, 0), MATCH(1, (Raw!$B$1:$FB$1=$I159)*(Raw!$B$2:$FB$2=$H159), 0))</f>
        <v>0</v>
      </c>
      <c r="O159" s="11" cm="1">
        <f t="array" ref="O159">INDEX(Raw!G:FG, MATCH(O$4, Raw!$A:$A, 0), MATCH(1, (Raw!$B$1:$FB$1=$I159)*(Raw!$B$2:$FB$2=$H159), 0))</f>
        <v>0</v>
      </c>
      <c r="P159" s="11" cm="1">
        <f t="array" ref="P159">INDEX(Raw!H:FH, MATCH(P$4, Raw!$A:$A, 0), MATCH(1, (Raw!$B$1:$FB$1=$I159)*(Raw!$B$2:$FB$2=$H159), 0))</f>
        <v>0</v>
      </c>
      <c r="Q159" s="11" cm="1">
        <f t="array" ref="Q159">INDEX(Raw!I:FI, MATCH(Q$4, Raw!$A:$A, 0), MATCH(1, (Raw!$B$1:$FB$1=$I159)*(Raw!$B$2:$FB$2=$H159), 0))</f>
        <v>0</v>
      </c>
      <c r="R159" s="11" cm="1">
        <f t="array" ref="R159">INDEX(Raw!J:FJ, MATCH(R$4, Raw!$A:$A, 0), MATCH(1, (Raw!$B$1:$FB$1=$I159)*(Raw!$B$2:$FB$2=$H159), 0))</f>
        <v>0</v>
      </c>
      <c r="S159" s="11" cm="1">
        <f t="array" ref="S159">INDEX(Raw!K:FK, MATCH(S$4, Raw!$A:$A, 0), MATCH(1, (Raw!$B$1:$FB$1=$I159)*(Raw!$B$2:$FB$2=$H159), 0))</f>
        <v>0</v>
      </c>
      <c r="T159" s="11" cm="1">
        <f t="array" ref="T159">INDEX(Raw!L:FL, MATCH(T$4, Raw!$A:$A, 0), MATCH(1, (Raw!$B$1:$FB$1=$I159)*(Raw!$B$2:$FB$2=$H159), 0))</f>
        <v>0</v>
      </c>
      <c r="U159" s="11" cm="1">
        <f t="array" ref="U159">INDEX(Raw!M:FM, MATCH(U$4, Raw!$A:$A, 0), MATCH(1, (Raw!$B$1:$FB$1=$I159)*(Raw!$B$2:$FB$2=$H159), 0))</f>
        <v>0</v>
      </c>
      <c r="V159" s="11" cm="1">
        <f t="array" ref="V159">INDEX(Raw!N:FN, MATCH(V$4, Raw!$A:$A, 0), MATCH(1, (Raw!$B$1:$FB$1=$I159)*(Raw!$B$2:$FB$2=$H159), 0))</f>
        <v>0</v>
      </c>
      <c r="W159" s="11" cm="1">
        <f t="array" ref="W159">INDEX(Raw!O:FO, MATCH(W$4, Raw!$A:$A, 0), MATCH(1, (Raw!$B$1:$FB$1=$I159)*(Raw!$B$2:$FB$2=$H159), 0))</f>
        <v>0</v>
      </c>
      <c r="X159" s="11" cm="1">
        <f t="array" ref="X159">INDEX(Raw!P:FP, MATCH(X$4, Raw!$A:$A, 0), MATCH(1, (Raw!$B$1:$FB$1=$I159)*(Raw!$B$2:$FB$2=$H159), 0))</f>
        <v>0</v>
      </c>
      <c r="Y159" s="11" cm="1">
        <f t="array" ref="Y159">INDEX(Raw!Q:FQ, MATCH(Y$4, Raw!$A:$A, 0), MATCH(1, (Raw!$B$1:$FB$1=$I159)*(Raw!$B$2:$FB$2=$H159), 0))</f>
        <v>0</v>
      </c>
      <c r="Z159" s="11" cm="1">
        <f t="array" ref="Z159">INDEX(Raw!R:FR, MATCH(Z$4, Raw!$A:$A, 0), MATCH(1, (Raw!$B$1:$FB$1=$I159)*(Raw!$B$2:$FB$2=$H159), 0))</f>
        <v>0</v>
      </c>
      <c r="AA159" s="11" cm="1">
        <f t="array" ref="AA159">INDEX(Raw!S:FS, MATCH(AA$4, Raw!$A:$A, 0), MATCH(1, (Raw!$B$1:$FB$1=$I159)*(Raw!$B$2:$FB$2=$H159), 0))</f>
        <v>0</v>
      </c>
      <c r="AB159" s="11" cm="1">
        <f t="array" ref="AB159">INDEX(Raw!T:FT, MATCH(AB$4, Raw!$A:$A, 0), MATCH(1, (Raw!$B$1:$FB$1=$I159)*(Raw!$B$2:$FB$2=$H159), 0))</f>
        <v>0</v>
      </c>
      <c r="AC159" s="11" cm="1">
        <f t="array" ref="AC159">INDEX(Raw!U:FU, MATCH(AC$4, Raw!$A:$A, 0), MATCH(1, (Raw!$B$1:$FB$1=$I159)*(Raw!$B$2:$FB$2=$H159), 0))</f>
        <v>0</v>
      </c>
      <c r="AD159" s="11" cm="1">
        <f t="array" ref="AD159">INDEX(Raw!V:FV, MATCH(AD$4, Raw!$A:$A, 0), MATCH(1, (Raw!$B$1:$FB$1=$I159)*(Raw!$B$2:$FB$2=$H159), 0))</f>
        <v>0</v>
      </c>
    </row>
    <row r="160" spans="6:30" x14ac:dyDescent="0.25">
      <c r="F160" s="11" t="s">
        <v>28</v>
      </c>
      <c r="G160" s="15">
        <f t="shared" ca="1" si="4"/>
        <v>46088</v>
      </c>
      <c r="H160" s="11">
        <f>H159</f>
        <v>1987</v>
      </c>
      <c r="I160" s="11" t="s">
        <v>24</v>
      </c>
      <c r="J160" s="11" cm="1">
        <f t="array" ref="J160">INDEX(Raw!B:FB, MATCH(J$4, Raw!$A:$A, 0), MATCH(1, (Raw!$B$1:$FB$1=$I160)*(Raw!$B$2:$FB$2=$H160), 0))</f>
        <v>1896122000</v>
      </c>
      <c r="K160" s="11" cm="1">
        <f t="array" ref="K160">INDEX(Raw!C:FC, MATCH(K$4, Raw!$A:$A, 0), MATCH(1, (Raw!$B$1:$FB$1=$I160)*(Raw!$B$2:$FB$2=$H160), 0))</f>
        <v>0</v>
      </c>
      <c r="L160" s="11" cm="1">
        <f t="array" ref="L160">INDEX(Raw!D:FD, MATCH(L$4, Raw!$A:$A, 0), MATCH(1, (Raw!$B$1:$FB$1=$I160)*(Raw!$B$2:$FB$2=$H160), 0))</f>
        <v>0</v>
      </c>
      <c r="M160" s="11" cm="1">
        <f t="array" ref="M160">INDEX(Raw!E:FE, MATCH(M$4, Raw!$A:$A, 0), MATCH(1, (Raw!$B$1:$FB$1=$I160)*(Raw!$B$2:$FB$2=$H160), 0))</f>
        <v>0</v>
      </c>
      <c r="N160" s="11" cm="1">
        <f t="array" ref="N160">INDEX(Raw!F:FF, MATCH(N$4, Raw!$A:$A, 0), MATCH(1, (Raw!$B$1:$FB$1=$I160)*(Raw!$B$2:$FB$2=$H160), 0))</f>
        <v>0</v>
      </c>
      <c r="O160" s="11" cm="1">
        <f t="array" ref="O160">INDEX(Raw!G:FG, MATCH(O$4, Raw!$A:$A, 0), MATCH(1, (Raw!$B$1:$FB$1=$I160)*(Raw!$B$2:$FB$2=$H160), 0))</f>
        <v>0</v>
      </c>
      <c r="P160" s="11" cm="1">
        <f t="array" ref="P160">INDEX(Raw!H:FH, MATCH(P$4, Raw!$A:$A, 0), MATCH(1, (Raw!$B$1:$FB$1=$I160)*(Raw!$B$2:$FB$2=$H160), 0))</f>
        <v>0</v>
      </c>
      <c r="Q160" s="11" cm="1">
        <f t="array" ref="Q160">INDEX(Raw!I:FI, MATCH(Q$4, Raw!$A:$A, 0), MATCH(1, (Raw!$B$1:$FB$1=$I160)*(Raw!$B$2:$FB$2=$H160), 0))</f>
        <v>0</v>
      </c>
      <c r="R160" s="11" cm="1">
        <f t="array" ref="R160">INDEX(Raw!J:FJ, MATCH(R$4, Raw!$A:$A, 0), MATCH(1, (Raw!$B$1:$FB$1=$I160)*(Raw!$B$2:$FB$2=$H160), 0))</f>
        <v>0</v>
      </c>
      <c r="S160" s="11" cm="1">
        <f t="array" ref="S160">INDEX(Raw!K:FK, MATCH(S$4, Raw!$A:$A, 0), MATCH(1, (Raw!$B$1:$FB$1=$I160)*(Raw!$B$2:$FB$2=$H160), 0))</f>
        <v>0</v>
      </c>
      <c r="T160" s="11" cm="1">
        <f t="array" ref="T160">INDEX(Raw!L:FL, MATCH(T$4, Raw!$A:$A, 0), MATCH(1, (Raw!$B$1:$FB$1=$I160)*(Raw!$B$2:$FB$2=$H160), 0))</f>
        <v>0</v>
      </c>
      <c r="U160" s="11" cm="1">
        <f t="array" ref="U160">INDEX(Raw!M:FM, MATCH(U$4, Raw!$A:$A, 0), MATCH(1, (Raw!$B$1:$FB$1=$I160)*(Raw!$B$2:$FB$2=$H160), 0))</f>
        <v>0</v>
      </c>
      <c r="V160" s="11" cm="1">
        <f t="array" ref="V160">INDEX(Raw!N:FN, MATCH(V$4, Raw!$A:$A, 0), MATCH(1, (Raw!$B$1:$FB$1=$I160)*(Raw!$B$2:$FB$2=$H160), 0))</f>
        <v>0</v>
      </c>
      <c r="W160" s="11" cm="1">
        <f t="array" ref="W160">INDEX(Raw!O:FO, MATCH(W$4, Raw!$A:$A, 0), MATCH(1, (Raw!$B$1:$FB$1=$I160)*(Raw!$B$2:$FB$2=$H160), 0))</f>
        <v>0</v>
      </c>
      <c r="X160" s="11" cm="1">
        <f t="array" ref="X160">INDEX(Raw!P:FP, MATCH(X$4, Raw!$A:$A, 0), MATCH(1, (Raw!$B$1:$FB$1=$I160)*(Raw!$B$2:$FB$2=$H160), 0))</f>
        <v>0</v>
      </c>
      <c r="Y160" s="11" cm="1">
        <f t="array" ref="Y160">INDEX(Raw!Q:FQ, MATCH(Y$4, Raw!$A:$A, 0), MATCH(1, (Raw!$B$1:$FB$1=$I160)*(Raw!$B$2:$FB$2=$H160), 0))</f>
        <v>0</v>
      </c>
      <c r="Z160" s="11" cm="1">
        <f t="array" ref="Z160">INDEX(Raw!R:FR, MATCH(Z$4, Raw!$A:$A, 0), MATCH(1, (Raw!$B$1:$FB$1=$I160)*(Raw!$B$2:$FB$2=$H160), 0))</f>
        <v>0</v>
      </c>
      <c r="AA160" s="11" cm="1">
        <f t="array" ref="AA160">INDEX(Raw!S:FS, MATCH(AA$4, Raw!$A:$A, 0), MATCH(1, (Raw!$B$1:$FB$1=$I160)*(Raw!$B$2:$FB$2=$H160), 0))</f>
        <v>0</v>
      </c>
      <c r="AB160" s="11" cm="1">
        <f t="array" ref="AB160">INDEX(Raw!T:FT, MATCH(AB$4, Raw!$A:$A, 0), MATCH(1, (Raw!$B$1:$FB$1=$I160)*(Raw!$B$2:$FB$2=$H160), 0))</f>
        <v>0</v>
      </c>
      <c r="AC160" s="11" cm="1">
        <f t="array" ref="AC160">INDEX(Raw!U:FU, MATCH(AC$4, Raw!$A:$A, 0), MATCH(1, (Raw!$B$1:$FB$1=$I160)*(Raw!$B$2:$FB$2=$H160), 0))</f>
        <v>0</v>
      </c>
      <c r="AD160" s="11" cm="1">
        <f t="array" ref="AD160">INDEX(Raw!V:FV, MATCH(AD$4, Raw!$A:$A, 0), MATCH(1, (Raw!$B$1:$FB$1=$I160)*(Raw!$B$2:$FB$2=$H160), 0))</f>
        <v>0</v>
      </c>
    </row>
    <row r="161" spans="6:30" x14ac:dyDescent="0.25">
      <c r="F161" s="11" t="s">
        <v>28</v>
      </c>
      <c r="G161" s="15">
        <f t="shared" ca="1" si="4"/>
        <v>46088</v>
      </c>
      <c r="H161" s="11">
        <f>H157-1</f>
        <v>1986</v>
      </c>
      <c r="I161" s="11" t="s">
        <v>21</v>
      </c>
      <c r="J161" s="11" cm="1">
        <f t="array" ref="J161">INDEX(Raw!B:FB, MATCH(J$4, Raw!$A:$A, 0), MATCH(1, (Raw!$B$1:$FB$1=$I161)*(Raw!$B$2:$FB$2=$H161), 0))</f>
        <v>0</v>
      </c>
      <c r="K161" s="11" cm="1">
        <f t="array" ref="K161">INDEX(Raw!C:FC, MATCH(K$4, Raw!$A:$A, 0), MATCH(1, (Raw!$B$1:$FB$1=$I161)*(Raw!$B$2:$FB$2=$H161), 0))</f>
        <v>0</v>
      </c>
      <c r="L161" s="11" cm="1">
        <f t="array" ref="L161">INDEX(Raw!D:FD, MATCH(L$4, Raw!$A:$A, 0), MATCH(1, (Raw!$B$1:$FB$1=$I161)*(Raw!$B$2:$FB$2=$H161), 0))</f>
        <v>0</v>
      </c>
      <c r="M161" s="11" cm="1">
        <f t="array" ref="M161">INDEX(Raw!E:FE, MATCH(M$4, Raw!$A:$A, 0), MATCH(1, (Raw!$B$1:$FB$1=$I161)*(Raw!$B$2:$FB$2=$H161), 0))</f>
        <v>0</v>
      </c>
      <c r="N161" s="11" cm="1">
        <f t="array" ref="N161">INDEX(Raw!F:FF, MATCH(N$4, Raw!$A:$A, 0), MATCH(1, (Raw!$B$1:$FB$1=$I161)*(Raw!$B$2:$FB$2=$H161), 0))</f>
        <v>0</v>
      </c>
      <c r="O161" s="11" cm="1">
        <f t="array" ref="O161">INDEX(Raw!G:FG, MATCH(O$4, Raw!$A:$A, 0), MATCH(1, (Raw!$B$1:$FB$1=$I161)*(Raw!$B$2:$FB$2=$H161), 0))</f>
        <v>0</v>
      </c>
      <c r="P161" s="11" cm="1">
        <f t="array" ref="P161">INDEX(Raw!H:FH, MATCH(P$4, Raw!$A:$A, 0), MATCH(1, (Raw!$B$1:$FB$1=$I161)*(Raw!$B$2:$FB$2=$H161), 0))</f>
        <v>0</v>
      </c>
      <c r="Q161" s="11" cm="1">
        <f t="array" ref="Q161">INDEX(Raw!I:FI, MATCH(Q$4, Raw!$A:$A, 0), MATCH(1, (Raw!$B$1:$FB$1=$I161)*(Raw!$B$2:$FB$2=$H161), 0))</f>
        <v>0</v>
      </c>
      <c r="R161" s="11" cm="1">
        <f t="array" ref="R161">INDEX(Raw!J:FJ, MATCH(R$4, Raw!$A:$A, 0), MATCH(1, (Raw!$B$1:$FB$1=$I161)*(Raw!$B$2:$FB$2=$H161), 0))</f>
        <v>0</v>
      </c>
      <c r="S161" s="11" cm="1">
        <f t="array" ref="S161">INDEX(Raw!K:FK, MATCH(S$4, Raw!$A:$A, 0), MATCH(1, (Raw!$B$1:$FB$1=$I161)*(Raw!$B$2:$FB$2=$H161), 0))</f>
        <v>0</v>
      </c>
      <c r="T161" s="11" cm="1">
        <f t="array" ref="T161">INDEX(Raw!L:FL, MATCH(T$4, Raw!$A:$A, 0), MATCH(1, (Raw!$B$1:$FB$1=$I161)*(Raw!$B$2:$FB$2=$H161), 0))</f>
        <v>0</v>
      </c>
      <c r="U161" s="11" cm="1">
        <f t="array" ref="U161">INDEX(Raw!M:FM, MATCH(U$4, Raw!$A:$A, 0), MATCH(1, (Raw!$B$1:$FB$1=$I161)*(Raw!$B$2:$FB$2=$H161), 0))</f>
        <v>0</v>
      </c>
      <c r="V161" s="11" cm="1">
        <f t="array" ref="V161">INDEX(Raw!N:FN, MATCH(V$4, Raw!$A:$A, 0), MATCH(1, (Raw!$B$1:$FB$1=$I161)*(Raw!$B$2:$FB$2=$H161), 0))</f>
        <v>0</v>
      </c>
      <c r="W161" s="11" cm="1">
        <f t="array" ref="W161">INDEX(Raw!O:FO, MATCH(W$4, Raw!$A:$A, 0), MATCH(1, (Raw!$B$1:$FB$1=$I161)*(Raw!$B$2:$FB$2=$H161), 0))</f>
        <v>0</v>
      </c>
      <c r="X161" s="11" cm="1">
        <f t="array" ref="X161">INDEX(Raw!P:FP, MATCH(X$4, Raw!$A:$A, 0), MATCH(1, (Raw!$B$1:$FB$1=$I161)*(Raw!$B$2:$FB$2=$H161), 0))</f>
        <v>0</v>
      </c>
      <c r="Y161" s="11" cm="1">
        <f t="array" ref="Y161">INDEX(Raw!Q:FQ, MATCH(Y$4, Raw!$A:$A, 0), MATCH(1, (Raw!$B$1:$FB$1=$I161)*(Raw!$B$2:$FB$2=$H161), 0))</f>
        <v>0</v>
      </c>
      <c r="Z161" s="11" cm="1">
        <f t="array" ref="Z161">INDEX(Raw!R:FR, MATCH(Z$4, Raw!$A:$A, 0), MATCH(1, (Raw!$B$1:$FB$1=$I161)*(Raw!$B$2:$FB$2=$H161), 0))</f>
        <v>0</v>
      </c>
      <c r="AA161" s="11" cm="1">
        <f t="array" ref="AA161">INDEX(Raw!S:FS, MATCH(AA$4, Raw!$A:$A, 0), MATCH(1, (Raw!$B$1:$FB$1=$I161)*(Raw!$B$2:$FB$2=$H161), 0))</f>
        <v>0</v>
      </c>
      <c r="AB161" s="11" cm="1">
        <f t="array" ref="AB161">INDEX(Raw!T:FT, MATCH(AB$4, Raw!$A:$A, 0), MATCH(1, (Raw!$B$1:$FB$1=$I161)*(Raw!$B$2:$FB$2=$H161), 0))</f>
        <v>0</v>
      </c>
      <c r="AC161" s="11" cm="1">
        <f t="array" ref="AC161">INDEX(Raw!U:FU, MATCH(AC$4, Raw!$A:$A, 0), MATCH(1, (Raw!$B$1:$FB$1=$I161)*(Raw!$B$2:$FB$2=$H161), 0))</f>
        <v>0</v>
      </c>
      <c r="AD161" s="11" cm="1">
        <f t="array" ref="AD161">INDEX(Raw!V:FV, MATCH(AD$4, Raw!$A:$A, 0), MATCH(1, (Raw!$B$1:$FB$1=$I161)*(Raw!$B$2:$FB$2=$H161), 0))</f>
        <v>0</v>
      </c>
    </row>
    <row r="162" spans="6:30" x14ac:dyDescent="0.25">
      <c r="F162" s="11"/>
      <c r="G162" s="15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7"/>
      <c r="AD162" s="17"/>
    </row>
    <row r="163" spans="6:30" x14ac:dyDescent="0.25">
      <c r="F163" s="11"/>
      <c r="G163" s="15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7"/>
      <c r="AD163" s="17"/>
    </row>
    <row r="164" spans="6:30" x14ac:dyDescent="0.25">
      <c r="F164" s="11"/>
      <c r="G164" s="15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7"/>
      <c r="AD164" s="17"/>
    </row>
    <row r="165" spans="6:30" x14ac:dyDescent="0.25">
      <c r="F165" s="11"/>
      <c r="G165" s="15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7"/>
      <c r="AD165" s="17"/>
    </row>
    <row r="166" spans="6:30" x14ac:dyDescent="0.25">
      <c r="F166" s="11"/>
      <c r="G166" s="15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7"/>
      <c r="AD166" s="17"/>
    </row>
    <row r="167" spans="6:30" x14ac:dyDescent="0.25">
      <c r="F167" s="11"/>
      <c r="G167" s="15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7"/>
      <c r="AD167" s="17"/>
    </row>
    <row r="168" spans="6:30" x14ac:dyDescent="0.25">
      <c r="F168" s="11"/>
      <c r="G168" s="15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7"/>
      <c r="AD168" s="17"/>
    </row>
    <row r="169" spans="6:30" x14ac:dyDescent="0.25">
      <c r="F169" s="11"/>
      <c r="G169" s="15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7"/>
      <c r="AD169" s="17"/>
    </row>
    <row r="170" spans="6:30" x14ac:dyDescent="0.25">
      <c r="F170" s="11"/>
      <c r="G170" s="15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7"/>
      <c r="AD170" s="17"/>
    </row>
    <row r="171" spans="6:30" x14ac:dyDescent="0.25">
      <c r="F171" s="11"/>
      <c r="G171" s="15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7"/>
      <c r="AD171" s="17"/>
    </row>
    <row r="172" spans="6:30" x14ac:dyDescent="0.25">
      <c r="F172" s="11"/>
      <c r="G172" s="15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7"/>
      <c r="AD172" s="17"/>
    </row>
    <row r="173" spans="6:30" x14ac:dyDescent="0.25">
      <c r="F173" s="11"/>
      <c r="G173" s="15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7"/>
      <c r="AD173" s="17"/>
    </row>
    <row r="174" spans="6:30" x14ac:dyDescent="0.25">
      <c r="F174" s="11"/>
      <c r="G174" s="15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7"/>
      <c r="AD174" s="17"/>
    </row>
    <row r="175" spans="6:30" x14ac:dyDescent="0.25">
      <c r="F175" s="11"/>
      <c r="G175" s="15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7"/>
      <c r="AD175" s="17"/>
    </row>
    <row r="176" spans="6:30" x14ac:dyDescent="0.25">
      <c r="F176" s="11"/>
      <c r="G176" s="15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7"/>
      <c r="AD176" s="17"/>
    </row>
    <row r="177" spans="6:30" x14ac:dyDescent="0.25">
      <c r="F177" s="11"/>
      <c r="G177" s="15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7"/>
      <c r="AD177" s="17"/>
    </row>
    <row r="178" spans="6:30" x14ac:dyDescent="0.25">
      <c r="F178" s="11"/>
      <c r="G178" s="15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7"/>
      <c r="AD178" s="17"/>
    </row>
    <row r="179" spans="6:30" x14ac:dyDescent="0.25">
      <c r="F179" s="11"/>
      <c r="G179" s="15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7"/>
      <c r="AD179" s="17"/>
    </row>
    <row r="180" spans="6:30" x14ac:dyDescent="0.25">
      <c r="F180" s="11"/>
      <c r="G180" s="15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7"/>
      <c r="AD180" s="17"/>
    </row>
    <row r="181" spans="6:30" x14ac:dyDescent="0.25">
      <c r="F181" s="11"/>
      <c r="G181" s="15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7"/>
      <c r="AD181" s="17"/>
    </row>
    <row r="182" spans="6:30" x14ac:dyDescent="0.25">
      <c r="F182" s="11"/>
      <c r="G182" s="15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7"/>
      <c r="AD182" s="17"/>
    </row>
    <row r="183" spans="6:30" x14ac:dyDescent="0.25">
      <c r="F183" s="11"/>
      <c r="G183" s="15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7"/>
      <c r="AD183" s="17"/>
    </row>
    <row r="184" spans="6:30" x14ac:dyDescent="0.25">
      <c r="F184" s="11"/>
      <c r="G184" s="15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7"/>
      <c r="AD184" s="17"/>
    </row>
    <row r="185" spans="6:30" x14ac:dyDescent="0.25">
      <c r="F185" s="11"/>
      <c r="G185" s="15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7"/>
      <c r="AD185" s="17"/>
    </row>
    <row r="186" spans="6:30" x14ac:dyDescent="0.25">
      <c r="F186" s="11"/>
      <c r="G186" s="15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7"/>
      <c r="AD186" s="17"/>
    </row>
    <row r="187" spans="6:30" x14ac:dyDescent="0.25">
      <c r="F187" s="11"/>
      <c r="G187" s="15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7"/>
      <c r="AD187" s="17"/>
    </row>
    <row r="188" spans="6:30" x14ac:dyDescent="0.25">
      <c r="F188" s="11"/>
      <c r="G188" s="15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7"/>
      <c r="AD188" s="17"/>
    </row>
    <row r="189" spans="6:30" x14ac:dyDescent="0.25">
      <c r="F189" s="11"/>
      <c r="G189" s="15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7"/>
      <c r="AD189" s="17"/>
    </row>
    <row r="190" spans="6:30" x14ac:dyDescent="0.25">
      <c r="F190" s="11"/>
      <c r="G190" s="15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7"/>
      <c r="AD190" s="17"/>
    </row>
    <row r="191" spans="6:30" x14ac:dyDescent="0.25">
      <c r="F191" s="11"/>
      <c r="G191" s="15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7"/>
      <c r="AD191" s="17"/>
    </row>
    <row r="192" spans="6:30" x14ac:dyDescent="0.25">
      <c r="F192" s="11"/>
      <c r="G192" s="15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7"/>
      <c r="AD192" s="17"/>
    </row>
    <row r="193" spans="6:30" x14ac:dyDescent="0.25">
      <c r="F193" s="11"/>
      <c r="G193" s="15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7"/>
      <c r="AD193" s="17"/>
    </row>
    <row r="194" spans="6:30" x14ac:dyDescent="0.25">
      <c r="F194" s="11"/>
      <c r="G194" s="15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7"/>
      <c r="AD194" s="17"/>
    </row>
    <row r="195" spans="6:30" x14ac:dyDescent="0.25">
      <c r="F195" s="11"/>
      <c r="G195" s="15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7"/>
      <c r="AD195" s="17"/>
    </row>
    <row r="196" spans="6:30" x14ac:dyDescent="0.25">
      <c r="F196" s="11"/>
      <c r="G196" s="15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7"/>
      <c r="AD196" s="17"/>
    </row>
    <row r="197" spans="6:30" x14ac:dyDescent="0.25">
      <c r="F197" s="11"/>
      <c r="G197" s="15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7"/>
      <c r="AD197" s="17"/>
    </row>
    <row r="198" spans="6:30" x14ac:dyDescent="0.25">
      <c r="F198" s="11"/>
      <c r="G198" s="15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7"/>
      <c r="AD198" s="17"/>
    </row>
    <row r="199" spans="6:30" x14ac:dyDescent="0.25">
      <c r="F199" s="11"/>
      <c r="G199" s="15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7"/>
      <c r="AD199" s="17"/>
    </row>
    <row r="200" spans="6:30" x14ac:dyDescent="0.25">
      <c r="F200" s="11"/>
      <c r="G200" s="15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7"/>
      <c r="AD200" s="17"/>
    </row>
    <row r="201" spans="6:30" x14ac:dyDescent="0.25">
      <c r="F201" s="11"/>
      <c r="G201" s="15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7"/>
      <c r="AD201" s="17"/>
    </row>
    <row r="202" spans="6:30" x14ac:dyDescent="0.25">
      <c r="F202" s="11"/>
      <c r="G202" s="15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7"/>
      <c r="AD202" s="17"/>
    </row>
    <row r="203" spans="6:30" x14ac:dyDescent="0.25">
      <c r="F203" s="11"/>
      <c r="G203" s="15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7"/>
      <c r="AD203" s="17"/>
    </row>
    <row r="204" spans="6:30" x14ac:dyDescent="0.25">
      <c r="F204" s="11"/>
      <c r="G204" s="15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7"/>
      <c r="AD204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B18AB-5BB6-436C-B1C6-1207E2544923}">
  <dimension ref="A1:AB808"/>
  <sheetViews>
    <sheetView showGridLines="0" topLeftCell="Y1" workbookViewId="0">
      <pane ySplit="1" topLeftCell="A113" activePane="bottomLeft" state="frozen"/>
      <selection activeCell="K1" sqref="K1"/>
      <selection pane="bottomLeft" activeCell="Z145" sqref="Z145"/>
    </sheetView>
  </sheetViews>
  <sheetFormatPr defaultColWidth="20.7109375" defaultRowHeight="15" x14ac:dyDescent="0.25"/>
  <sheetData>
    <row r="1" spans="1:28" x14ac:dyDescent="0.25">
      <c r="A1" t="s">
        <v>27</v>
      </c>
      <c r="B1" t="s">
        <v>29</v>
      </c>
      <c r="C1" t="s">
        <v>30</v>
      </c>
      <c r="D1" t="s">
        <v>31</v>
      </c>
      <c r="E1" t="s">
        <v>74</v>
      </c>
      <c r="F1" t="s">
        <v>34</v>
      </c>
      <c r="G1" t="s">
        <v>73</v>
      </c>
      <c r="H1" t="s">
        <v>72</v>
      </c>
      <c r="I1" t="s">
        <v>71</v>
      </c>
      <c r="J1" t="s">
        <v>70</v>
      </c>
      <c r="K1" t="s">
        <v>69</v>
      </c>
      <c r="L1" t="s">
        <v>68</v>
      </c>
      <c r="M1" t="s">
        <v>67</v>
      </c>
      <c r="N1" t="s">
        <v>66</v>
      </c>
      <c r="O1" t="s">
        <v>65</v>
      </c>
      <c r="P1" t="s">
        <v>64</v>
      </c>
      <c r="Q1" t="s">
        <v>63</v>
      </c>
      <c r="R1" t="s">
        <v>62</v>
      </c>
      <c r="S1" t="s">
        <v>61</v>
      </c>
      <c r="T1" t="s">
        <v>16</v>
      </c>
      <c r="U1" t="s">
        <v>17</v>
      </c>
      <c r="V1" t="s">
        <v>60</v>
      </c>
      <c r="W1" t="s">
        <v>59</v>
      </c>
      <c r="X1" t="s">
        <v>58</v>
      </c>
      <c r="Y1" t="s">
        <v>57</v>
      </c>
      <c r="Z1" t="s">
        <v>50</v>
      </c>
      <c r="AA1" t="s">
        <v>52</v>
      </c>
      <c r="AB1" t="s">
        <v>51</v>
      </c>
    </row>
    <row r="2" spans="1:28" x14ac:dyDescent="0.25">
      <c r="A2" t="str">
        <f>Lookup!F5</f>
        <v>KO</v>
      </c>
      <c r="B2" s="14">
        <f ca="1">Lookup!G5</f>
        <v>46088</v>
      </c>
      <c r="C2">
        <f>Lookup!H5</f>
        <v>2025</v>
      </c>
      <c r="D2" t="str">
        <f>Lookup!I5</f>
        <v>Q4</v>
      </c>
      <c r="E2">
        <f>Lookup!J5</f>
        <v>11822000000</v>
      </c>
      <c r="F2">
        <f>Lookup!K5</f>
        <v>4797000000</v>
      </c>
      <c r="G2">
        <f>Lookup!L5</f>
        <v>7821000000</v>
      </c>
      <c r="H2">
        <f>Lookup!M5</f>
        <v>3234000000</v>
      </c>
      <c r="I2">
        <f>Lookup!N5</f>
        <v>-176000000</v>
      </c>
      <c r="J2">
        <f>Lookup!O5</f>
        <v>4680000000</v>
      </c>
      <c r="K2">
        <f>Lookup!P5</f>
        <v>2632000000</v>
      </c>
      <c r="L2">
        <f>Lookup!Q5</f>
        <v>1731000000</v>
      </c>
      <c r="M2">
        <f>Lookup!R5</f>
        <v>2482000000</v>
      </c>
      <c r="N2">
        <f>Lookup!S5</f>
        <v>454000000</v>
      </c>
      <c r="O2">
        <f>Lookup!T5</f>
        <v>2521000000</v>
      </c>
      <c r="P2">
        <f>Lookup!U5</f>
        <v>0</v>
      </c>
      <c r="Q2">
        <f>Lookup!V5</f>
        <v>2056000000</v>
      </c>
      <c r="R2">
        <f>Lookup!W5</f>
        <v>0</v>
      </c>
      <c r="S2">
        <f>Lookup!X5</f>
        <v>1905000000</v>
      </c>
      <c r="T2">
        <f>Lookup!Y5</f>
        <v>770956100</v>
      </c>
      <c r="U2">
        <f>Lookup!Z5</f>
        <v>836534200</v>
      </c>
      <c r="V2">
        <f>Lookup!AA5</f>
        <v>5307288000</v>
      </c>
      <c r="W2">
        <f>Lookup!AB5</f>
        <v>10631680000</v>
      </c>
      <c r="X2">
        <f>Lookup!AC5</f>
        <v>0.52</v>
      </c>
      <c r="Y2">
        <f>Lookup!AD5</f>
        <v>0.34</v>
      </c>
      <c r="Z2" t="str" cm="1">
        <f t="array" aca="1" ref="Z2" ca="1">MID(CELL("filename",A1),FIND("[",CELL("filename",A1))+1,FIND("]",CELL("filename",A1))-FIND("[",CELL("filename",A1))-1)</f>
        <v>KO_INC-ST_QRTLY.xlsx</v>
      </c>
      <c r="AA2" t="str">
        <f ca="1">_xlfn.CONCAT(LEFT(Z2,12),"-001")</f>
        <v>KO_INC-ST_QR-001</v>
      </c>
      <c r="AB2" s="16">
        <f t="shared" ref="AB2:AB5" ca="1" si="0">NOW()</f>
        <v>46088.824799074071</v>
      </c>
    </row>
    <row r="3" spans="1:28" x14ac:dyDescent="0.25">
      <c r="A3" t="str">
        <f>Lookup!F6</f>
        <v>KO</v>
      </c>
      <c r="B3" s="14">
        <f ca="1">Lookup!G6</f>
        <v>46088</v>
      </c>
      <c r="C3">
        <f>Lookup!H6</f>
        <v>2025</v>
      </c>
      <c r="D3" t="str">
        <f>Lookup!I6</f>
        <v>Q3</v>
      </c>
      <c r="E3">
        <f>Lookup!J6</f>
        <v>12455000000</v>
      </c>
      <c r="F3">
        <f>Lookup!K6</f>
        <v>4714000000</v>
      </c>
      <c r="G3">
        <f>Lookup!L6</f>
        <v>6966000000</v>
      </c>
      <c r="H3">
        <f>Lookup!M6</f>
        <v>4046000000</v>
      </c>
      <c r="I3">
        <f>Lookup!N6</f>
        <v>-1044000000</v>
      </c>
      <c r="J3">
        <f>Lookup!O6</f>
        <v>4919000000</v>
      </c>
      <c r="K3">
        <f>Lookup!P6</f>
        <v>2141000000</v>
      </c>
      <c r="L3">
        <f>Lookup!Q6</f>
        <v>209000000</v>
      </c>
      <c r="M3">
        <f>Lookup!R6</f>
        <v>3537000000</v>
      </c>
      <c r="N3">
        <f>Lookup!S6</f>
        <v>359000000</v>
      </c>
      <c r="O3">
        <f>Lookup!T6</f>
        <v>3113000000</v>
      </c>
      <c r="P3">
        <f>Lookup!U6</f>
        <v>0</v>
      </c>
      <c r="Q3">
        <f>Lookup!V6</f>
        <v>2822000000</v>
      </c>
      <c r="R3">
        <f>Lookup!W6</f>
        <v>0</v>
      </c>
      <c r="S3">
        <f>Lookup!X6</f>
        <v>2781000000</v>
      </c>
      <c r="T3">
        <f>Lookup!Y6</f>
        <v>836534200</v>
      </c>
      <c r="U3">
        <f>Lookup!Z6</f>
        <v>579484900</v>
      </c>
      <c r="V3">
        <f>Lookup!AA6</f>
        <v>5315840000</v>
      </c>
      <c r="W3">
        <f>Lookup!AB6</f>
        <v>5321094000</v>
      </c>
      <c r="X3">
        <f>Lookup!AC6</f>
        <v>0.34</v>
      </c>
      <c r="Y3">
        <f>Lookup!AD6</f>
        <v>0.4</v>
      </c>
      <c r="Z3" t="str">
        <f ca="1">$Z$2</f>
        <v>KO_INC-ST_QRTLY.xlsx</v>
      </c>
      <c r="AA3" t="str">
        <f t="shared" ref="AA3:AA66" ca="1" si="1">_xlfn.CONCAT(LEFT(Z3,12),"-001")</f>
        <v>KO_INC-ST_QR-001</v>
      </c>
      <c r="AB3" s="16">
        <f t="shared" ca="1" si="0"/>
        <v>46088.824799074071</v>
      </c>
    </row>
    <row r="4" spans="1:28" x14ac:dyDescent="0.25">
      <c r="A4" t="str">
        <f>Lookup!F7</f>
        <v>KO</v>
      </c>
      <c r="B4" s="14">
        <f ca="1">Lookup!G7</f>
        <v>46088</v>
      </c>
      <c r="C4">
        <f>Lookup!H7</f>
        <v>2025</v>
      </c>
      <c r="D4" t="str">
        <f>Lookup!I7</f>
        <v>Q2</v>
      </c>
      <c r="E4">
        <f>Lookup!J7</f>
        <v>12535000000</v>
      </c>
      <c r="F4">
        <f>Lookup!K7</f>
        <v>4163000000</v>
      </c>
      <c r="G4">
        <f>Lookup!L7</f>
        <v>6931000000</v>
      </c>
      <c r="H4">
        <f>Lookup!M7</f>
        <v>3636000000</v>
      </c>
      <c r="I4">
        <f>Lookup!N7</f>
        <v>-1370000000</v>
      </c>
      <c r="J4">
        <f>Lookup!O7</f>
        <v>4924000000</v>
      </c>
      <c r="K4">
        <f>Lookup!P7</f>
        <v>2273000000</v>
      </c>
      <c r="L4">
        <f>Lookup!Q7</f>
        <v>267000000</v>
      </c>
      <c r="M4">
        <f>Lookup!R7</f>
        <v>2880000000</v>
      </c>
      <c r="N4">
        <f>Lookup!S7</f>
        <v>940000000</v>
      </c>
      <c r="O4">
        <f>Lookup!T7</f>
        <v>2056000000</v>
      </c>
      <c r="P4">
        <f>Lookup!U7</f>
        <v>0</v>
      </c>
      <c r="Q4">
        <f>Lookup!V7</f>
        <v>1900000000</v>
      </c>
      <c r="R4">
        <f>Lookup!W7</f>
        <v>0</v>
      </c>
      <c r="S4">
        <f>Lookup!X7</f>
        <v>2414000000</v>
      </c>
      <c r="T4">
        <f>Lookup!Y7</f>
        <v>579484900</v>
      </c>
      <c r="U4">
        <f>Lookup!Z7</f>
        <v>487078100</v>
      </c>
      <c r="V4">
        <f>Lookup!AA7</f>
        <v>5321094000</v>
      </c>
      <c r="W4">
        <f>Lookup!AB7</f>
        <v>5331362000</v>
      </c>
      <c r="X4">
        <f>Lookup!AC7</f>
        <v>0.4</v>
      </c>
      <c r="Y4">
        <f>Lookup!AD7</f>
        <v>0.41</v>
      </c>
      <c r="Z4" t="str">
        <f t="shared" ref="Z4:Z67" ca="1" si="2">$Z$2</f>
        <v>KO_INC-ST_QRTLY.xlsx</v>
      </c>
      <c r="AA4" t="str">
        <f t="shared" ca="1" si="1"/>
        <v>KO_INC-ST_QR-001</v>
      </c>
      <c r="AB4" s="16">
        <f t="shared" ca="1" si="0"/>
        <v>46088.824799074071</v>
      </c>
    </row>
    <row r="5" spans="1:28" x14ac:dyDescent="0.25">
      <c r="A5" t="str">
        <f>Lookup!F8</f>
        <v>KO</v>
      </c>
      <c r="B5" s="14">
        <f ca="1">Lookup!G8</f>
        <v>46088</v>
      </c>
      <c r="C5">
        <f>Lookup!H8</f>
        <v>2025</v>
      </c>
      <c r="D5" t="str">
        <f>Lookup!I8</f>
        <v>Q1</v>
      </c>
      <c r="E5">
        <f>Lookup!J8</f>
        <v>11129000000</v>
      </c>
      <c r="F5">
        <f>Lookup!K8</f>
        <v>4613000000</v>
      </c>
      <c r="G5">
        <f>Lookup!L8</f>
        <v>7190000000</v>
      </c>
      <c r="H5">
        <f>Lookup!M8</f>
        <v>3549000000</v>
      </c>
      <c r="I5">
        <f>Lookup!N8</f>
        <v>-1573000000</v>
      </c>
      <c r="J5">
        <f>Lookup!O8</f>
        <v>3942000000</v>
      </c>
      <c r="K5">
        <f>Lookup!P8</f>
        <v>3270000000</v>
      </c>
      <c r="L5">
        <f>Lookup!Q8</f>
        <v>479000000</v>
      </c>
      <c r="M5">
        <f>Lookup!R8</f>
        <v>4053000000</v>
      </c>
      <c r="N5">
        <f>Lookup!S8</f>
        <v>444000000</v>
      </c>
      <c r="O5">
        <f>Lookup!T8</f>
        <v>2822000000</v>
      </c>
      <c r="P5">
        <f>Lookup!U8</f>
        <v>0</v>
      </c>
      <c r="Q5">
        <f>Lookup!V8</f>
        <v>2793000000</v>
      </c>
      <c r="R5">
        <f>Lookup!W8</f>
        <v>0</v>
      </c>
      <c r="S5">
        <f>Lookup!X8</f>
        <v>2471000000</v>
      </c>
      <c r="T5">
        <f>Lookup!Y8</f>
        <v>487078100</v>
      </c>
      <c r="U5">
        <f>Lookup!Z8</f>
        <v>644703900</v>
      </c>
      <c r="V5">
        <f>Lookup!AA8</f>
        <v>5331362000</v>
      </c>
      <c r="W5">
        <f>Lookup!AB8</f>
        <v>5335388000</v>
      </c>
      <c r="X5">
        <f>Lookup!AC8</f>
        <v>0.41</v>
      </c>
      <c r="Y5">
        <f>Lookup!AD8</f>
        <v>0.64</v>
      </c>
      <c r="Z5" t="str">
        <f t="shared" ca="1" si="2"/>
        <v>KO_INC-ST_QRTLY.xlsx</v>
      </c>
      <c r="AA5" t="str">
        <f t="shared" ca="1" si="1"/>
        <v>KO_INC-ST_QR-001</v>
      </c>
      <c r="AB5" s="16">
        <f t="shared" ca="1" si="0"/>
        <v>46088.824799074071</v>
      </c>
    </row>
    <row r="6" spans="1:28" x14ac:dyDescent="0.25">
      <c r="A6" t="str">
        <f>Lookup!F9</f>
        <v>KO</v>
      </c>
      <c r="B6" s="14">
        <f ca="1">Lookup!G9</f>
        <v>46088</v>
      </c>
      <c r="C6">
        <f>Lookup!H9</f>
        <v>2024</v>
      </c>
      <c r="D6" t="str">
        <f>Lookup!I9</f>
        <v>Q4</v>
      </c>
      <c r="E6">
        <f>Lookup!J9</f>
        <v>11544000000</v>
      </c>
      <c r="F6">
        <f>Lookup!K9</f>
        <v>4664000000</v>
      </c>
      <c r="G6">
        <f>Lookup!L9</f>
        <v>7551000000</v>
      </c>
      <c r="H6">
        <f>Lookup!M9</f>
        <v>3351000000</v>
      </c>
      <c r="I6">
        <f>Lookup!N9</f>
        <v>-143000000</v>
      </c>
      <c r="J6">
        <f>Lookup!O9</f>
        <v>4026000000</v>
      </c>
      <c r="K6">
        <f>Lookup!P9</f>
        <v>2401000000</v>
      </c>
      <c r="L6">
        <f>Lookup!Q9</f>
        <v>686000000</v>
      </c>
      <c r="M6">
        <f>Lookup!R9</f>
        <v>2500000000</v>
      </c>
      <c r="N6">
        <f>Lookup!S9</f>
        <v>622000000</v>
      </c>
      <c r="O6">
        <f>Lookup!T9</f>
        <v>1900000000</v>
      </c>
      <c r="P6">
        <f>Lookup!U9</f>
        <v>0</v>
      </c>
      <c r="Q6">
        <f>Lookup!V9</f>
        <v>2450000000</v>
      </c>
      <c r="R6">
        <f>Lookup!W9</f>
        <v>0</v>
      </c>
      <c r="S6">
        <f>Lookup!X9</f>
        <v>2641000000</v>
      </c>
      <c r="T6">
        <f>Lookup!Y9</f>
        <v>644703900</v>
      </c>
      <c r="U6">
        <f>Lookup!Z9</f>
        <v>693266800</v>
      </c>
      <c r="V6">
        <f>Lookup!AA9</f>
        <v>5335388000</v>
      </c>
      <c r="W6">
        <f>Lookup!AB9</f>
        <v>5345914000</v>
      </c>
      <c r="X6">
        <f>Lookup!AC9</f>
        <v>0.65</v>
      </c>
      <c r="Y6">
        <f>Lookup!AD9</f>
        <v>0.47</v>
      </c>
      <c r="Z6" t="str">
        <f t="shared" ca="1" si="2"/>
        <v>KO_INC-ST_QRTLY.xlsx</v>
      </c>
      <c r="AA6" t="str">
        <f t="shared" ca="1" si="1"/>
        <v>KO_INC-ST_QR-001</v>
      </c>
      <c r="AB6" s="16">
        <f ca="1">NOW()</f>
        <v>46088.824799074071</v>
      </c>
    </row>
    <row r="7" spans="1:28" x14ac:dyDescent="0.25">
      <c r="A7" t="str">
        <f>Lookup!F10</f>
        <v>KO</v>
      </c>
      <c r="B7" s="14">
        <f ca="1">Lookup!G10</f>
        <v>46088</v>
      </c>
      <c r="C7">
        <f>Lookup!H10</f>
        <v>2024</v>
      </c>
      <c r="D7" t="str">
        <f>Lookup!I10</f>
        <v>Q3</v>
      </c>
      <c r="E7">
        <f>Lookup!J10</f>
        <v>11854000000</v>
      </c>
      <c r="F7">
        <f>Lookup!K10</f>
        <v>4812000000</v>
      </c>
      <c r="G7">
        <f>Lookup!L10</f>
        <v>7065000000</v>
      </c>
      <c r="H7">
        <f>Lookup!M10</f>
        <v>3799000000</v>
      </c>
      <c r="I7">
        <f>Lookup!N10</f>
        <v>-359000000</v>
      </c>
      <c r="J7">
        <f>Lookup!O10</f>
        <v>4659000000</v>
      </c>
      <c r="K7">
        <f>Lookup!P10</f>
        <v>3367000000</v>
      </c>
      <c r="L7">
        <f>Lookup!Q10</f>
        <v>425000000</v>
      </c>
      <c r="M7">
        <f>Lookup!R10</f>
        <v>3444000000</v>
      </c>
      <c r="N7">
        <f>Lookup!S10</f>
        <v>384000000</v>
      </c>
      <c r="O7">
        <f>Lookup!T10</f>
        <v>2793000000</v>
      </c>
      <c r="P7">
        <f>Lookup!U10</f>
        <v>0</v>
      </c>
      <c r="Q7">
        <f>Lookup!V10</f>
        <v>2475000000</v>
      </c>
      <c r="R7">
        <f>Lookup!W10</f>
        <v>0</v>
      </c>
      <c r="S7">
        <f>Lookup!X10</f>
        <v>2245000000</v>
      </c>
      <c r="T7">
        <f>Lookup!Y10</f>
        <v>693266800</v>
      </c>
      <c r="U7">
        <f>Lookup!Z10</f>
        <v>493996100</v>
      </c>
      <c r="V7">
        <f>Lookup!AA10</f>
        <v>5345914000</v>
      </c>
      <c r="W7">
        <f>Lookup!AB10</f>
        <v>5341026000</v>
      </c>
      <c r="X7">
        <f>Lookup!AC10</f>
        <v>0.48</v>
      </c>
      <c r="Y7">
        <f>Lookup!AD10</f>
        <v>0.6</v>
      </c>
      <c r="Z7" t="str">
        <f ca="1">$Z$2</f>
        <v>KO_INC-ST_QRTLY.xlsx</v>
      </c>
      <c r="AA7" t="str">
        <f t="shared" ca="1" si="1"/>
        <v>KO_INC-ST_QR-001</v>
      </c>
      <c r="AB7" s="16">
        <f ca="1">NOW()</f>
        <v>46088.824799074071</v>
      </c>
    </row>
    <row r="8" spans="1:28" x14ac:dyDescent="0.25">
      <c r="A8" t="str">
        <f>Lookup!F11</f>
        <v>KO</v>
      </c>
      <c r="B8" s="14">
        <f ca="1">Lookup!G11</f>
        <v>46088</v>
      </c>
      <c r="C8">
        <f>Lookup!H11</f>
        <v>2024</v>
      </c>
      <c r="D8" t="str">
        <f>Lookup!I11</f>
        <v>Q2</v>
      </c>
      <c r="E8">
        <f>Lookup!J11</f>
        <v>12363000000</v>
      </c>
      <c r="F8">
        <f>Lookup!K11</f>
        <v>4235000000</v>
      </c>
      <c r="G8">
        <f>Lookup!L11</f>
        <v>6215000000</v>
      </c>
      <c r="H8">
        <f>Lookup!M11</f>
        <v>3667000000</v>
      </c>
      <c r="I8">
        <f>Lookup!N11</f>
        <v>-1338000000</v>
      </c>
      <c r="J8">
        <f>Lookup!O11</f>
        <v>3296000000</v>
      </c>
      <c r="K8">
        <f>Lookup!P11</f>
        <v>2075000000</v>
      </c>
      <c r="L8">
        <f>Lookup!Q11</f>
        <v>356000000</v>
      </c>
      <c r="M8">
        <f>Lookup!R11</f>
        <v>2284000000</v>
      </c>
      <c r="N8">
        <f>Lookup!S11</f>
        <v>665000000</v>
      </c>
      <c r="O8">
        <f>Lookup!T11</f>
        <v>2450000000</v>
      </c>
      <c r="P8">
        <f>Lookup!U11</f>
        <v>0</v>
      </c>
      <c r="Q8">
        <f>Lookup!V11</f>
        <v>2624000000</v>
      </c>
      <c r="R8">
        <f>Lookup!W11</f>
        <v>0</v>
      </c>
      <c r="S8">
        <f>Lookup!X11</f>
        <v>1456000000</v>
      </c>
      <c r="T8">
        <f>Lookup!Y11</f>
        <v>493996100</v>
      </c>
      <c r="U8">
        <f>Lookup!Z11</f>
        <v>421468000</v>
      </c>
      <c r="V8">
        <f>Lookup!AA11</f>
        <v>5341026000</v>
      </c>
      <c r="W8">
        <f>Lookup!AB11</f>
        <v>5339712000</v>
      </c>
      <c r="X8">
        <f>Lookup!AC11</f>
        <v>0.61</v>
      </c>
      <c r="Y8">
        <f>Lookup!AD11</f>
        <v>0.61</v>
      </c>
      <c r="Z8" t="str">
        <f t="shared" ca="1" si="2"/>
        <v>KO_INC-ST_QRTLY.xlsx</v>
      </c>
      <c r="AA8" t="str">
        <f t="shared" ca="1" si="1"/>
        <v>KO_INC-ST_QR-001</v>
      </c>
      <c r="AB8" s="16">
        <f ca="1">NOW()</f>
        <v>46088.824799074071</v>
      </c>
    </row>
    <row r="9" spans="1:28" x14ac:dyDescent="0.25">
      <c r="A9" t="str">
        <f>Lookup!F12</f>
        <v>KO</v>
      </c>
      <c r="B9" s="14">
        <f ca="1">Lookup!G12</f>
        <v>46088</v>
      </c>
      <c r="C9">
        <f>Lookup!H12</f>
        <v>2024</v>
      </c>
      <c r="D9" t="str">
        <f>Lookup!I12</f>
        <v>Q1</v>
      </c>
      <c r="E9">
        <f>Lookup!J12</f>
        <v>11300000000</v>
      </c>
      <c r="F9">
        <f>Lookup!K12</f>
        <v>4634000000</v>
      </c>
      <c r="G9">
        <f>Lookup!L12</f>
        <v>7296000000</v>
      </c>
      <c r="H9">
        <f>Lookup!M12</f>
        <v>3321000000</v>
      </c>
      <c r="I9">
        <f>Lookup!N12</f>
        <v>-111000000</v>
      </c>
      <c r="J9">
        <f>Lookup!O12</f>
        <v>3537000000</v>
      </c>
      <c r="K9">
        <f>Lookup!P12</f>
        <v>3088000000</v>
      </c>
      <c r="L9">
        <f>Lookup!Q12</f>
        <v>-57000000</v>
      </c>
      <c r="M9">
        <f>Lookup!R12</f>
        <v>3458000000</v>
      </c>
      <c r="N9">
        <f>Lookup!S12</f>
        <v>510000000</v>
      </c>
      <c r="O9">
        <f>Lookup!T12</f>
        <v>2475000000</v>
      </c>
      <c r="P9">
        <f>Lookup!U12</f>
        <v>0</v>
      </c>
      <c r="Q9">
        <f>Lookup!V12</f>
        <v>2255000000</v>
      </c>
      <c r="R9">
        <f>Lookup!W12</f>
        <v>0</v>
      </c>
      <c r="S9">
        <f>Lookup!X12</f>
        <v>1737000000</v>
      </c>
      <c r="T9">
        <f>Lookup!Y12</f>
        <v>421468000</v>
      </c>
      <c r="U9">
        <f>Lookup!Z12</f>
        <v>512429900</v>
      </c>
      <c r="V9">
        <f>Lookup!AA12</f>
        <v>5339712000</v>
      </c>
      <c r="W9">
        <f>Lookup!AB12</f>
        <v>5340552000</v>
      </c>
      <c r="X9">
        <f>Lookup!AC12</f>
        <v>0.61</v>
      </c>
      <c r="Y9">
        <f>Lookup!AD12</f>
        <v>0.39</v>
      </c>
      <c r="Z9" t="str">
        <f t="shared" ca="1" si="2"/>
        <v>KO_INC-ST_QRTLY.xlsx</v>
      </c>
      <c r="AA9" t="str">
        <f t="shared" ca="1" si="1"/>
        <v>KO_INC-ST_QR-001</v>
      </c>
      <c r="AB9" s="16">
        <f ca="1">NOW()</f>
        <v>46088.824799074071</v>
      </c>
    </row>
    <row r="10" spans="1:28" x14ac:dyDescent="0.25">
      <c r="A10" t="str">
        <f>Lookup!F13</f>
        <v>KO</v>
      </c>
      <c r="B10" s="14">
        <f ca="1">Lookup!G13</f>
        <v>46088</v>
      </c>
      <c r="C10">
        <f>Lookup!H13</f>
        <v>2023</v>
      </c>
      <c r="D10" t="str">
        <f>Lookup!I13</f>
        <v>Q4</v>
      </c>
      <c r="E10">
        <f>Lookup!J13</f>
        <v>10849000000</v>
      </c>
      <c r="F10">
        <f>Lookup!K13</f>
        <v>4657000000</v>
      </c>
      <c r="G10">
        <f>Lookup!L13</f>
        <v>7060000000</v>
      </c>
      <c r="H10">
        <f>Lookup!M13</f>
        <v>3185000000</v>
      </c>
      <c r="I10">
        <f>Lookup!N13</f>
        <v>-106000000</v>
      </c>
      <c r="J10">
        <f>Lookup!O13</f>
        <v>3409000000</v>
      </c>
      <c r="K10">
        <f>Lookup!P13</f>
        <v>2341000000</v>
      </c>
      <c r="L10">
        <f>Lookup!Q13</f>
        <v>53000000</v>
      </c>
      <c r="M10">
        <f>Lookup!R13</f>
        <v>2960000000</v>
      </c>
      <c r="N10">
        <f>Lookup!S13</f>
        <v>609000000</v>
      </c>
      <c r="O10">
        <f>Lookup!T13</f>
        <v>2624000000</v>
      </c>
      <c r="P10">
        <f>Lookup!U13</f>
        <v>0</v>
      </c>
      <c r="Q10">
        <f>Lookup!V13</f>
        <v>1474000000</v>
      </c>
      <c r="R10">
        <f>Lookup!W13</f>
        <v>0</v>
      </c>
      <c r="S10">
        <f>Lookup!X13</f>
        <v>1779000000</v>
      </c>
      <c r="T10">
        <f>Lookup!Y13</f>
        <v>512429900</v>
      </c>
      <c r="U10">
        <f>Lookup!Z13</f>
        <v>579682100</v>
      </c>
      <c r="V10">
        <f>Lookup!AA13</f>
        <v>5340552000</v>
      </c>
      <c r="W10">
        <f>Lookup!AB13</f>
        <v>5392238000</v>
      </c>
      <c r="X10">
        <f>Lookup!AC13</f>
        <v>0.39</v>
      </c>
      <c r="Y10">
        <f>Lookup!AD13</f>
        <v>0.2</v>
      </c>
      <c r="Z10" t="str">
        <f t="shared" ca="1" si="2"/>
        <v>KO_INC-ST_QRTLY.xlsx</v>
      </c>
      <c r="AA10" t="str">
        <f t="shared" ca="1" si="1"/>
        <v>KO_INC-ST_QR-001</v>
      </c>
      <c r="AB10" s="16">
        <f t="shared" ref="AB10:AB73" ca="1" si="3">NOW()</f>
        <v>46088.824799074071</v>
      </c>
    </row>
    <row r="11" spans="1:28" x14ac:dyDescent="0.25">
      <c r="A11" t="str">
        <f>Lookup!F14</f>
        <v>KO</v>
      </c>
      <c r="B11" s="14">
        <f ca="1">Lookup!G14</f>
        <v>46088</v>
      </c>
      <c r="C11">
        <f>Lookup!H14</f>
        <v>2023</v>
      </c>
      <c r="D11" t="str">
        <f>Lookup!I14</f>
        <v>Q3</v>
      </c>
      <c r="E11">
        <f>Lookup!J14</f>
        <v>11953000000</v>
      </c>
      <c r="F11">
        <f>Lookup!K14</f>
        <v>4912000000</v>
      </c>
      <c r="G11">
        <f>Lookup!L14</f>
        <v>6663000000</v>
      </c>
      <c r="H11">
        <f>Lookup!M14</f>
        <v>3431000000</v>
      </c>
      <c r="I11">
        <f>Lookup!N14</f>
        <v>-130000000</v>
      </c>
      <c r="J11">
        <f>Lookup!O14</f>
        <v>4154000000</v>
      </c>
      <c r="K11">
        <f>Lookup!P14</f>
        <v>3405000000</v>
      </c>
      <c r="L11">
        <f>Lookup!Q14</f>
        <v>1288000000</v>
      </c>
      <c r="M11">
        <f>Lookup!R14</f>
        <v>3084000000</v>
      </c>
      <c r="N11">
        <f>Lookup!S14</f>
        <v>994000000</v>
      </c>
      <c r="O11">
        <f>Lookup!T14</f>
        <v>2255000000</v>
      </c>
      <c r="P11">
        <f>Lookup!U14</f>
        <v>0</v>
      </c>
      <c r="Q11">
        <f>Lookup!V14</f>
        <v>1740000000</v>
      </c>
      <c r="R11">
        <f>Lookup!W14</f>
        <v>0</v>
      </c>
      <c r="S11">
        <f>Lookup!X14</f>
        <v>2775000000</v>
      </c>
      <c r="T11">
        <f>Lookup!Y14</f>
        <v>579682100</v>
      </c>
      <c r="U11">
        <f>Lookup!Z14</f>
        <v>437983200</v>
      </c>
      <c r="V11">
        <f>Lookup!AA14</f>
        <v>5392238000</v>
      </c>
      <c r="W11">
        <f>Lookup!AB14</f>
        <v>5461042000</v>
      </c>
      <c r="X11">
        <f>Lookup!AC14</f>
        <v>0.21</v>
      </c>
      <c r="Y11">
        <f>Lookup!AD14</f>
        <v>0.44</v>
      </c>
      <c r="Z11" t="str">
        <f t="shared" ca="1" si="2"/>
        <v>KO_INC-ST_QRTLY.xlsx</v>
      </c>
      <c r="AA11" t="str">
        <f t="shared" ca="1" si="1"/>
        <v>KO_INC-ST_QR-001</v>
      </c>
      <c r="AB11" s="16">
        <f t="shared" ca="1" si="3"/>
        <v>46088.824799074071</v>
      </c>
    </row>
    <row r="12" spans="1:28" x14ac:dyDescent="0.25">
      <c r="A12" t="str">
        <f>Lookup!F15</f>
        <v>KO</v>
      </c>
      <c r="B12" s="14">
        <f ca="1">Lookup!G15</f>
        <v>46088</v>
      </c>
      <c r="C12">
        <f>Lookup!H15</f>
        <v>2023</v>
      </c>
      <c r="D12" t="str">
        <f>Lookup!I15</f>
        <v>Q2</v>
      </c>
      <c r="E12">
        <f>Lookup!J15</f>
        <v>11972000000</v>
      </c>
      <c r="F12">
        <f>Lookup!K15</f>
        <v>4317000000</v>
      </c>
      <c r="G12">
        <f>Lookup!L15</f>
        <v>5612000000</v>
      </c>
      <c r="H12">
        <f>Lookup!M15</f>
        <v>3279000000</v>
      </c>
      <c r="I12">
        <f>Lookup!N15</f>
        <v>-951000000</v>
      </c>
      <c r="J12">
        <f>Lookup!O15</f>
        <v>2995000000</v>
      </c>
      <c r="K12">
        <f>Lookup!P15</f>
        <v>1672000000</v>
      </c>
      <c r="L12">
        <f>Lookup!Q15</f>
        <v>186000000</v>
      </c>
      <c r="M12">
        <f>Lookup!R15</f>
        <v>3618000000</v>
      </c>
      <c r="N12">
        <f>Lookup!S15</f>
        <v>508000000</v>
      </c>
      <c r="O12">
        <f>Lookup!T15</f>
        <v>1474000000</v>
      </c>
      <c r="P12">
        <f>Lookup!U15</f>
        <v>0</v>
      </c>
      <c r="Q12">
        <f>Lookup!V15</f>
        <v>1759000000</v>
      </c>
      <c r="R12">
        <f>Lookup!W15</f>
        <v>0</v>
      </c>
      <c r="S12">
        <f>Lookup!X15</f>
        <v>2042000000</v>
      </c>
      <c r="T12">
        <f>Lookup!Y15</f>
        <v>437983200</v>
      </c>
      <c r="U12">
        <f>Lookup!Z15</f>
        <v>381755100</v>
      </c>
      <c r="V12">
        <f>Lookup!AA15</f>
        <v>5461042000</v>
      </c>
      <c r="W12">
        <f>Lookup!AB15</f>
        <v>5534418000</v>
      </c>
      <c r="X12">
        <f>Lookup!AC15</f>
        <v>0.44</v>
      </c>
      <c r="Y12">
        <f>Lookup!AD15</f>
        <v>0.54</v>
      </c>
      <c r="Z12" t="str">
        <f t="shared" ca="1" si="2"/>
        <v>KO_INC-ST_QRTLY.xlsx</v>
      </c>
      <c r="AA12" t="str">
        <f t="shared" ca="1" si="1"/>
        <v>KO_INC-ST_QR-001</v>
      </c>
      <c r="AB12" s="16">
        <f t="shared" ca="1" si="3"/>
        <v>46088.824799074071</v>
      </c>
    </row>
    <row r="13" spans="1:28" x14ac:dyDescent="0.25">
      <c r="A13" t="str">
        <f>Lookup!F16</f>
        <v>KO</v>
      </c>
      <c r="B13" s="14">
        <f ca="1">Lookup!G16</f>
        <v>46088</v>
      </c>
      <c r="C13">
        <f>Lookup!H16</f>
        <v>2023</v>
      </c>
      <c r="D13" t="str">
        <f>Lookup!I16</f>
        <v>Q1</v>
      </c>
      <c r="E13">
        <f>Lookup!J16</f>
        <v>10980000000</v>
      </c>
      <c r="F13">
        <f>Lookup!K16</f>
        <v>4513000000</v>
      </c>
      <c r="G13">
        <f>Lookup!L16</f>
        <v>6497000000</v>
      </c>
      <c r="H13">
        <f>Lookup!M16</f>
        <v>3203000000</v>
      </c>
      <c r="I13">
        <f>Lookup!N16</f>
        <v>-28000000</v>
      </c>
      <c r="J13">
        <f>Lookup!O16</f>
        <v>3704000000</v>
      </c>
      <c r="K13">
        <f>Lookup!P16</f>
        <v>2898000000</v>
      </c>
      <c r="L13">
        <f>Lookup!Q16</f>
        <v>602000000</v>
      </c>
      <c r="M13">
        <f>Lookup!R16</f>
        <v>2763000000</v>
      </c>
      <c r="N13">
        <f>Lookup!S16</f>
        <v>887000000</v>
      </c>
      <c r="O13">
        <f>Lookup!T16</f>
        <v>1740000000</v>
      </c>
      <c r="P13">
        <f>Lookup!U16</f>
        <v>0</v>
      </c>
      <c r="Q13">
        <f>Lookup!V16</f>
        <v>2795000000</v>
      </c>
      <c r="R13">
        <f>Lookup!W16</f>
        <v>0</v>
      </c>
      <c r="S13">
        <f>Lookup!X16</f>
        <v>2593000000</v>
      </c>
      <c r="T13">
        <f>Lookup!Y16</f>
        <v>381755100</v>
      </c>
      <c r="U13">
        <f>Lookup!Z16</f>
        <v>458300000</v>
      </c>
      <c r="V13">
        <f>Lookup!AA16</f>
        <v>5534418000</v>
      </c>
      <c r="W13">
        <f>Lookup!AB16</f>
        <v>5602486000</v>
      </c>
      <c r="X13">
        <f>Lookup!AC16</f>
        <v>0.54</v>
      </c>
      <c r="Y13">
        <f>Lookup!AD16</f>
        <v>0.32</v>
      </c>
      <c r="Z13" t="str">
        <f t="shared" ca="1" si="2"/>
        <v>KO_INC-ST_QRTLY.xlsx</v>
      </c>
      <c r="AA13" t="str">
        <f t="shared" ca="1" si="1"/>
        <v>KO_INC-ST_QR-001</v>
      </c>
      <c r="AB13" s="16">
        <f t="shared" ca="1" si="3"/>
        <v>46088.824799074071</v>
      </c>
    </row>
    <row r="14" spans="1:28" x14ac:dyDescent="0.25">
      <c r="A14" t="str">
        <f>Lookup!F17</f>
        <v>KO</v>
      </c>
      <c r="B14" s="14">
        <f ca="1">Lookup!G17</f>
        <v>46088</v>
      </c>
      <c r="C14">
        <f>Lookup!H17</f>
        <v>2022</v>
      </c>
      <c r="D14" t="str">
        <f>Lookup!I17</f>
        <v>Q4</v>
      </c>
      <c r="E14">
        <f>Lookup!J17</f>
        <v>10125000000</v>
      </c>
      <c r="F14">
        <f>Lookup!K17</f>
        <v>4566000000</v>
      </c>
      <c r="G14">
        <f>Lookup!L17</f>
        <v>6495000000</v>
      </c>
      <c r="H14">
        <f>Lookup!M17</f>
        <v>2967000000</v>
      </c>
      <c r="I14">
        <f>Lookup!N17</f>
        <v>-368000000</v>
      </c>
      <c r="J14">
        <f>Lookup!O17</f>
        <v>3167000000</v>
      </c>
      <c r="K14">
        <f>Lookup!P17</f>
        <v>3016000000</v>
      </c>
      <c r="L14">
        <f>Lookup!Q17</f>
        <v>41000000</v>
      </c>
      <c r="M14">
        <f>Lookup!R17</f>
        <v>2361000000</v>
      </c>
      <c r="N14">
        <f>Lookup!S17</f>
        <v>441000000</v>
      </c>
      <c r="O14">
        <f>Lookup!T17</f>
        <v>1759000000</v>
      </c>
      <c r="P14">
        <f>Lookup!U17</f>
        <v>0</v>
      </c>
      <c r="Q14">
        <f>Lookup!V17</f>
        <v>2065000000</v>
      </c>
      <c r="R14">
        <f>Lookup!W17</f>
        <v>0</v>
      </c>
      <c r="S14">
        <f>Lookup!X17</f>
        <v>2607000000</v>
      </c>
      <c r="T14">
        <f>Lookup!Y17</f>
        <v>458300000</v>
      </c>
      <c r="U14">
        <f>Lookup!Z17</f>
        <v>498775100</v>
      </c>
      <c r="V14">
        <f>Lookup!AA17</f>
        <v>5602486000</v>
      </c>
      <c r="W14">
        <f>Lookup!AB17</f>
        <v>5676616000</v>
      </c>
      <c r="X14">
        <f>Lookup!AC17</f>
        <v>0.32</v>
      </c>
      <c r="Y14">
        <f>Lookup!AD17</f>
        <v>-0.63</v>
      </c>
      <c r="Z14" t="str">
        <f t="shared" ca="1" si="2"/>
        <v>KO_INC-ST_QRTLY.xlsx</v>
      </c>
      <c r="AA14" t="str">
        <f t="shared" ca="1" si="1"/>
        <v>KO_INC-ST_QR-001</v>
      </c>
      <c r="AB14" s="16">
        <f t="shared" ca="1" si="3"/>
        <v>46088.824799074071</v>
      </c>
    </row>
    <row r="15" spans="1:28" x14ac:dyDescent="0.25">
      <c r="A15" t="str">
        <f>Lookup!F18</f>
        <v>KO</v>
      </c>
      <c r="B15" s="14">
        <f ca="1">Lookup!G18</f>
        <v>46088</v>
      </c>
      <c r="C15">
        <f>Lookup!H18</f>
        <v>2022</v>
      </c>
      <c r="D15" t="str">
        <f>Lookup!I18</f>
        <v>Q3</v>
      </c>
      <c r="E15">
        <f>Lookup!J18</f>
        <v>11063000000</v>
      </c>
      <c r="F15">
        <f>Lookup!K18</f>
        <v>4830000000</v>
      </c>
      <c r="G15">
        <f>Lookup!L18</f>
        <v>6400000000</v>
      </c>
      <c r="H15">
        <f>Lookup!M18</f>
        <v>3336000000</v>
      </c>
      <c r="I15">
        <f>Lookup!N18</f>
        <v>-45000000</v>
      </c>
      <c r="J15">
        <f>Lookup!O18</f>
        <v>3326000000</v>
      </c>
      <c r="K15">
        <f>Lookup!P18</f>
        <v>2722000000</v>
      </c>
      <c r="L15">
        <f>Lookup!Q18</f>
        <v>23000000</v>
      </c>
      <c r="M15">
        <f>Lookup!R18</f>
        <v>2181000000</v>
      </c>
      <c r="N15">
        <f>Lookup!S18</f>
        <v>438000000</v>
      </c>
      <c r="O15">
        <f>Lookup!T18</f>
        <v>2795000000</v>
      </c>
      <c r="P15">
        <f>Lookup!U18</f>
        <v>0</v>
      </c>
      <c r="Q15">
        <f>Lookup!V18</f>
        <v>2589000000</v>
      </c>
      <c r="R15">
        <f>Lookup!W18</f>
        <v>0</v>
      </c>
      <c r="S15">
        <f>Lookup!X18</f>
        <v>1678000000</v>
      </c>
      <c r="T15">
        <f>Lookup!Y18</f>
        <v>498775100</v>
      </c>
      <c r="U15">
        <f>Lookup!Z18</f>
        <v>386955000</v>
      </c>
      <c r="V15">
        <f>Lookup!AA18</f>
        <v>5676616000</v>
      </c>
      <c r="W15">
        <f>Lookup!AB18</f>
        <v>0</v>
      </c>
      <c r="X15">
        <f>Lookup!AC18</f>
        <v>-0.65</v>
      </c>
      <c r="Y15">
        <f>Lookup!AD18</f>
        <v>0.33</v>
      </c>
      <c r="Z15" t="str">
        <f t="shared" ca="1" si="2"/>
        <v>KO_INC-ST_QRTLY.xlsx</v>
      </c>
      <c r="AA15" t="str">
        <f t="shared" ca="1" si="1"/>
        <v>KO_INC-ST_QR-001</v>
      </c>
      <c r="AB15" s="16">
        <f t="shared" ca="1" si="3"/>
        <v>46088.824799074071</v>
      </c>
    </row>
    <row r="16" spans="1:28" x14ac:dyDescent="0.25">
      <c r="A16" t="str">
        <f>Lookup!F19</f>
        <v>KO</v>
      </c>
      <c r="B16" s="14">
        <f ca="1">Lookup!G19</f>
        <v>46088</v>
      </c>
      <c r="C16">
        <f>Lookup!H19</f>
        <v>2022</v>
      </c>
      <c r="D16" t="str">
        <f>Lookup!I19</f>
        <v>Q2</v>
      </c>
      <c r="E16">
        <f>Lookup!J19</f>
        <v>11325000000</v>
      </c>
      <c r="F16">
        <f>Lookup!K19</f>
        <v>4091000000</v>
      </c>
      <c r="G16">
        <f>Lookup!L19</f>
        <v>5376000000</v>
      </c>
      <c r="H16">
        <f>Lookup!M19</f>
        <v>3122000000</v>
      </c>
      <c r="I16">
        <f>Lookup!N19</f>
        <v>-309000000</v>
      </c>
      <c r="J16">
        <f>Lookup!O19</f>
        <v>2793000000</v>
      </c>
      <c r="K16">
        <f>Lookup!P19</f>
        <v>2338000000</v>
      </c>
      <c r="L16">
        <f>Lookup!Q19</f>
        <v>-117000000</v>
      </c>
      <c r="M16">
        <f>Lookup!R19</f>
        <v>2197000000</v>
      </c>
      <c r="N16">
        <f>Lookup!S19</f>
        <v>215000000</v>
      </c>
      <c r="O16">
        <f>Lookup!T19</f>
        <v>2065000000</v>
      </c>
      <c r="P16">
        <f>Lookup!U19</f>
        <v>0</v>
      </c>
      <c r="Q16">
        <f>Lookup!V19</f>
        <v>2628000000</v>
      </c>
      <c r="R16">
        <f>Lookup!W19</f>
        <v>0</v>
      </c>
      <c r="S16">
        <f>Lookup!X19</f>
        <v>870000000</v>
      </c>
      <c r="T16">
        <f>Lookup!Y19</f>
        <v>386955000</v>
      </c>
      <c r="U16">
        <f>Lookup!Z19</f>
        <v>340715000</v>
      </c>
      <c r="V16">
        <f>Lookup!AA19</f>
        <v>0</v>
      </c>
      <c r="W16">
        <f>Lookup!AB19</f>
        <v>5845220000</v>
      </c>
      <c r="X16">
        <f>Lookup!AC19</f>
        <v>0.34</v>
      </c>
      <c r="Y16">
        <f>Lookup!AD19</f>
        <v>0.32</v>
      </c>
      <c r="Z16" t="str">
        <f t="shared" ca="1" si="2"/>
        <v>KO_INC-ST_QRTLY.xlsx</v>
      </c>
      <c r="AA16" t="str">
        <f t="shared" ca="1" si="1"/>
        <v>KO_INC-ST_QR-001</v>
      </c>
      <c r="AB16" s="16">
        <f t="shared" ca="1" si="3"/>
        <v>46088.824799074071</v>
      </c>
    </row>
    <row r="17" spans="1:28" x14ac:dyDescent="0.25">
      <c r="A17" t="str">
        <f>Lookup!F20</f>
        <v>KO</v>
      </c>
      <c r="B17" s="14">
        <f ca="1">Lookup!G20</f>
        <v>46088</v>
      </c>
      <c r="C17">
        <f>Lookup!H20</f>
        <v>2022</v>
      </c>
      <c r="D17" t="str">
        <f>Lookup!I20</f>
        <v>Q1</v>
      </c>
      <c r="E17">
        <f>Lookup!J20</f>
        <v>10491000000</v>
      </c>
      <c r="F17">
        <f>Lookup!K20</f>
        <v>4088000000</v>
      </c>
      <c r="G17">
        <f>Lookup!L20</f>
        <v>6065000000</v>
      </c>
      <c r="H17">
        <f>Lookup!M20</f>
        <v>3017000000</v>
      </c>
      <c r="I17">
        <f>Lookup!N20</f>
        <v>-124000000</v>
      </c>
      <c r="J17">
        <f>Lookup!O20</f>
        <v>2695000000</v>
      </c>
      <c r="K17">
        <f>Lookup!P20</f>
        <v>2298000000</v>
      </c>
      <c r="L17">
        <f>Lookup!Q20</f>
        <v>216000000</v>
      </c>
      <c r="M17">
        <f>Lookup!R20</f>
        <v>3010000000</v>
      </c>
      <c r="N17">
        <f>Lookup!S20</f>
        <v>355000000</v>
      </c>
      <c r="O17">
        <f>Lookup!T20</f>
        <v>2589000000</v>
      </c>
      <c r="P17">
        <f>Lookup!U20</f>
        <v>0</v>
      </c>
      <c r="Q17">
        <f>Lookup!V20</f>
        <v>1703000000</v>
      </c>
      <c r="R17">
        <f>Lookup!W20</f>
        <v>0</v>
      </c>
      <c r="S17">
        <f>Lookup!X20</f>
        <v>1880000000</v>
      </c>
      <c r="T17">
        <f>Lookup!Y20</f>
        <v>340715000</v>
      </c>
      <c r="U17">
        <f>Lookup!Z20</f>
        <v>431427000</v>
      </c>
      <c r="V17">
        <f>Lookup!AA20</f>
        <v>5845220000</v>
      </c>
      <c r="W17">
        <f>Lookup!AB20</f>
        <v>591044000</v>
      </c>
      <c r="X17">
        <f>Lookup!AC20</f>
        <v>0.32</v>
      </c>
      <c r="Y17">
        <f>Lookup!AD20</f>
        <v>0.27</v>
      </c>
      <c r="Z17" t="str">
        <f t="shared" ca="1" si="2"/>
        <v>KO_INC-ST_QRTLY.xlsx</v>
      </c>
      <c r="AA17" t="str">
        <f t="shared" ca="1" si="1"/>
        <v>KO_INC-ST_QR-001</v>
      </c>
      <c r="AB17" s="16">
        <f t="shared" ca="1" si="3"/>
        <v>46088.824799074071</v>
      </c>
    </row>
    <row r="18" spans="1:28" x14ac:dyDescent="0.25">
      <c r="A18" t="str">
        <f>Lookup!F21</f>
        <v>KO</v>
      </c>
      <c r="B18" s="14">
        <f ca="1">Lookup!G21</f>
        <v>46088</v>
      </c>
      <c r="C18">
        <f>Lookup!H21</f>
        <v>2021</v>
      </c>
      <c r="D18" t="str">
        <f>Lookup!I21</f>
        <v>Q4</v>
      </c>
      <c r="E18">
        <f>Lookup!J21</f>
        <v>9464000000</v>
      </c>
      <c r="F18">
        <f>Lookup!K21</f>
        <v>3977000000</v>
      </c>
      <c r="G18">
        <f>Lookup!L21</f>
        <v>6342000000</v>
      </c>
      <c r="H18">
        <f>Lookup!M21</f>
        <v>2669000000</v>
      </c>
      <c r="I18">
        <f>Lookup!N21</f>
        <v>-106000000</v>
      </c>
      <c r="J18">
        <f>Lookup!O21</f>
        <v>2883000000</v>
      </c>
      <c r="K18">
        <f>Lookup!P21</f>
        <v>1981000000</v>
      </c>
      <c r="L18">
        <f>Lookup!Q21</f>
        <v>630000000</v>
      </c>
      <c r="M18">
        <f>Lookup!R21</f>
        <v>2420000000</v>
      </c>
      <c r="N18">
        <f>Lookup!S21</f>
        <v>503000000</v>
      </c>
      <c r="O18">
        <f>Lookup!T21</f>
        <v>2628000000</v>
      </c>
      <c r="P18">
        <f>Lookup!U21</f>
        <v>0</v>
      </c>
      <c r="Q18">
        <f>Lookup!V21</f>
        <v>1000000000</v>
      </c>
      <c r="R18">
        <f>Lookup!W21</f>
        <v>0</v>
      </c>
      <c r="S18">
        <f>Lookup!X21</f>
        <v>2316000000</v>
      </c>
      <c r="T18">
        <f>Lookup!Y21</f>
        <v>431427000</v>
      </c>
      <c r="U18">
        <f>Lookup!Z21</f>
        <v>465457000</v>
      </c>
      <c r="V18">
        <f>Lookup!AA21</f>
        <v>591044000</v>
      </c>
      <c r="W18">
        <f>Lookup!AB21</f>
        <v>5957698000</v>
      </c>
      <c r="X18">
        <f>Lookup!AC21</f>
        <v>0.28000000000000003</v>
      </c>
      <c r="Y18">
        <f>Lookup!AD21</f>
        <v>0.12</v>
      </c>
      <c r="Z18" t="str">
        <f t="shared" ca="1" si="2"/>
        <v>KO_INC-ST_QRTLY.xlsx</v>
      </c>
      <c r="AA18" t="str">
        <f t="shared" ca="1" si="1"/>
        <v>KO_INC-ST_QR-001</v>
      </c>
      <c r="AB18" s="16">
        <f t="shared" ca="1" si="3"/>
        <v>46088.824799074071</v>
      </c>
    </row>
    <row r="19" spans="1:28" x14ac:dyDescent="0.25">
      <c r="A19" t="str">
        <f>Lookup!F22</f>
        <v>KO</v>
      </c>
      <c r="B19" s="14">
        <f ca="1">Lookup!G22</f>
        <v>46088</v>
      </c>
      <c r="C19">
        <f>Lookup!H22</f>
        <v>2021</v>
      </c>
      <c r="D19" t="str">
        <f>Lookup!I22</f>
        <v>Q3</v>
      </c>
      <c r="E19">
        <f>Lookup!J22</f>
        <v>10042000000</v>
      </c>
      <c r="F19">
        <f>Lookup!K22</f>
        <v>3787000000</v>
      </c>
      <c r="G19">
        <f>Lookup!L22</f>
        <v>5515000000</v>
      </c>
      <c r="H19">
        <f>Lookup!M22</f>
        <v>2589000000</v>
      </c>
      <c r="I19">
        <f>Lookup!N22</f>
        <v>-372000000</v>
      </c>
      <c r="J19">
        <f>Lookup!O22</f>
        <v>2156000000</v>
      </c>
      <c r="K19">
        <f>Lookup!P22</f>
        <v>2380000000</v>
      </c>
      <c r="L19">
        <f>Lookup!Q22</f>
        <v>256000000</v>
      </c>
      <c r="M19">
        <f>Lookup!R22</f>
        <v>3092000000</v>
      </c>
      <c r="N19">
        <f>Lookup!S22</f>
        <v>421000000</v>
      </c>
      <c r="O19">
        <f>Lookup!T22</f>
        <v>1703000000</v>
      </c>
      <c r="P19">
        <f>Lookup!U22</f>
        <v>0</v>
      </c>
      <c r="Q19">
        <f>Lookup!V22</f>
        <v>1818000000</v>
      </c>
      <c r="R19">
        <f>Lookup!W22</f>
        <v>0</v>
      </c>
      <c r="S19">
        <f>Lookup!X22</f>
        <v>1368000000</v>
      </c>
      <c r="T19">
        <f>Lookup!Y22</f>
        <v>465457000</v>
      </c>
      <c r="U19">
        <f>Lookup!Z22</f>
        <v>360702000</v>
      </c>
      <c r="V19">
        <f>Lookup!AA22</f>
        <v>5957698000</v>
      </c>
      <c r="W19">
        <f>Lookup!AB22</f>
        <v>6006550000</v>
      </c>
      <c r="X19">
        <f>Lookup!AC22</f>
        <v>0.13</v>
      </c>
      <c r="Y19">
        <f>Lookup!AD22</f>
        <v>0.24</v>
      </c>
      <c r="Z19" t="str">
        <f t="shared" ca="1" si="2"/>
        <v>KO_INC-ST_QRTLY.xlsx</v>
      </c>
      <c r="AA19" t="str">
        <f t="shared" ca="1" si="1"/>
        <v>KO_INC-ST_QR-001</v>
      </c>
      <c r="AB19" s="16">
        <f t="shared" ca="1" si="3"/>
        <v>46088.824799074071</v>
      </c>
    </row>
    <row r="20" spans="1:28" x14ac:dyDescent="0.25">
      <c r="A20" t="str">
        <f>Lookup!F23</f>
        <v>KO</v>
      </c>
      <c r="B20" s="14">
        <f ca="1">Lookup!G23</f>
        <v>46088</v>
      </c>
      <c r="C20">
        <f>Lookup!H23</f>
        <v>2021</v>
      </c>
      <c r="D20" t="str">
        <f>Lookup!I23</f>
        <v>Q2</v>
      </c>
      <c r="E20">
        <f>Lookup!J23</f>
        <v>10129000000</v>
      </c>
      <c r="F20">
        <f>Lookup!K23</f>
        <v>3505000000</v>
      </c>
      <c r="G20">
        <f>Lookup!L23</f>
        <v>5033000000</v>
      </c>
      <c r="H20">
        <f>Lookup!M23</f>
        <v>2511000000</v>
      </c>
      <c r="I20">
        <f>Lookup!N23</f>
        <v>-173000000</v>
      </c>
      <c r="J20">
        <f>Lookup!O23</f>
        <v>2850000000</v>
      </c>
      <c r="K20">
        <f>Lookup!P23</f>
        <v>2164000000</v>
      </c>
      <c r="L20">
        <f>Lookup!Q23</f>
        <v>593000000</v>
      </c>
      <c r="M20">
        <f>Lookup!R23</f>
        <v>3049000000</v>
      </c>
      <c r="N20">
        <f>Lookup!S23</f>
        <v>522000000</v>
      </c>
      <c r="O20">
        <f>Lookup!T23</f>
        <v>1000000000</v>
      </c>
      <c r="P20">
        <f>Lookup!U23</f>
        <v>0</v>
      </c>
      <c r="Q20">
        <f>Lookup!V23</f>
        <v>2331000000</v>
      </c>
      <c r="R20">
        <f>Lookup!W23</f>
        <v>73000000</v>
      </c>
      <c r="S20">
        <f>Lookup!X23</f>
        <v>-2752000000</v>
      </c>
      <c r="T20">
        <f>Lookup!Y23</f>
        <v>360702000</v>
      </c>
      <c r="U20">
        <f>Lookup!Z23</f>
        <v>182247000</v>
      </c>
      <c r="V20">
        <f>Lookup!AA23</f>
        <v>6006550000</v>
      </c>
      <c r="W20">
        <f>Lookup!AB23</f>
        <v>6031696000</v>
      </c>
      <c r="X20">
        <f>Lookup!AC23</f>
        <v>0.24</v>
      </c>
      <c r="Y20">
        <f>Lookup!AD23</f>
        <v>0.79</v>
      </c>
      <c r="Z20" t="str">
        <f t="shared" ca="1" si="2"/>
        <v>KO_INC-ST_QRTLY.xlsx</v>
      </c>
      <c r="AA20" t="str">
        <f t="shared" ca="1" si="1"/>
        <v>KO_INC-ST_QR-001</v>
      </c>
      <c r="AB20" s="16">
        <f t="shared" ca="1" si="3"/>
        <v>46088.824799074071</v>
      </c>
    </row>
    <row r="21" spans="1:28" x14ac:dyDescent="0.25">
      <c r="A21" t="str">
        <f>Lookup!F24</f>
        <v>KO</v>
      </c>
      <c r="B21" s="14">
        <f ca="1">Lookup!G24</f>
        <v>46088</v>
      </c>
      <c r="C21">
        <f>Lookup!H24</f>
        <v>2021</v>
      </c>
      <c r="D21" t="str">
        <f>Lookup!I24</f>
        <v>Q1</v>
      </c>
      <c r="E21">
        <f>Lookup!J24</f>
        <v>9020000000</v>
      </c>
      <c r="F21">
        <f>Lookup!K24</f>
        <v>3578000000</v>
      </c>
      <c r="G21">
        <f>Lookup!L24</f>
        <v>5181000000</v>
      </c>
      <c r="H21">
        <f>Lookup!M24</f>
        <v>1983000000</v>
      </c>
      <c r="I21">
        <f>Lookup!N24</f>
        <v>-202000000</v>
      </c>
      <c r="J21">
        <f>Lookup!O24</f>
        <v>3338000000</v>
      </c>
      <c r="K21">
        <f>Lookup!P24</f>
        <v>2499000000</v>
      </c>
      <c r="L21">
        <f>Lookup!Q24</f>
        <v>61000000</v>
      </c>
      <c r="M21">
        <f>Lookup!R24</f>
        <v>2225000000</v>
      </c>
      <c r="N21">
        <f>Lookup!S24</f>
        <v>77000000</v>
      </c>
      <c r="O21">
        <f>Lookup!T24</f>
        <v>1818000000</v>
      </c>
      <c r="P21">
        <f>Lookup!U24</f>
        <v>0</v>
      </c>
      <c r="Q21">
        <f>Lookup!V24</f>
        <v>1327000000</v>
      </c>
      <c r="R21">
        <f>Lookup!W24</f>
        <v>0</v>
      </c>
      <c r="S21">
        <f>Lookup!X24</f>
        <v>1447000000</v>
      </c>
      <c r="T21">
        <f>Lookup!Y24</f>
        <v>182247000</v>
      </c>
      <c r="U21">
        <f>Lookup!Z24</f>
        <v>394154100</v>
      </c>
      <c r="V21">
        <f>Lookup!AA24</f>
        <v>6031696000</v>
      </c>
      <c r="W21">
        <f>Lookup!AB24</f>
        <v>6049004000</v>
      </c>
      <c r="X21">
        <f>Lookup!AC24</f>
        <v>0.8</v>
      </c>
      <c r="Y21">
        <f>Lookup!AD24</f>
        <v>0.34</v>
      </c>
      <c r="Z21" t="str">
        <f t="shared" ca="1" si="2"/>
        <v>KO_INC-ST_QRTLY.xlsx</v>
      </c>
      <c r="AA21" t="str">
        <f t="shared" ca="1" si="1"/>
        <v>KO_INC-ST_QR-001</v>
      </c>
      <c r="AB21" s="16">
        <f t="shared" ca="1" si="3"/>
        <v>46088.824799074071</v>
      </c>
    </row>
    <row r="22" spans="1:28" x14ac:dyDescent="0.25">
      <c r="A22" t="str">
        <f>Lookup!F25</f>
        <v>KO</v>
      </c>
      <c r="B22" s="14">
        <f ca="1">Lookup!G25</f>
        <v>46088</v>
      </c>
      <c r="C22">
        <f>Lookup!H25</f>
        <v>2020</v>
      </c>
      <c r="D22" t="str">
        <f>Lookup!I25</f>
        <v>Q4</v>
      </c>
      <c r="E22">
        <f>Lookup!J25</f>
        <v>8611000000</v>
      </c>
      <c r="F22">
        <f>Lookup!K25</f>
        <v>3471000000</v>
      </c>
      <c r="G22">
        <f>Lookup!L25</f>
        <v>4137000000</v>
      </c>
      <c r="H22">
        <f>Lookup!M25</f>
        <v>2648000000</v>
      </c>
      <c r="I22">
        <f>Lookup!N25</f>
        <v>-114000000</v>
      </c>
      <c r="J22">
        <f>Lookup!O25</f>
        <v>3241000000</v>
      </c>
      <c r="K22">
        <f>Lookup!P25</f>
        <v>2988000000</v>
      </c>
      <c r="L22">
        <f>Lookup!Q25</f>
        <v>-210000000</v>
      </c>
      <c r="M22">
        <f>Lookup!R25</f>
        <v>1077000000</v>
      </c>
      <c r="N22">
        <f>Lookup!S25</f>
        <v>555000000</v>
      </c>
      <c r="O22">
        <f>Lookup!T25</f>
        <v>2331000000</v>
      </c>
      <c r="P22">
        <f>Lookup!U25</f>
        <v>0</v>
      </c>
      <c r="Q22">
        <f>Lookup!V25</f>
        <v>-2717000000</v>
      </c>
      <c r="R22">
        <f>Lookup!W25</f>
        <v>0</v>
      </c>
      <c r="S22">
        <f>Lookup!X25</f>
        <v>1371000000</v>
      </c>
      <c r="T22">
        <f>Lookup!Y25</f>
        <v>394154100</v>
      </c>
      <c r="U22">
        <f>Lookup!Z25</f>
        <v>423273900</v>
      </c>
      <c r="V22">
        <f>Lookup!AA25</f>
        <v>6049004000</v>
      </c>
      <c r="W22">
        <f>Lookup!AB25</f>
        <v>0</v>
      </c>
      <c r="X22">
        <f>Lookup!AC25</f>
        <v>0.34</v>
      </c>
      <c r="Y22">
        <f>Lookup!AD25</f>
        <v>0.28000000000000003</v>
      </c>
      <c r="Z22" t="str">
        <f t="shared" ca="1" si="2"/>
        <v>KO_INC-ST_QRTLY.xlsx</v>
      </c>
      <c r="AA22" t="str">
        <f t="shared" ca="1" si="1"/>
        <v>KO_INC-ST_QR-001</v>
      </c>
      <c r="AB22" s="16">
        <f t="shared" ca="1" si="3"/>
        <v>46088.824799074071</v>
      </c>
    </row>
    <row r="23" spans="1:28" x14ac:dyDescent="0.25">
      <c r="A23" t="str">
        <f>Lookup!F26</f>
        <v>KO</v>
      </c>
      <c r="B23" s="14">
        <f ca="1">Lookup!G26</f>
        <v>46088</v>
      </c>
      <c r="C23">
        <f>Lookup!H26</f>
        <v>2020</v>
      </c>
      <c r="D23" t="str">
        <f>Lookup!I26</f>
        <v>Q3</v>
      </c>
      <c r="E23">
        <f>Lookup!J26</f>
        <v>8652000000</v>
      </c>
      <c r="F23">
        <f>Lookup!K26</f>
        <v>3013000000</v>
      </c>
      <c r="G23">
        <f>Lookup!L26</f>
        <v>5230000000</v>
      </c>
      <c r="H23">
        <f>Lookup!M26</f>
        <v>3224000000</v>
      </c>
      <c r="I23">
        <f>Lookup!N26</f>
        <v>-125000000</v>
      </c>
      <c r="J23">
        <f>Lookup!O26</f>
        <v>3088000000</v>
      </c>
      <c r="K23">
        <f>Lookup!P26</f>
        <v>2435000000</v>
      </c>
      <c r="L23">
        <f>Lookup!Q26</f>
        <v>-884000000</v>
      </c>
      <c r="M23">
        <f>Lookup!R26</f>
        <v>2373000000</v>
      </c>
      <c r="N23">
        <f>Lookup!S26</f>
        <v>611000000</v>
      </c>
      <c r="O23">
        <f>Lookup!T26</f>
        <v>1327000000</v>
      </c>
      <c r="P23">
        <f>Lookup!U26</f>
        <v>0</v>
      </c>
      <c r="Q23">
        <f>Lookup!V26</f>
        <v>1444000000</v>
      </c>
      <c r="R23">
        <f>Lookup!W26</f>
        <v>0</v>
      </c>
      <c r="S23">
        <f>Lookup!X26</f>
        <v>1182000000</v>
      </c>
      <c r="T23">
        <f>Lookup!Y26</f>
        <v>423273900</v>
      </c>
      <c r="U23">
        <f>Lookup!Z26</f>
        <v>324115000</v>
      </c>
      <c r="V23">
        <f>Lookup!AA26</f>
        <v>0</v>
      </c>
      <c r="W23">
        <f>Lookup!AB26</f>
        <v>0</v>
      </c>
      <c r="X23">
        <f>Lookup!AC26</f>
        <v>0.28999999999999998</v>
      </c>
      <c r="Y23">
        <f>Lookup!AD26</f>
        <v>0.33</v>
      </c>
      <c r="Z23" t="str">
        <f t="shared" ca="1" si="2"/>
        <v>KO_INC-ST_QRTLY.xlsx</v>
      </c>
      <c r="AA23" t="str">
        <f t="shared" ca="1" si="1"/>
        <v>KO_INC-ST_QR-001</v>
      </c>
      <c r="AB23" s="16">
        <f t="shared" ca="1" si="3"/>
        <v>46088.824799074071</v>
      </c>
    </row>
    <row r="24" spans="1:28" x14ac:dyDescent="0.25">
      <c r="A24" t="str">
        <f>Lookup!F27</f>
        <v>KO</v>
      </c>
      <c r="B24" s="14">
        <f ca="1">Lookup!G27</f>
        <v>46088</v>
      </c>
      <c r="C24">
        <f>Lookup!H27</f>
        <v>2020</v>
      </c>
      <c r="D24" t="str">
        <f>Lookup!I27</f>
        <v>Q2</v>
      </c>
      <c r="E24">
        <f>Lookup!J27</f>
        <v>7150000000</v>
      </c>
      <c r="F24">
        <f>Lookup!K27</f>
        <v>3371000000</v>
      </c>
      <c r="G24">
        <f>Lookup!L27</f>
        <v>5502000000</v>
      </c>
      <c r="H24">
        <f>Lookup!M27</f>
        <v>3116000000</v>
      </c>
      <c r="I24">
        <f>Lookup!N27</f>
        <v>-92000000</v>
      </c>
      <c r="J24">
        <f>Lookup!O27</f>
        <v>2894000000</v>
      </c>
      <c r="K24">
        <f>Lookup!P27</f>
        <v>1961000000</v>
      </c>
      <c r="L24">
        <f>Lookup!Q27</f>
        <v>-241000000</v>
      </c>
      <c r="M24">
        <f>Lookup!R27</f>
        <v>2942000000</v>
      </c>
      <c r="N24">
        <f>Lookup!S27</f>
        <v>506000000</v>
      </c>
      <c r="O24">
        <f>Lookup!T27</f>
        <v>-2717000000</v>
      </c>
      <c r="P24">
        <f>Lookup!U27</f>
        <v>0</v>
      </c>
      <c r="Q24">
        <f>Lookup!V27</f>
        <v>1372000000</v>
      </c>
      <c r="R24">
        <f>Lookup!W27</f>
        <v>0</v>
      </c>
      <c r="S24">
        <f>Lookup!X27</f>
        <v>550000000</v>
      </c>
      <c r="T24">
        <f>Lookup!Y27</f>
        <v>324115000</v>
      </c>
      <c r="U24">
        <f>Lookup!Z27</f>
        <v>0</v>
      </c>
      <c r="V24">
        <f>Lookup!AA27</f>
        <v>0</v>
      </c>
      <c r="W24">
        <f>Lookup!AB27</f>
        <v>0</v>
      </c>
      <c r="X24">
        <f>Lookup!AC27</f>
        <v>0.33</v>
      </c>
      <c r="Y24">
        <f>Lookup!AD27</f>
        <v>0.71</v>
      </c>
      <c r="Z24" t="str">
        <f t="shared" ca="1" si="2"/>
        <v>KO_INC-ST_QRTLY.xlsx</v>
      </c>
      <c r="AA24" t="str">
        <f t="shared" ca="1" si="1"/>
        <v>KO_INC-ST_QR-001</v>
      </c>
      <c r="AB24" s="16">
        <f t="shared" ca="1" si="3"/>
        <v>46088.824799074071</v>
      </c>
    </row>
    <row r="25" spans="1:28" x14ac:dyDescent="0.25">
      <c r="A25" t="str">
        <f>Lookup!F28</f>
        <v>KO</v>
      </c>
      <c r="B25" s="14">
        <f ca="1">Lookup!G28</f>
        <v>46088</v>
      </c>
      <c r="C25">
        <f>Lookup!H28</f>
        <v>2020</v>
      </c>
      <c r="D25" t="str">
        <f>Lookup!I28</f>
        <v>Q1</v>
      </c>
      <c r="E25">
        <f>Lookup!J28</f>
        <v>8601000000</v>
      </c>
      <c r="F25">
        <f>Lookup!K28</f>
        <v>3566000000</v>
      </c>
      <c r="G25">
        <f>Lookup!L28</f>
        <v>5740000000</v>
      </c>
      <c r="H25">
        <f>Lookup!M28</f>
        <v>2996000000</v>
      </c>
      <c r="I25">
        <f>Lookup!N28</f>
        <v>-127000000</v>
      </c>
      <c r="J25">
        <f>Lookup!O28</f>
        <v>3077000000</v>
      </c>
      <c r="K25">
        <f>Lookup!P28</f>
        <v>2614000000</v>
      </c>
      <c r="L25">
        <f>Lookup!Q28</f>
        <v>176000000</v>
      </c>
      <c r="M25">
        <f>Lookup!R28</f>
        <v>1833000000</v>
      </c>
      <c r="N25">
        <f>Lookup!S28</f>
        <v>3802000000</v>
      </c>
      <c r="O25">
        <f>Lookup!T28</f>
        <v>1444000000</v>
      </c>
      <c r="P25">
        <f>Lookup!U28</f>
        <v>0</v>
      </c>
      <c r="Q25">
        <f>Lookup!V28</f>
        <v>1184000000</v>
      </c>
      <c r="R25">
        <f>Lookup!W28</f>
        <v>0</v>
      </c>
      <c r="S25">
        <f>Lookup!X28</f>
        <v>1046000000</v>
      </c>
      <c r="T25">
        <f>Lookup!Y28</f>
        <v>0</v>
      </c>
      <c r="U25">
        <f>Lookup!Z28</f>
        <v>0</v>
      </c>
      <c r="V25">
        <f>Lookup!AA28</f>
        <v>0</v>
      </c>
      <c r="W25">
        <f>Lookup!AB28</f>
        <v>0</v>
      </c>
      <c r="X25">
        <f>Lookup!AC28</f>
        <v>0.71</v>
      </c>
      <c r="Y25">
        <f>Lookup!AD28</f>
        <v>0.35</v>
      </c>
      <c r="Z25" t="str">
        <f t="shared" ca="1" si="2"/>
        <v>KO_INC-ST_QRTLY.xlsx</v>
      </c>
      <c r="AA25" t="str">
        <f t="shared" ca="1" si="1"/>
        <v>KO_INC-ST_QR-001</v>
      </c>
      <c r="AB25" s="16">
        <f t="shared" ca="1" si="3"/>
        <v>46088.824799074071</v>
      </c>
    </row>
    <row r="26" spans="1:28" x14ac:dyDescent="0.25">
      <c r="A26" t="str">
        <f>Lookup!F29</f>
        <v>KO</v>
      </c>
      <c r="B26" s="14">
        <f ca="1">Lookup!G29</f>
        <v>46088</v>
      </c>
      <c r="C26">
        <f>Lookup!H29</f>
        <v>2019</v>
      </c>
      <c r="D26" t="str">
        <f>Lookup!I29</f>
        <v>Q4</v>
      </c>
      <c r="E26">
        <f>Lookup!J29</f>
        <v>9068000000</v>
      </c>
      <c r="F26">
        <f>Lookup!K29</f>
        <v>3767000000</v>
      </c>
      <c r="G26">
        <f>Lookup!L29</f>
        <v>6076000000</v>
      </c>
      <c r="H26">
        <f>Lookup!M29</f>
        <v>2767000000</v>
      </c>
      <c r="I26">
        <f>Lookup!N29</f>
        <v>-163000000</v>
      </c>
      <c r="J26">
        <f>Lookup!O29</f>
        <v>2815000000</v>
      </c>
      <c r="K26">
        <f>Lookup!P29</f>
        <v>2766000000</v>
      </c>
      <c r="L26">
        <f>Lookup!Q29</f>
        <v>22000000</v>
      </c>
      <c r="M26">
        <f>Lookup!R29</f>
        <v>1085000000</v>
      </c>
      <c r="N26">
        <f>Lookup!S29</f>
        <v>230000000</v>
      </c>
      <c r="O26">
        <f>Lookup!T29</f>
        <v>1372000000</v>
      </c>
      <c r="P26">
        <f>Lookup!U29</f>
        <v>0</v>
      </c>
      <c r="Q26">
        <f>Lookup!V29</f>
        <v>547000000</v>
      </c>
      <c r="R26">
        <f>Lookup!W29</f>
        <v>0</v>
      </c>
      <c r="S26">
        <f>Lookup!X29</f>
        <v>3448000000</v>
      </c>
      <c r="T26">
        <f>Lookup!Y29</f>
        <v>0</v>
      </c>
      <c r="U26">
        <f>Lookup!Z29</f>
        <v>0</v>
      </c>
      <c r="V26">
        <f>Lookup!AA29</f>
        <v>0</v>
      </c>
      <c r="W26">
        <f>Lookup!AB29</f>
        <v>0</v>
      </c>
      <c r="X26">
        <f>Lookup!AC29</f>
        <v>0.36</v>
      </c>
      <c r="Y26">
        <f>Lookup!AD29</f>
        <v>0.18</v>
      </c>
      <c r="Z26" t="str">
        <f t="shared" ca="1" si="2"/>
        <v>KO_INC-ST_QRTLY.xlsx</v>
      </c>
      <c r="AA26" t="str">
        <f t="shared" ca="1" si="1"/>
        <v>KO_INC-ST_QR-001</v>
      </c>
      <c r="AB26" s="16">
        <f t="shared" ca="1" si="3"/>
        <v>46088.824799074071</v>
      </c>
    </row>
    <row r="27" spans="1:28" x14ac:dyDescent="0.25">
      <c r="A27" t="str">
        <f>Lookup!F30</f>
        <v>KO</v>
      </c>
      <c r="B27" s="14">
        <f ca="1">Lookup!G30</f>
        <v>46088</v>
      </c>
      <c r="C27">
        <f>Lookup!H30</f>
        <v>2019</v>
      </c>
      <c r="D27" t="str">
        <f>Lookup!I30</f>
        <v>Q3</v>
      </c>
      <c r="E27">
        <f>Lookup!J30</f>
        <v>9507000000</v>
      </c>
      <c r="F27">
        <f>Lookup!K30</f>
        <v>3921000000</v>
      </c>
      <c r="G27">
        <f>Lookup!L30</f>
        <v>5329000000</v>
      </c>
      <c r="H27">
        <f>Lookup!M30</f>
        <v>2914000000</v>
      </c>
      <c r="I27">
        <f>Lookup!N30</f>
        <v>-155000000</v>
      </c>
      <c r="J27">
        <f>Lookup!O30</f>
        <v>3112000000</v>
      </c>
      <c r="K27">
        <f>Lookup!P30</f>
        <v>1811000000</v>
      </c>
      <c r="L27">
        <f>Lookup!Q30</f>
        <v>-425000000</v>
      </c>
      <c r="M27">
        <f>Lookup!R30</f>
        <v>1674000000</v>
      </c>
      <c r="N27">
        <f>Lookup!S30</f>
        <v>1252000000</v>
      </c>
      <c r="O27">
        <f>Lookup!T30</f>
        <v>1184000000</v>
      </c>
      <c r="P27">
        <f>Lookup!U30</f>
        <v>0</v>
      </c>
      <c r="Q27">
        <f>Lookup!V30</f>
        <v>1050000000</v>
      </c>
      <c r="R27">
        <f>Lookup!W30</f>
        <v>0</v>
      </c>
      <c r="S27">
        <f>Lookup!X30</f>
        <v>1483000000</v>
      </c>
      <c r="T27">
        <f>Lookup!Y30</f>
        <v>0</v>
      </c>
      <c r="U27">
        <f>Lookup!Z30</f>
        <v>0</v>
      </c>
      <c r="V27">
        <f>Lookup!AA30</f>
        <v>0</v>
      </c>
      <c r="W27">
        <f>Lookup!AB30</f>
        <v>0</v>
      </c>
      <c r="X27">
        <f>Lookup!AC30</f>
        <v>0.18</v>
      </c>
      <c r="Y27">
        <f>Lookup!AD30</f>
        <v>0.48</v>
      </c>
      <c r="Z27" t="str">
        <f t="shared" ca="1" si="2"/>
        <v>KO_INC-ST_QRTLY.xlsx</v>
      </c>
      <c r="AA27" t="str">
        <f t="shared" ca="1" si="1"/>
        <v>KO_INC-ST_QR-001</v>
      </c>
      <c r="AB27" s="16">
        <f t="shared" ca="1" si="3"/>
        <v>46088.824799074071</v>
      </c>
    </row>
    <row r="28" spans="1:28" x14ac:dyDescent="0.25">
      <c r="A28" t="str">
        <f>Lookup!F31</f>
        <v>KO</v>
      </c>
      <c r="B28" s="14">
        <f ca="1">Lookup!G31</f>
        <v>46088</v>
      </c>
      <c r="C28">
        <f>Lookup!H31</f>
        <v>2019</v>
      </c>
      <c r="D28" t="str">
        <f>Lookup!I31</f>
        <v>Q2</v>
      </c>
      <c r="E28">
        <f>Lookup!J31</f>
        <v>9997000000</v>
      </c>
      <c r="F28">
        <f>Lookup!K31</f>
        <v>3365000000</v>
      </c>
      <c r="G28">
        <f>Lookup!L31</f>
        <v>5038000000</v>
      </c>
      <c r="H28">
        <f>Lookup!M31</f>
        <v>2660000000</v>
      </c>
      <c r="I28">
        <f>Lookup!N31</f>
        <v>-225000000</v>
      </c>
      <c r="J28">
        <f>Lookup!O31</f>
        <v>3077000000</v>
      </c>
      <c r="K28">
        <f>Lookup!P31</f>
        <v>1510000000</v>
      </c>
      <c r="L28">
        <f>Lookup!Q31</f>
        <v>-571000000</v>
      </c>
      <c r="M28">
        <f>Lookup!R31</f>
        <v>2624000000</v>
      </c>
      <c r="N28">
        <f>Lookup!S31</f>
        <v>323000000</v>
      </c>
      <c r="O28">
        <f>Lookup!T31</f>
        <v>547000000</v>
      </c>
      <c r="P28">
        <f>Lookup!U31</f>
        <v>0</v>
      </c>
      <c r="Q28">
        <f>Lookup!V31</f>
        <v>3460000000</v>
      </c>
      <c r="R28">
        <f>Lookup!W31</f>
        <v>0</v>
      </c>
      <c r="S28">
        <f>Lookup!X31</f>
        <v>1237000000</v>
      </c>
      <c r="T28">
        <f>Lookup!Y31</f>
        <v>0</v>
      </c>
      <c r="U28">
        <f>Lookup!Z31</f>
        <v>0</v>
      </c>
      <c r="V28">
        <f>Lookup!AA31</f>
        <v>0</v>
      </c>
      <c r="W28">
        <f>Lookup!AB31</f>
        <v>0</v>
      </c>
      <c r="X28">
        <f>Lookup!AC31</f>
        <v>0.48</v>
      </c>
      <c r="Y28">
        <f>Lookup!AD31</f>
        <v>0.57999999999999996</v>
      </c>
      <c r="Z28" t="str">
        <f t="shared" ca="1" si="2"/>
        <v>KO_INC-ST_QRTLY.xlsx</v>
      </c>
      <c r="AA28" t="str">
        <f t="shared" ca="1" si="1"/>
        <v>KO_INC-ST_QR-001</v>
      </c>
      <c r="AB28" s="16">
        <f t="shared" ca="1" si="3"/>
        <v>46088.824799074071</v>
      </c>
    </row>
    <row r="29" spans="1:28" x14ac:dyDescent="0.25">
      <c r="A29" t="str">
        <f>Lookup!F32</f>
        <v>KO</v>
      </c>
      <c r="B29" s="14">
        <f ca="1">Lookup!G32</f>
        <v>46088</v>
      </c>
      <c r="C29">
        <f>Lookup!H32</f>
        <v>2019</v>
      </c>
      <c r="D29" t="str">
        <f>Lookup!I32</f>
        <v>Q1</v>
      </c>
      <c r="E29">
        <f>Lookup!J32</f>
        <v>8694000000</v>
      </c>
      <c r="F29">
        <f>Lookup!K32</f>
        <v>3440000000</v>
      </c>
      <c r="G29">
        <f>Lookup!L32</f>
        <v>5429000000</v>
      </c>
      <c r="H29">
        <f>Lookup!M32</f>
        <v>2887000000</v>
      </c>
      <c r="I29">
        <f>Lookup!N32</f>
        <v>-536000000</v>
      </c>
      <c r="J29">
        <f>Lookup!O32</f>
        <v>3649000000</v>
      </c>
      <c r="K29">
        <f>Lookup!P32</f>
        <v>2245000000</v>
      </c>
      <c r="L29">
        <f>Lookup!Q32</f>
        <v>587000000</v>
      </c>
      <c r="M29">
        <f>Lookup!R32</f>
        <v>1507000000</v>
      </c>
      <c r="N29">
        <f>Lookup!S32</f>
        <v>-32000000</v>
      </c>
      <c r="O29">
        <f>Lookup!T32</f>
        <v>1050000000</v>
      </c>
      <c r="P29">
        <f>Lookup!U32</f>
        <v>0</v>
      </c>
      <c r="Q29">
        <f>Lookup!V32</f>
        <v>1493000000</v>
      </c>
      <c r="R29">
        <f>Lookup!W32</f>
        <v>0</v>
      </c>
      <c r="S29">
        <f>Lookup!X32</f>
        <v>1449000000</v>
      </c>
      <c r="T29">
        <f>Lookup!Y32</f>
        <v>0</v>
      </c>
      <c r="U29">
        <f>Lookup!Z32</f>
        <v>0</v>
      </c>
      <c r="V29">
        <f>Lookup!AA32</f>
        <v>0</v>
      </c>
      <c r="W29">
        <f>Lookup!AB32</f>
        <v>0</v>
      </c>
      <c r="X29">
        <f>Lookup!AC32</f>
        <v>0.59</v>
      </c>
      <c r="Y29">
        <f>Lookup!AD32</f>
        <v>0.36</v>
      </c>
      <c r="Z29" t="str">
        <f t="shared" ca="1" si="2"/>
        <v>KO_INC-ST_QRTLY.xlsx</v>
      </c>
      <c r="AA29" t="str">
        <f t="shared" ca="1" si="1"/>
        <v>KO_INC-ST_QR-001</v>
      </c>
      <c r="AB29" s="16">
        <f t="shared" ca="1" si="3"/>
        <v>46088.824799074071</v>
      </c>
    </row>
    <row r="30" spans="1:28" x14ac:dyDescent="0.25">
      <c r="A30" t="str">
        <f>Lookup!F33</f>
        <v>KO</v>
      </c>
      <c r="B30" s="14">
        <f ca="1">Lookup!G33</f>
        <v>46088</v>
      </c>
      <c r="C30">
        <f>Lookup!H33</f>
        <v>2018</v>
      </c>
      <c r="D30" t="str">
        <f>Lookup!I33</f>
        <v>Q4</v>
      </c>
      <c r="E30">
        <f>Lookup!J33</f>
        <v>8478000000</v>
      </c>
      <c r="F30">
        <f>Lookup!K33</f>
        <v>3346000000</v>
      </c>
      <c r="G30">
        <f>Lookup!L33</f>
        <v>5878000000</v>
      </c>
      <c r="H30">
        <f>Lookup!M33</f>
        <v>2541000000</v>
      </c>
      <c r="I30">
        <f>Lookup!N33</f>
        <v>-592000000</v>
      </c>
      <c r="J30">
        <f>Lookup!O33</f>
        <v>3439000000</v>
      </c>
      <c r="K30">
        <f>Lookup!P33</f>
        <v>2037000000</v>
      </c>
      <c r="L30">
        <f>Lookup!Q33</f>
        <v>-456000000</v>
      </c>
      <c r="M30">
        <f>Lookup!R33</f>
        <v>515000000</v>
      </c>
      <c r="N30">
        <f>Lookup!S33</f>
        <v>378000000</v>
      </c>
      <c r="O30">
        <f>Lookup!T33</f>
        <v>3460000000</v>
      </c>
      <c r="P30">
        <f>Lookup!U33</f>
        <v>0</v>
      </c>
      <c r="Q30">
        <f>Lookup!V33</f>
        <v>1236000000</v>
      </c>
      <c r="R30">
        <f>Lookup!W33</f>
        <v>0</v>
      </c>
      <c r="S30">
        <f>Lookup!X33</f>
        <v>3108000000</v>
      </c>
      <c r="T30">
        <f>Lookup!Y33</f>
        <v>0</v>
      </c>
      <c r="U30">
        <f>Lookup!Z33</f>
        <v>0</v>
      </c>
      <c r="V30">
        <f>Lookup!AA33</f>
        <v>0</v>
      </c>
      <c r="W30">
        <f>Lookup!AB33</f>
        <v>0</v>
      </c>
      <c r="X30">
        <f>Lookup!AC33</f>
        <v>0.37</v>
      </c>
      <c r="Y30">
        <f>Lookup!AD33</f>
        <v>0.38</v>
      </c>
      <c r="Z30" t="str">
        <f t="shared" ca="1" si="2"/>
        <v>KO_INC-ST_QRTLY.xlsx</v>
      </c>
      <c r="AA30" t="str">
        <f t="shared" ca="1" si="1"/>
        <v>KO_INC-ST_QR-001</v>
      </c>
      <c r="AB30" s="16">
        <f t="shared" ca="1" si="3"/>
        <v>46088.824799074071</v>
      </c>
    </row>
    <row r="31" spans="1:28" x14ac:dyDescent="0.25">
      <c r="A31" t="str">
        <f>Lookup!F34</f>
        <v>KO</v>
      </c>
      <c r="B31" s="14">
        <f ca="1">Lookup!G34</f>
        <v>46088</v>
      </c>
      <c r="C31">
        <f>Lookup!H34</f>
        <v>2018</v>
      </c>
      <c r="D31" t="str">
        <f>Lookup!I34</f>
        <v>Q3</v>
      </c>
      <c r="E31">
        <f>Lookup!J34</f>
        <v>8775000000</v>
      </c>
      <c r="F31">
        <f>Lookup!K34</f>
        <v>3543000000</v>
      </c>
      <c r="G31">
        <f>Lookup!L34</f>
        <v>4888000000</v>
      </c>
      <c r="H31">
        <f>Lookup!M34</f>
        <v>3057000000</v>
      </c>
      <c r="I31">
        <f>Lookup!N34</f>
        <v>-194000000</v>
      </c>
      <c r="J31">
        <f>Lookup!O34</f>
        <v>4006000000</v>
      </c>
      <c r="K31">
        <f>Lookup!P34</f>
        <v>1963000000</v>
      </c>
      <c r="L31">
        <f>Lookup!Q34</f>
        <v>-871000000</v>
      </c>
      <c r="M31">
        <f>Lookup!R34</f>
        <v>1428000000</v>
      </c>
      <c r="N31">
        <f>Lookup!S34</f>
        <v>839000000</v>
      </c>
      <c r="O31">
        <f>Lookup!T34</f>
        <v>1493000000</v>
      </c>
      <c r="P31">
        <f>Lookup!U34</f>
        <v>0</v>
      </c>
      <c r="Q31">
        <f>Lookup!V34</f>
        <v>1453000000</v>
      </c>
      <c r="R31">
        <f>Lookup!W34</f>
        <v>0</v>
      </c>
      <c r="S31">
        <f>Lookup!X34</f>
        <v>1557000000</v>
      </c>
      <c r="T31">
        <f>Lookup!Y34</f>
        <v>0</v>
      </c>
      <c r="U31">
        <f>Lookup!Z34</f>
        <v>0</v>
      </c>
      <c r="V31">
        <f>Lookup!AA34</f>
        <v>0</v>
      </c>
      <c r="W31">
        <f>Lookup!AB34</f>
        <v>0</v>
      </c>
      <c r="X31">
        <f>Lookup!AC34</f>
        <v>0.4</v>
      </c>
      <c r="Y31">
        <f>Lookup!AD34</f>
        <v>0.54</v>
      </c>
      <c r="Z31" t="str">
        <f t="shared" ca="1" si="2"/>
        <v>KO_INC-ST_QRTLY.xlsx</v>
      </c>
      <c r="AA31" t="str">
        <f t="shared" ca="1" si="1"/>
        <v>KO_INC-ST_QR-001</v>
      </c>
      <c r="AB31" s="16">
        <f t="shared" ca="1" si="3"/>
        <v>46088.824799074071</v>
      </c>
    </row>
    <row r="32" spans="1:28" x14ac:dyDescent="0.25">
      <c r="A32" t="str">
        <f>Lookup!F35</f>
        <v>KO</v>
      </c>
      <c r="B32" s="14">
        <f ca="1">Lookup!G35</f>
        <v>46088</v>
      </c>
      <c r="C32">
        <f>Lookup!H35</f>
        <v>2018</v>
      </c>
      <c r="D32" t="str">
        <f>Lookup!I35</f>
        <v>Q2</v>
      </c>
      <c r="E32">
        <f>Lookup!J35</f>
        <v>9421000000</v>
      </c>
      <c r="F32">
        <f>Lookup!K35</f>
        <v>2738000000</v>
      </c>
      <c r="G32">
        <f>Lookup!L35</f>
        <v>5159000000</v>
      </c>
      <c r="H32">
        <f>Lookup!M35</f>
        <v>3245000000</v>
      </c>
      <c r="I32">
        <f>Lookup!N35</f>
        <v>-826000000</v>
      </c>
      <c r="J32">
        <f>Lookup!O35</f>
        <v>3642000000</v>
      </c>
      <c r="K32">
        <f>Lookup!P35</f>
        <v>1386000000</v>
      </c>
      <c r="L32">
        <f>Lookup!Q35</f>
        <v>-843000000</v>
      </c>
      <c r="M32">
        <f>Lookup!R35</f>
        <v>4299000000</v>
      </c>
      <c r="N32">
        <f>Lookup!S35</f>
        <v>401000000</v>
      </c>
      <c r="O32">
        <f>Lookup!T35</f>
        <v>1236000000</v>
      </c>
      <c r="P32">
        <f>Lookup!U35</f>
        <v>0</v>
      </c>
      <c r="Q32">
        <f>Lookup!V35</f>
        <v>3111000000</v>
      </c>
      <c r="R32">
        <f>Lookup!W35</f>
        <v>0</v>
      </c>
      <c r="S32">
        <f>Lookup!X35</f>
        <v>770000000</v>
      </c>
      <c r="T32">
        <f>Lookup!Y35</f>
        <v>0</v>
      </c>
      <c r="U32">
        <f>Lookup!Z35</f>
        <v>0</v>
      </c>
      <c r="V32">
        <f>Lookup!AA35</f>
        <v>0</v>
      </c>
      <c r="W32">
        <f>Lookup!AB35</f>
        <v>0</v>
      </c>
      <c r="X32">
        <f>Lookup!AC35</f>
        <v>0.55000000000000004</v>
      </c>
      <c r="Y32">
        <f>Lookup!AD35</f>
        <v>0.59</v>
      </c>
      <c r="Z32" t="str">
        <f t="shared" ca="1" si="2"/>
        <v>KO_INC-ST_QRTLY.xlsx</v>
      </c>
      <c r="AA32" t="str">
        <f t="shared" ca="1" si="1"/>
        <v>KO_INC-ST_QR-001</v>
      </c>
      <c r="AB32" s="16">
        <f t="shared" ca="1" si="3"/>
        <v>46088.824799074071</v>
      </c>
    </row>
    <row r="33" spans="1:28" x14ac:dyDescent="0.25">
      <c r="A33" t="str">
        <f>Lookup!F36</f>
        <v>KO</v>
      </c>
      <c r="B33" s="14">
        <f ca="1">Lookup!G36</f>
        <v>46088</v>
      </c>
      <c r="C33">
        <f>Lookup!H36</f>
        <v>2018</v>
      </c>
      <c r="D33" t="str">
        <f>Lookup!I36</f>
        <v>Q1</v>
      </c>
      <c r="E33">
        <f>Lookup!J36</f>
        <v>7626000000</v>
      </c>
      <c r="F33">
        <f>Lookup!K36</f>
        <v>3155000000</v>
      </c>
      <c r="G33">
        <f>Lookup!L36</f>
        <v>5684000000</v>
      </c>
      <c r="H33">
        <f>Lookup!M36</f>
        <v>3180000000</v>
      </c>
      <c r="I33">
        <f>Lookup!N36</f>
        <v>-290000000</v>
      </c>
      <c r="J33">
        <f>Lookup!O36</f>
        <v>4229000000</v>
      </c>
      <c r="K33">
        <f>Lookup!P36</f>
        <v>2271000000</v>
      </c>
      <c r="L33">
        <f>Lookup!Q36</f>
        <v>1440000000</v>
      </c>
      <c r="M33">
        <f>Lookup!R36</f>
        <v>1894000000</v>
      </c>
      <c r="N33">
        <f>Lookup!S36</f>
        <v>302000000</v>
      </c>
      <c r="O33">
        <f>Lookup!T36</f>
        <v>1453000000</v>
      </c>
      <c r="P33">
        <f>Lookup!U36</f>
        <v>0</v>
      </c>
      <c r="Q33">
        <f>Lookup!V36</f>
        <v>1566000000</v>
      </c>
      <c r="R33">
        <f>Lookup!W36</f>
        <v>0</v>
      </c>
      <c r="S33">
        <f>Lookup!X36</f>
        <v>2114000000</v>
      </c>
      <c r="T33">
        <f>Lookup!Y36</f>
        <v>0</v>
      </c>
      <c r="U33">
        <f>Lookup!Z36</f>
        <v>0</v>
      </c>
      <c r="V33">
        <f>Lookup!AA36</f>
        <v>0</v>
      </c>
      <c r="W33">
        <f>Lookup!AB36</f>
        <v>0</v>
      </c>
      <c r="X33">
        <f>Lookup!AC36</f>
        <v>0.6</v>
      </c>
      <c r="Y33">
        <f>Lookup!AD36</f>
        <v>0.39</v>
      </c>
      <c r="Z33" t="str">
        <f t="shared" ca="1" si="2"/>
        <v>KO_INC-ST_QRTLY.xlsx</v>
      </c>
      <c r="AA33" t="str">
        <f t="shared" ca="1" si="1"/>
        <v>KO_INC-ST_QR-001</v>
      </c>
      <c r="AB33" s="16">
        <f t="shared" ca="1" si="3"/>
        <v>46088.824799074071</v>
      </c>
    </row>
    <row r="34" spans="1:28" x14ac:dyDescent="0.25">
      <c r="A34" t="str">
        <f>Lookup!F37</f>
        <v>KO</v>
      </c>
      <c r="B34" s="14">
        <f ca="1">Lookup!G37</f>
        <v>46088</v>
      </c>
      <c r="C34">
        <f>Lookup!H37</f>
        <v>2017</v>
      </c>
      <c r="D34" t="str">
        <f>Lookup!I37</f>
        <v>Q4</v>
      </c>
      <c r="E34">
        <f>Lookup!J37</f>
        <v>8314000000</v>
      </c>
      <c r="F34">
        <f>Lookup!K37</f>
        <v>3394000000</v>
      </c>
      <c r="G34">
        <f>Lookup!L37</f>
        <v>6043000000</v>
      </c>
      <c r="H34">
        <f>Lookup!M37</f>
        <v>3352000000</v>
      </c>
      <c r="I34">
        <f>Lookup!N37</f>
        <v>-541000000</v>
      </c>
      <c r="J34">
        <f>Lookup!O37</f>
        <v>4231000000</v>
      </c>
      <c r="K34">
        <f>Lookup!P37</f>
        <v>2859000000</v>
      </c>
      <c r="L34">
        <f>Lookup!Q37</f>
        <v>-247000000</v>
      </c>
      <c r="M34">
        <f>Lookup!R37</f>
        <v>1538000000</v>
      </c>
      <c r="N34">
        <f>Lookup!S37</f>
        <v>272000000</v>
      </c>
      <c r="O34">
        <f>Lookup!T37</f>
        <v>3111000000</v>
      </c>
      <c r="P34">
        <f>Lookup!U37</f>
        <v>0</v>
      </c>
      <c r="Q34">
        <f>Lookup!V37</f>
        <v>771000000</v>
      </c>
      <c r="R34">
        <f>Lookup!W37</f>
        <v>0</v>
      </c>
      <c r="S34">
        <f>Lookup!X37</f>
        <v>2595000000</v>
      </c>
      <c r="T34">
        <f>Lookup!Y37</f>
        <v>0</v>
      </c>
      <c r="U34">
        <f>Lookup!Z37</f>
        <v>0</v>
      </c>
      <c r="V34">
        <f>Lookup!AA37</f>
        <v>0</v>
      </c>
      <c r="W34">
        <f>Lookup!AB37</f>
        <v>0</v>
      </c>
      <c r="X34">
        <f>Lookup!AC37</f>
        <v>0.39</v>
      </c>
      <c r="Y34">
        <f>Lookup!AD37</f>
        <v>0.41</v>
      </c>
      <c r="Z34" t="str">
        <f t="shared" ca="1" si="2"/>
        <v>KO_INC-ST_QRTLY.xlsx</v>
      </c>
      <c r="AA34" t="str">
        <f t="shared" ca="1" si="1"/>
        <v>KO_INC-ST_QR-001</v>
      </c>
      <c r="AB34" s="16">
        <f t="shared" ca="1" si="3"/>
        <v>46088.824799074071</v>
      </c>
    </row>
    <row r="35" spans="1:28" x14ac:dyDescent="0.25">
      <c r="A35" t="str">
        <f>Lookup!F38</f>
        <v>KO</v>
      </c>
      <c r="B35" s="14">
        <f ca="1">Lookup!G38</f>
        <v>46088</v>
      </c>
      <c r="C35">
        <f>Lookup!H38</f>
        <v>2017</v>
      </c>
      <c r="D35" t="str">
        <f>Lookup!I38</f>
        <v>Q3</v>
      </c>
      <c r="E35">
        <f>Lookup!J38</f>
        <v>9078000000</v>
      </c>
      <c r="F35">
        <f>Lookup!K38</f>
        <v>3659000000</v>
      </c>
      <c r="G35">
        <f>Lookup!L38</f>
        <v>5605000000</v>
      </c>
      <c r="H35">
        <f>Lookup!M38</f>
        <v>3688000000</v>
      </c>
      <c r="I35">
        <f>Lookup!N38</f>
        <v>-222000000</v>
      </c>
      <c r="J35">
        <f>Lookup!O38</f>
        <v>4209000000</v>
      </c>
      <c r="K35">
        <f>Lookup!P38</f>
        <v>2141000000</v>
      </c>
      <c r="L35">
        <f>Lookup!Q38</f>
        <v>20000000</v>
      </c>
      <c r="M35">
        <f>Lookup!R38</f>
        <v>1725000000</v>
      </c>
      <c r="N35">
        <f>Lookup!S38</f>
        <v>1250000000</v>
      </c>
      <c r="O35">
        <f>Lookup!T38</f>
        <v>1566000000</v>
      </c>
      <c r="P35">
        <f>Lookup!U38</f>
        <v>0</v>
      </c>
      <c r="Q35">
        <f>Lookup!V38</f>
        <v>2122000000</v>
      </c>
      <c r="R35">
        <f>Lookup!W38</f>
        <v>0</v>
      </c>
      <c r="S35">
        <f>Lookup!X38</f>
        <v>1619000000</v>
      </c>
      <c r="T35">
        <f>Lookup!Y38</f>
        <v>0</v>
      </c>
      <c r="U35">
        <f>Lookup!Z38</f>
        <v>0</v>
      </c>
      <c r="V35">
        <f>Lookup!AA38</f>
        <v>0</v>
      </c>
      <c r="W35">
        <f>Lookup!AB38</f>
        <v>0</v>
      </c>
      <c r="X35">
        <f>Lookup!AC38</f>
        <v>0.42</v>
      </c>
      <c r="Y35">
        <f>Lookup!AD38</f>
        <v>0.5</v>
      </c>
      <c r="Z35" t="str">
        <f t="shared" ca="1" si="2"/>
        <v>KO_INC-ST_QRTLY.xlsx</v>
      </c>
      <c r="AA35" t="str">
        <f t="shared" ca="1" si="1"/>
        <v>KO_INC-ST_QR-001</v>
      </c>
      <c r="AB35" s="16">
        <f t="shared" ca="1" si="3"/>
        <v>46088.824799074071</v>
      </c>
    </row>
    <row r="36" spans="1:28" x14ac:dyDescent="0.25">
      <c r="A36" t="str">
        <f>Lookup!F39</f>
        <v>KO</v>
      </c>
      <c r="B36" s="14">
        <f ca="1">Lookup!G39</f>
        <v>46088</v>
      </c>
      <c r="C36">
        <f>Lookup!H39</f>
        <v>2017</v>
      </c>
      <c r="D36" t="str">
        <f>Lookup!I39</f>
        <v>Q2</v>
      </c>
      <c r="E36">
        <f>Lookup!J39</f>
        <v>9702000000</v>
      </c>
      <c r="F36">
        <f>Lookup!K39</f>
        <v>3513000000</v>
      </c>
      <c r="G36">
        <f>Lookup!L39</f>
        <v>5615000000</v>
      </c>
      <c r="H36">
        <f>Lookup!M39</f>
        <v>4009000000</v>
      </c>
      <c r="I36">
        <f>Lookup!N39</f>
        <v>-297000000</v>
      </c>
      <c r="J36">
        <f>Lookup!O39</f>
        <v>4072000000</v>
      </c>
      <c r="K36">
        <f>Lookup!P39</f>
        <v>1518000000</v>
      </c>
      <c r="L36">
        <f>Lookup!Q39</f>
        <v>-654000000</v>
      </c>
      <c r="M36">
        <f>Lookup!R39</f>
        <v>4361000000</v>
      </c>
      <c r="N36">
        <f>Lookup!S39</f>
        <v>415000000</v>
      </c>
      <c r="O36">
        <f>Lookup!T39</f>
        <v>771000000</v>
      </c>
      <c r="P36">
        <f>Lookup!U39</f>
        <v>0</v>
      </c>
      <c r="Q36">
        <f>Lookup!V39</f>
        <v>2605000000</v>
      </c>
      <c r="R36">
        <f>Lookup!W39</f>
        <v>0</v>
      </c>
      <c r="S36">
        <f>Lookup!X39</f>
        <v>1710000000</v>
      </c>
      <c r="T36">
        <f>Lookup!Y39</f>
        <v>0</v>
      </c>
      <c r="U36">
        <f>Lookup!Z39</f>
        <v>0</v>
      </c>
      <c r="V36">
        <f>Lookup!AA39</f>
        <v>0</v>
      </c>
      <c r="W36">
        <f>Lookup!AB39</f>
        <v>0</v>
      </c>
      <c r="X36">
        <f>Lookup!AC39</f>
        <v>0.51</v>
      </c>
      <c r="Y36">
        <f>Lookup!AD39</f>
        <v>0.61</v>
      </c>
      <c r="Z36" t="str">
        <f t="shared" ca="1" si="2"/>
        <v>KO_INC-ST_QRTLY.xlsx</v>
      </c>
      <c r="AA36" t="str">
        <f t="shared" ca="1" si="1"/>
        <v>KO_INC-ST_QR-001</v>
      </c>
      <c r="AB36" s="16">
        <f t="shared" ca="1" si="3"/>
        <v>46088.824799074071</v>
      </c>
    </row>
    <row r="37" spans="1:28" x14ac:dyDescent="0.25">
      <c r="A37" t="str">
        <f>Lookup!F40</f>
        <v>KO</v>
      </c>
      <c r="B37" s="14">
        <f ca="1">Lookup!G40</f>
        <v>46088</v>
      </c>
      <c r="C37">
        <f>Lookup!H40</f>
        <v>2017</v>
      </c>
      <c r="D37" t="str">
        <f>Lookup!I40</f>
        <v>Q1</v>
      </c>
      <c r="E37">
        <f>Lookup!J40</f>
        <v>9118000000</v>
      </c>
      <c r="F37">
        <f>Lookup!K40</f>
        <v>3794000000</v>
      </c>
      <c r="G37">
        <f>Lookup!L40</f>
        <v>6502000000</v>
      </c>
      <c r="H37">
        <f>Lookup!M40</f>
        <v>3912000000</v>
      </c>
      <c r="I37">
        <f>Lookup!N40</f>
        <v>-311000000</v>
      </c>
      <c r="J37">
        <f>Lookup!O40</f>
        <v>4428000000</v>
      </c>
      <c r="K37">
        <f>Lookup!P40</f>
        <v>2379000000</v>
      </c>
      <c r="L37">
        <f>Lookup!Q40</f>
        <v>1826000000</v>
      </c>
      <c r="M37">
        <f>Lookup!R40</f>
        <v>1981000000</v>
      </c>
      <c r="N37">
        <f>Lookup!S40</f>
        <v>305000000</v>
      </c>
      <c r="O37">
        <f>Lookup!T40</f>
        <v>2122000000</v>
      </c>
      <c r="P37">
        <f>Lookup!U40</f>
        <v>0</v>
      </c>
      <c r="Q37">
        <f>Lookup!V40</f>
        <v>1626000000</v>
      </c>
      <c r="R37">
        <f>Lookup!W40</f>
        <v>0</v>
      </c>
      <c r="S37">
        <f>Lookup!X40</f>
        <v>2447000000</v>
      </c>
      <c r="T37">
        <f>Lookup!Y40</f>
        <v>0</v>
      </c>
      <c r="U37">
        <f>Lookup!Z40</f>
        <v>0</v>
      </c>
      <c r="V37">
        <f>Lookup!AA40</f>
        <v>0</v>
      </c>
      <c r="W37">
        <f>Lookup!AB40</f>
        <v>0</v>
      </c>
      <c r="X37">
        <f>Lookup!AC40</f>
        <v>0.62</v>
      </c>
      <c r="Y37">
        <f>Lookup!AD40</f>
        <v>0.45</v>
      </c>
      <c r="Z37" t="str">
        <f t="shared" ca="1" si="2"/>
        <v>KO_INC-ST_QRTLY.xlsx</v>
      </c>
      <c r="AA37" t="str">
        <f t="shared" ca="1" si="1"/>
        <v>KO_INC-ST_QR-001</v>
      </c>
      <c r="AB37" s="16">
        <f t="shared" ca="1" si="3"/>
        <v>46088.824799074071</v>
      </c>
    </row>
    <row r="38" spans="1:28" x14ac:dyDescent="0.25">
      <c r="A38" t="str">
        <f>Lookup!F41</f>
        <v>KO</v>
      </c>
      <c r="B38" s="14">
        <f ca="1">Lookup!G41</f>
        <v>46088</v>
      </c>
      <c r="C38">
        <f>Lookup!H41</f>
        <v>2016</v>
      </c>
      <c r="D38" t="str">
        <f>Lookup!I41</f>
        <v>Q4</v>
      </c>
      <c r="E38">
        <f>Lookup!J41</f>
        <v>9409000000</v>
      </c>
      <c r="F38">
        <f>Lookup!K41</f>
        <v>4131000000</v>
      </c>
      <c r="G38">
        <f>Lookup!L41</f>
        <v>7068000000</v>
      </c>
      <c r="H38">
        <f>Lookup!M41</f>
        <v>3761000000</v>
      </c>
      <c r="I38">
        <f>Lookup!N41</f>
        <v>-491000000</v>
      </c>
      <c r="J38">
        <f>Lookup!O41</f>
        <v>4471000000</v>
      </c>
      <c r="K38">
        <f>Lookup!P41</f>
        <v>2535000000</v>
      </c>
      <c r="L38">
        <f>Lookup!Q41</f>
        <v>-315000000</v>
      </c>
      <c r="M38">
        <f>Lookup!R41</f>
        <v>1076000000</v>
      </c>
      <c r="N38">
        <f>Lookup!S41</f>
        <v>538000000</v>
      </c>
      <c r="O38">
        <f>Lookup!T41</f>
        <v>2605000000</v>
      </c>
      <c r="P38">
        <f>Lookup!U41</f>
        <v>0</v>
      </c>
      <c r="Q38">
        <f>Lookup!V41</f>
        <v>1708000000</v>
      </c>
      <c r="R38">
        <f>Lookup!W41</f>
        <v>0</v>
      </c>
      <c r="S38">
        <f>Lookup!X41</f>
        <v>2676000000</v>
      </c>
      <c r="T38">
        <f>Lookup!Y41</f>
        <v>0</v>
      </c>
      <c r="U38">
        <f>Lookup!Z41</f>
        <v>0</v>
      </c>
      <c r="V38">
        <f>Lookup!AA41</f>
        <v>0</v>
      </c>
      <c r="W38">
        <f>Lookup!AB41</f>
        <v>0</v>
      </c>
      <c r="X38">
        <f>Lookup!AC41</f>
        <v>0.45</v>
      </c>
      <c r="Y38">
        <f>Lookup!AD41</f>
        <v>0.36</v>
      </c>
      <c r="Z38" t="str">
        <f t="shared" ca="1" si="2"/>
        <v>KO_INC-ST_QRTLY.xlsx</v>
      </c>
      <c r="AA38" t="str">
        <f t="shared" ca="1" si="1"/>
        <v>KO_INC-ST_QR-001</v>
      </c>
      <c r="AB38" s="16">
        <f t="shared" ca="1" si="3"/>
        <v>46088.824799074071</v>
      </c>
    </row>
    <row r="39" spans="1:28" x14ac:dyDescent="0.25">
      <c r="A39" t="str">
        <f>Lookup!F42</f>
        <v>KO</v>
      </c>
      <c r="B39" s="14">
        <f ca="1">Lookup!G42</f>
        <v>46088</v>
      </c>
      <c r="C39">
        <f>Lookup!H42</f>
        <v>2016</v>
      </c>
      <c r="D39" t="str">
        <f>Lookup!I42</f>
        <v>Q3</v>
      </c>
      <c r="E39">
        <f>Lookup!J42</f>
        <v>10633000000</v>
      </c>
      <c r="F39">
        <f>Lookup!K42</f>
        <v>4471000000</v>
      </c>
      <c r="G39">
        <f>Lookup!L42</f>
        <v>6213000000</v>
      </c>
      <c r="H39">
        <f>Lookup!M42</f>
        <v>3937000000</v>
      </c>
      <c r="I39">
        <f>Lookup!N42</f>
        <v>-264000000</v>
      </c>
      <c r="J39">
        <f>Lookup!O42</f>
        <v>4873000000</v>
      </c>
      <c r="K39">
        <f>Lookup!P42</f>
        <v>2296000000</v>
      </c>
      <c r="L39">
        <f>Lookup!Q42</f>
        <v>-375000000</v>
      </c>
      <c r="M39">
        <f>Lookup!R42</f>
        <v>2660000000</v>
      </c>
      <c r="N39">
        <f>Lookup!S42</f>
        <v>779000000</v>
      </c>
      <c r="O39">
        <f>Lookup!T42</f>
        <v>1626000000</v>
      </c>
      <c r="P39">
        <f>Lookup!U42</f>
        <v>0</v>
      </c>
      <c r="Q39">
        <f>Lookup!V42</f>
        <v>2455000000</v>
      </c>
      <c r="R39">
        <f>Lookup!W42</f>
        <v>0</v>
      </c>
      <c r="S39">
        <f>Lookup!X42</f>
        <v>1751000000</v>
      </c>
      <c r="T39">
        <f>Lookup!Y42</f>
        <v>0</v>
      </c>
      <c r="U39">
        <f>Lookup!Z42</f>
        <v>0</v>
      </c>
      <c r="V39">
        <f>Lookup!AA42</f>
        <v>0</v>
      </c>
      <c r="W39">
        <f>Lookup!AB42</f>
        <v>0</v>
      </c>
      <c r="X39">
        <f>Lookup!AC42</f>
        <v>0.36499999999999999</v>
      </c>
      <c r="Y39">
        <f>Lookup!AD42</f>
        <v>0.48</v>
      </c>
      <c r="Z39" t="str">
        <f t="shared" ca="1" si="2"/>
        <v>KO_INC-ST_QRTLY.xlsx</v>
      </c>
      <c r="AA39" t="str">
        <f t="shared" ca="1" si="1"/>
        <v>KO_INC-ST_QR-001</v>
      </c>
      <c r="AB39" s="16">
        <f t="shared" ca="1" si="3"/>
        <v>46088.824799074071</v>
      </c>
    </row>
    <row r="40" spans="1:28" x14ac:dyDescent="0.25">
      <c r="A40" t="str">
        <f>Lookup!F43</f>
        <v>KO</v>
      </c>
      <c r="B40" s="14">
        <f ca="1">Lookup!G43</f>
        <v>46088</v>
      </c>
      <c r="C40">
        <f>Lookup!H43</f>
        <v>2016</v>
      </c>
      <c r="D40" t="str">
        <f>Lookup!I43</f>
        <v>Q2</v>
      </c>
      <c r="E40">
        <f>Lookup!J43</f>
        <v>11539000000</v>
      </c>
      <c r="F40">
        <f>Lookup!K43</f>
        <v>4069000000</v>
      </c>
      <c r="G40">
        <f>Lookup!L43</f>
        <v>5946000000</v>
      </c>
      <c r="H40">
        <f>Lookup!M43</f>
        <v>4207000000</v>
      </c>
      <c r="I40">
        <f>Lookup!N43</f>
        <v>-669000000</v>
      </c>
      <c r="J40">
        <f>Lookup!O43</f>
        <v>4312000000</v>
      </c>
      <c r="K40">
        <f>Lookup!P43</f>
        <v>1451000000</v>
      </c>
      <c r="L40">
        <f>Lookup!Q43</f>
        <v>-51000000</v>
      </c>
      <c r="M40">
        <f>Lookup!R43</f>
        <v>3384000000</v>
      </c>
      <c r="N40">
        <f>Lookup!S43</f>
        <v>579000000</v>
      </c>
      <c r="O40">
        <f>Lookup!T43</f>
        <v>1708000000</v>
      </c>
      <c r="P40">
        <f>Lookup!U43</f>
        <v>0</v>
      </c>
      <c r="Q40">
        <f>Lookup!V43</f>
        <v>2694000000</v>
      </c>
      <c r="R40">
        <f>Lookup!W43</f>
        <v>0</v>
      </c>
      <c r="S40">
        <f>Lookup!X43</f>
        <v>1866000000</v>
      </c>
      <c r="T40">
        <f>Lookup!Y43</f>
        <v>0</v>
      </c>
      <c r="U40">
        <f>Lookup!Z43</f>
        <v>0</v>
      </c>
      <c r="V40">
        <f>Lookup!AA43</f>
        <v>0</v>
      </c>
      <c r="W40">
        <f>Lookup!AB43</f>
        <v>0</v>
      </c>
      <c r="X40">
        <f>Lookup!AC43</f>
        <v>0.49</v>
      </c>
      <c r="Y40">
        <f>Lookup!AD43</f>
        <v>0.6</v>
      </c>
      <c r="Z40" t="str">
        <f t="shared" ca="1" si="2"/>
        <v>KO_INC-ST_QRTLY.xlsx</v>
      </c>
      <c r="AA40" t="str">
        <f t="shared" ca="1" si="1"/>
        <v>KO_INC-ST_QR-001</v>
      </c>
      <c r="AB40" s="16">
        <f t="shared" ca="1" si="3"/>
        <v>46088.824799074071</v>
      </c>
    </row>
    <row r="41" spans="1:28" x14ac:dyDescent="0.25">
      <c r="A41" t="str">
        <f>Lookup!F44</f>
        <v>KO</v>
      </c>
      <c r="B41" s="14">
        <f ca="1">Lookup!G44</f>
        <v>46088</v>
      </c>
      <c r="C41">
        <f>Lookup!H44</f>
        <v>2016</v>
      </c>
      <c r="D41" t="str">
        <f>Lookup!I44</f>
        <v>Q1</v>
      </c>
      <c r="E41">
        <f>Lookup!J44</f>
        <v>10282000000</v>
      </c>
      <c r="F41">
        <f>Lookup!K44</f>
        <v>4054000000</v>
      </c>
      <c r="G41">
        <f>Lookup!L44</f>
        <v>6850000000</v>
      </c>
      <c r="H41">
        <f>Lookup!M44</f>
        <v>4204000000</v>
      </c>
      <c r="I41">
        <f>Lookup!N44</f>
        <v>-233000000</v>
      </c>
      <c r="J41">
        <f>Lookup!O44</f>
        <v>5064000000</v>
      </c>
      <c r="K41">
        <f>Lookup!P44</f>
        <v>2711000000</v>
      </c>
      <c r="L41">
        <f>Lookup!Q44</f>
        <v>214000000</v>
      </c>
      <c r="M41">
        <f>Lookup!R44</f>
        <v>2205000000</v>
      </c>
      <c r="N41">
        <f>Lookup!S44</f>
        <v>520000000</v>
      </c>
      <c r="O41">
        <f>Lookup!T44</f>
        <v>2455000000</v>
      </c>
      <c r="P41">
        <f>Lookup!U44</f>
        <v>0</v>
      </c>
      <c r="Q41">
        <f>Lookup!V44</f>
        <v>1769000000</v>
      </c>
      <c r="R41">
        <f>Lookup!W44</f>
        <v>0</v>
      </c>
      <c r="S41">
        <f>Lookup!X44</f>
        <v>2311000000</v>
      </c>
      <c r="T41">
        <f>Lookup!Y44</f>
        <v>0</v>
      </c>
      <c r="U41">
        <f>Lookup!Z44</f>
        <v>0</v>
      </c>
      <c r="V41">
        <f>Lookup!AA44</f>
        <v>0</v>
      </c>
      <c r="W41">
        <f>Lookup!AB44</f>
        <v>0</v>
      </c>
      <c r="X41">
        <f>Lookup!AC44</f>
        <v>0.61</v>
      </c>
      <c r="Y41">
        <f>Lookup!AD44</f>
        <v>0.41</v>
      </c>
      <c r="Z41" t="str">
        <f t="shared" ca="1" si="2"/>
        <v>KO_INC-ST_QRTLY.xlsx</v>
      </c>
      <c r="AA41" t="str">
        <f t="shared" ca="1" si="1"/>
        <v>KO_INC-ST_QR-001</v>
      </c>
      <c r="AB41" s="16">
        <f t="shared" ca="1" si="3"/>
        <v>46088.824799074071</v>
      </c>
    </row>
    <row r="42" spans="1:28" x14ac:dyDescent="0.25">
      <c r="A42" t="str">
        <f>Lookup!F45</f>
        <v>KO</v>
      </c>
      <c r="B42" s="14">
        <f ca="1">Lookup!G45</f>
        <v>46088</v>
      </c>
      <c r="C42">
        <f>Lookup!H45</f>
        <v>2015</v>
      </c>
      <c r="D42" t="str">
        <f>Lookup!I45</f>
        <v>Q4</v>
      </c>
      <c r="E42">
        <f>Lookup!J45</f>
        <v>10000000000</v>
      </c>
      <c r="F42">
        <f>Lookup!K45</f>
        <v>4577000000</v>
      </c>
      <c r="G42">
        <f>Lookup!L45</f>
        <v>7408000000</v>
      </c>
      <c r="H42">
        <f>Lookup!M45</f>
        <v>4079000000</v>
      </c>
      <c r="I42">
        <f>Lookup!N45</f>
        <v>-726000000</v>
      </c>
      <c r="J42">
        <f>Lookup!O45</f>
        <v>4635000000</v>
      </c>
      <c r="K42">
        <f>Lookup!P45</f>
        <v>3170000000</v>
      </c>
      <c r="L42">
        <f>Lookup!Q45</f>
        <v>-171000000</v>
      </c>
      <c r="M42">
        <f>Lookup!R45</f>
        <v>2228000000</v>
      </c>
      <c r="N42">
        <f>Lookup!S45</f>
        <v>925000000</v>
      </c>
      <c r="O42">
        <f>Lookup!T45</f>
        <v>2694000000</v>
      </c>
      <c r="P42">
        <f>Lookup!U45</f>
        <v>0</v>
      </c>
      <c r="Q42">
        <f>Lookup!V45</f>
        <v>1890000000</v>
      </c>
      <c r="R42">
        <f>Lookup!W45</f>
        <v>0</v>
      </c>
      <c r="S42">
        <f>Lookup!X45</f>
        <v>2788000000</v>
      </c>
      <c r="T42">
        <f>Lookup!Y45</f>
        <v>0</v>
      </c>
      <c r="U42">
        <f>Lookup!Z45</f>
        <v>0</v>
      </c>
      <c r="V42">
        <f>Lookup!AA45</f>
        <v>0</v>
      </c>
      <c r="W42">
        <f>Lookup!AB45</f>
        <v>0</v>
      </c>
      <c r="X42">
        <f>Lookup!AC45</f>
        <v>0.41499999999999998</v>
      </c>
      <c r="Y42">
        <f>Lookup!AD45</f>
        <v>1.2350000000000001</v>
      </c>
      <c r="Z42" t="str">
        <f t="shared" ca="1" si="2"/>
        <v>KO_INC-ST_QRTLY.xlsx</v>
      </c>
      <c r="AA42" t="str">
        <f t="shared" ca="1" si="1"/>
        <v>KO_INC-ST_QR-001</v>
      </c>
      <c r="AB42" s="16">
        <f t="shared" ca="1" si="3"/>
        <v>46088.824799074071</v>
      </c>
    </row>
    <row r="43" spans="1:28" x14ac:dyDescent="0.25">
      <c r="A43" t="str">
        <f>Lookup!F46</f>
        <v>KO</v>
      </c>
      <c r="B43" s="14">
        <f ca="1">Lookup!G46</f>
        <v>46088</v>
      </c>
      <c r="C43">
        <f>Lookup!H46</f>
        <v>2015</v>
      </c>
      <c r="D43" t="str">
        <f>Lookup!I46</f>
        <v>Q3</v>
      </c>
      <c r="E43">
        <f>Lookup!J46</f>
        <v>11427000000</v>
      </c>
      <c r="F43">
        <f>Lookup!K46</f>
        <v>4748000000</v>
      </c>
      <c r="G43">
        <f>Lookup!L46</f>
        <v>6608000000</v>
      </c>
      <c r="H43">
        <f>Lookup!M46</f>
        <v>4338000000</v>
      </c>
      <c r="I43">
        <f>Lookup!N46</f>
        <v>-128000000</v>
      </c>
      <c r="J43">
        <f>Lookup!O46</f>
        <v>4585000000</v>
      </c>
      <c r="K43">
        <f>Lookup!P46</f>
        <v>2376000000</v>
      </c>
      <c r="L43">
        <f>Lookup!Q46</f>
        <v>123000000</v>
      </c>
      <c r="M43">
        <f>Lookup!R46</f>
        <v>3380000000</v>
      </c>
      <c r="N43">
        <f>Lookup!S46</f>
        <v>831000000</v>
      </c>
      <c r="O43">
        <f>Lookup!T46</f>
        <v>1769000000</v>
      </c>
      <c r="P43">
        <f>Lookup!U46</f>
        <v>0</v>
      </c>
      <c r="Q43">
        <f>Lookup!V46</f>
        <v>2329000000</v>
      </c>
      <c r="R43">
        <f>Lookup!W46</f>
        <v>0</v>
      </c>
      <c r="S43">
        <f>Lookup!X46</f>
        <v>2054000000</v>
      </c>
      <c r="T43">
        <f>Lookup!Y46</f>
        <v>0</v>
      </c>
      <c r="U43">
        <f>Lookup!Z46</f>
        <v>0</v>
      </c>
      <c r="V43">
        <f>Lookup!AA46</f>
        <v>0</v>
      </c>
      <c r="W43">
        <f>Lookup!AB46</f>
        <v>0</v>
      </c>
      <c r="X43">
        <f>Lookup!AC46</f>
        <v>1.24</v>
      </c>
      <c r="Y43">
        <f>Lookup!AD46</f>
        <v>0.44</v>
      </c>
      <c r="Z43" t="str">
        <f t="shared" ca="1" si="2"/>
        <v>KO_INC-ST_QRTLY.xlsx</v>
      </c>
      <c r="AA43" t="str">
        <f t="shared" ca="1" si="1"/>
        <v>KO_INC-ST_QR-001</v>
      </c>
      <c r="AB43" s="16">
        <f t="shared" ca="1" si="3"/>
        <v>46088.824799074071</v>
      </c>
    </row>
    <row r="44" spans="1:28" x14ac:dyDescent="0.25">
      <c r="A44" t="str">
        <f>Lookup!F47</f>
        <v>KO</v>
      </c>
      <c r="B44" s="14">
        <f ca="1">Lookup!G47</f>
        <v>46088</v>
      </c>
      <c r="C44">
        <f>Lookup!H47</f>
        <v>2015</v>
      </c>
      <c r="D44" t="str">
        <f>Lookup!I47</f>
        <v>Q2</v>
      </c>
      <c r="E44">
        <f>Lookup!J47</f>
        <v>12156000000</v>
      </c>
      <c r="F44">
        <f>Lookup!K47</f>
        <v>4103000000</v>
      </c>
      <c r="G44">
        <f>Lookup!L47</f>
        <v>6515000000</v>
      </c>
      <c r="H44">
        <f>Lookup!M47</f>
        <v>4507000000</v>
      </c>
      <c r="I44">
        <f>Lookup!N47</f>
        <v>-201000000</v>
      </c>
      <c r="J44">
        <f>Lookup!O47</f>
        <v>4117000000</v>
      </c>
      <c r="K44">
        <f>Lookup!P47</f>
        <v>2105000000</v>
      </c>
      <c r="L44">
        <f>Lookup!Q47</f>
        <v>908000000</v>
      </c>
      <c r="M44">
        <f>Lookup!R47</f>
        <v>3525000000</v>
      </c>
      <c r="N44">
        <f>Lookup!S47</f>
        <v>575000000</v>
      </c>
      <c r="O44">
        <f>Lookup!T47</f>
        <v>1890000000</v>
      </c>
      <c r="P44">
        <f>Lookup!U47</f>
        <v>0</v>
      </c>
      <c r="Q44">
        <f>Lookup!V47</f>
        <v>2800000000</v>
      </c>
      <c r="R44">
        <f>Lookup!W47</f>
        <v>0</v>
      </c>
      <c r="S44">
        <f>Lookup!X47</f>
        <v>1657000000</v>
      </c>
      <c r="T44">
        <f>Lookup!Y47</f>
        <v>0</v>
      </c>
      <c r="U44">
        <f>Lookup!Z47</f>
        <v>0</v>
      </c>
      <c r="V44">
        <f>Lookup!AA47</f>
        <v>0</v>
      </c>
      <c r="W44">
        <f>Lookup!AB47</f>
        <v>0</v>
      </c>
      <c r="X44">
        <f>Lookup!AC47</f>
        <v>0.44500000000000001</v>
      </c>
      <c r="Y44">
        <f>Lookup!AD47</f>
        <v>0.51</v>
      </c>
      <c r="Z44" t="str">
        <f t="shared" ca="1" si="2"/>
        <v>KO_INC-ST_QRTLY.xlsx</v>
      </c>
      <c r="AA44" t="str">
        <f t="shared" ca="1" si="1"/>
        <v>KO_INC-ST_QR-001</v>
      </c>
      <c r="AB44" s="16">
        <f t="shared" ca="1" si="3"/>
        <v>46088.824799074071</v>
      </c>
    </row>
    <row r="45" spans="1:28" x14ac:dyDescent="0.25">
      <c r="A45" t="str">
        <f>Lookup!F48</f>
        <v>KO</v>
      </c>
      <c r="B45" s="14">
        <f ca="1">Lookup!G48</f>
        <v>46088</v>
      </c>
      <c r="C45">
        <f>Lookup!H48</f>
        <v>2015</v>
      </c>
      <c r="D45" t="str">
        <f>Lookup!I48</f>
        <v>Q1</v>
      </c>
      <c r="E45">
        <f>Lookup!J48</f>
        <v>10711000000</v>
      </c>
      <c r="F45">
        <f>Lookup!K48</f>
        <v>4357000000</v>
      </c>
      <c r="G45">
        <f>Lookup!L48</f>
        <v>7346000000</v>
      </c>
      <c r="H45">
        <f>Lookup!M48</f>
        <v>4384000000</v>
      </c>
      <c r="I45">
        <f>Lookup!N48</f>
        <v>-128000000</v>
      </c>
      <c r="J45">
        <f>Lookup!O48</f>
        <v>4620000000</v>
      </c>
      <c r="K45">
        <f>Lookup!P48</f>
        <v>2472000000</v>
      </c>
      <c r="L45">
        <f>Lookup!Q48</f>
        <v>282000000</v>
      </c>
      <c r="M45">
        <f>Lookup!R48</f>
        <v>2344000000</v>
      </c>
      <c r="N45">
        <f>Lookup!S48</f>
        <v>487000000</v>
      </c>
      <c r="O45">
        <f>Lookup!T48</f>
        <v>2329000000</v>
      </c>
      <c r="P45">
        <f>Lookup!U48</f>
        <v>0</v>
      </c>
      <c r="Q45">
        <f>Lookup!V48</f>
        <v>2067000000</v>
      </c>
      <c r="R45">
        <f>Lookup!W48</f>
        <v>0</v>
      </c>
      <c r="S45">
        <f>Lookup!X48</f>
        <v>2224000000</v>
      </c>
      <c r="T45">
        <f>Lookup!Y48</f>
        <v>0</v>
      </c>
      <c r="U45">
        <f>Lookup!Z48</f>
        <v>0</v>
      </c>
      <c r="V45">
        <f>Lookup!AA48</f>
        <v>0</v>
      </c>
      <c r="W45">
        <f>Lookup!AB48</f>
        <v>0</v>
      </c>
      <c r="X45">
        <f>Lookup!AC48</f>
        <v>0.51500000000000001</v>
      </c>
      <c r="Y45">
        <f>Lookup!AD48</f>
        <v>0.34499999999999997</v>
      </c>
      <c r="Z45" t="str">
        <f t="shared" ca="1" si="2"/>
        <v>KO_INC-ST_QRTLY.xlsx</v>
      </c>
      <c r="AA45" t="str">
        <f t="shared" ca="1" si="1"/>
        <v>KO_INC-ST_QR-001</v>
      </c>
      <c r="AB45" s="16">
        <f t="shared" ca="1" si="3"/>
        <v>46088.824799074071</v>
      </c>
    </row>
    <row r="46" spans="1:28" x14ac:dyDescent="0.25">
      <c r="A46" t="str">
        <f>Lookup!F49</f>
        <v>KO</v>
      </c>
      <c r="B46" s="14">
        <f ca="1">Lookup!G49</f>
        <v>46088</v>
      </c>
      <c r="C46">
        <f>Lookup!H49</f>
        <v>2014</v>
      </c>
      <c r="D46" t="str">
        <f>Lookup!I49</f>
        <v>Q4</v>
      </c>
      <c r="E46">
        <f>Lookup!J49</f>
        <v>10872000000</v>
      </c>
      <c r="F46">
        <f>Lookup!K49</f>
        <v>4630000000</v>
      </c>
      <c r="G46">
        <f>Lookup!L49</f>
        <v>7755000000</v>
      </c>
      <c r="H46">
        <f>Lookup!M49</f>
        <v>3989000000</v>
      </c>
      <c r="I46">
        <f>Lookup!N49</f>
        <v>-301000000</v>
      </c>
      <c r="J46">
        <f>Lookup!O49</f>
        <v>4765000000</v>
      </c>
      <c r="K46">
        <f>Lookup!P49</f>
        <v>3243000000</v>
      </c>
      <c r="L46">
        <f>Lookup!Q49</f>
        <v>-64000000</v>
      </c>
      <c r="M46">
        <f>Lookup!R49</f>
        <v>2377000000</v>
      </c>
      <c r="N46">
        <f>Lookup!S49</f>
        <v>755000000</v>
      </c>
      <c r="O46">
        <f>Lookup!T49</f>
        <v>2800000000</v>
      </c>
      <c r="P46">
        <f>Lookup!U49</f>
        <v>0</v>
      </c>
      <c r="Q46">
        <f>Lookup!V49</f>
        <v>1677000000</v>
      </c>
      <c r="R46">
        <f>Lookup!W49</f>
        <v>0</v>
      </c>
      <c r="S46">
        <f>Lookup!X49</f>
        <v>2800000000</v>
      </c>
      <c r="T46">
        <f>Lookup!Y49</f>
        <v>0</v>
      </c>
      <c r="U46">
        <f>Lookup!Z49</f>
        <v>0</v>
      </c>
      <c r="V46">
        <f>Lookup!AA49</f>
        <v>0</v>
      </c>
      <c r="W46">
        <f>Lookup!AB49</f>
        <v>0</v>
      </c>
      <c r="X46">
        <f>Lookup!AC49</f>
        <v>0.35</v>
      </c>
      <c r="Y46">
        <f>Lookup!AD49</f>
        <v>0.33</v>
      </c>
      <c r="Z46" t="str">
        <f t="shared" ca="1" si="2"/>
        <v>KO_INC-ST_QRTLY.xlsx</v>
      </c>
      <c r="AA46" t="str">
        <f t="shared" ca="1" si="1"/>
        <v>KO_INC-ST_QR-001</v>
      </c>
      <c r="AB46" s="16">
        <f t="shared" ca="1" si="3"/>
        <v>46088.824799074071</v>
      </c>
    </row>
    <row r="47" spans="1:28" x14ac:dyDescent="0.25">
      <c r="A47" t="str">
        <f>Lookup!F50</f>
        <v>KO</v>
      </c>
      <c r="B47" s="14">
        <f ca="1">Lookup!G50</f>
        <v>46088</v>
      </c>
      <c r="C47">
        <f>Lookup!H50</f>
        <v>2014</v>
      </c>
      <c r="D47" t="str">
        <f>Lookup!I50</f>
        <v>Q3</v>
      </c>
      <c r="E47">
        <f>Lookup!J50</f>
        <v>11976000000</v>
      </c>
      <c r="F47">
        <f>Lookup!K50</f>
        <v>4819000000</v>
      </c>
      <c r="G47">
        <f>Lookup!L50</f>
        <v>6493000000</v>
      </c>
      <c r="H47">
        <f>Lookup!M50</f>
        <v>4319000000</v>
      </c>
      <c r="I47">
        <f>Lookup!N50</f>
        <v>-341000000</v>
      </c>
      <c r="J47">
        <f>Lookup!O50</f>
        <v>4517000000</v>
      </c>
      <c r="K47">
        <f>Lookup!P50</f>
        <v>2408000000</v>
      </c>
      <c r="L47">
        <f>Lookup!Q50</f>
        <v>194000000</v>
      </c>
      <c r="M47">
        <f>Lookup!R50</f>
        <v>3084000000</v>
      </c>
      <c r="N47">
        <f>Lookup!S50</f>
        <v>823000000</v>
      </c>
      <c r="O47">
        <f>Lookup!T50</f>
        <v>2067000000</v>
      </c>
      <c r="P47">
        <f>Lookup!U50</f>
        <v>0</v>
      </c>
      <c r="Q47">
        <f>Lookup!V50</f>
        <v>2246000000</v>
      </c>
      <c r="R47">
        <f>Lookup!W50</f>
        <v>0</v>
      </c>
      <c r="S47">
        <f>Lookup!X50</f>
        <v>1903000000</v>
      </c>
      <c r="T47">
        <f>Lookup!Y50</f>
        <v>0</v>
      </c>
      <c r="U47">
        <f>Lookup!Z50</f>
        <v>0</v>
      </c>
      <c r="V47">
        <f>Lookup!AA50</f>
        <v>0</v>
      </c>
      <c r="W47">
        <f>Lookup!AB50</f>
        <v>0</v>
      </c>
      <c r="X47">
        <f>Lookup!AC50</f>
        <v>0.33500000000000002</v>
      </c>
      <c r="Y47">
        <f>Lookup!AD50</f>
        <v>0.40500000000000003</v>
      </c>
      <c r="Z47" t="str">
        <f t="shared" ca="1" si="2"/>
        <v>KO_INC-ST_QRTLY.xlsx</v>
      </c>
      <c r="AA47" t="str">
        <f t="shared" ca="1" si="1"/>
        <v>KO_INC-ST_QR-001</v>
      </c>
      <c r="AB47" s="16">
        <f t="shared" ca="1" si="3"/>
        <v>46088.824799074071</v>
      </c>
    </row>
    <row r="48" spans="1:28" x14ac:dyDescent="0.25">
      <c r="A48" t="str">
        <f>Lookup!F51</f>
        <v>KO</v>
      </c>
      <c r="B48" s="14">
        <f ca="1">Lookup!G51</f>
        <v>46088</v>
      </c>
      <c r="C48">
        <f>Lookup!H51</f>
        <v>2014</v>
      </c>
      <c r="D48" t="str">
        <f>Lookup!I51</f>
        <v>Q2</v>
      </c>
      <c r="E48">
        <f>Lookup!J51</f>
        <v>12574000000</v>
      </c>
      <c r="F48">
        <f>Lookup!K51</f>
        <v>4083000000</v>
      </c>
      <c r="G48">
        <f>Lookup!L51</f>
        <v>6725000000</v>
      </c>
      <c r="H48">
        <f>Lookup!M51</f>
        <v>4424000000</v>
      </c>
      <c r="I48">
        <f>Lookup!N51</f>
        <v>-132000000</v>
      </c>
      <c r="J48">
        <f>Lookup!O51</f>
        <v>4303000000</v>
      </c>
      <c r="K48">
        <f>Lookup!P51</f>
        <v>2183000000</v>
      </c>
      <c r="L48">
        <f>Lookup!Q51</f>
        <v>291000000</v>
      </c>
      <c r="M48">
        <f>Lookup!R51</f>
        <v>3623000000</v>
      </c>
      <c r="N48">
        <f>Lookup!S51</f>
        <v>658000000</v>
      </c>
      <c r="O48">
        <f>Lookup!T51</f>
        <v>1677000000</v>
      </c>
      <c r="P48">
        <f>Lookup!U51</f>
        <v>0</v>
      </c>
      <c r="Q48">
        <f>Lookup!V51</f>
        <v>2807000000</v>
      </c>
      <c r="R48">
        <f>Lookup!W51</f>
        <v>0</v>
      </c>
      <c r="S48">
        <f>Lookup!X51</f>
        <v>5749000000</v>
      </c>
      <c r="T48">
        <f>Lookup!Y51</f>
        <v>0</v>
      </c>
      <c r="U48">
        <f>Lookup!Z51</f>
        <v>0</v>
      </c>
      <c r="V48">
        <f>Lookup!AA51</f>
        <v>0</v>
      </c>
      <c r="W48">
        <f>Lookup!AB51</f>
        <v>0</v>
      </c>
      <c r="X48">
        <f>Lookup!AC51</f>
        <v>0.41</v>
      </c>
      <c r="Y48">
        <f>Lookup!AD51</f>
        <v>0.44</v>
      </c>
      <c r="Z48" t="str">
        <f t="shared" ca="1" si="2"/>
        <v>KO_INC-ST_QRTLY.xlsx</v>
      </c>
      <c r="AA48" t="str">
        <f t="shared" ca="1" si="1"/>
        <v>KO_INC-ST_QR-001</v>
      </c>
      <c r="AB48" s="16">
        <f t="shared" ca="1" si="3"/>
        <v>46088.824799074071</v>
      </c>
    </row>
    <row r="49" spans="1:28" x14ac:dyDescent="0.25">
      <c r="A49" t="str">
        <f>Lookup!F52</f>
        <v>KO</v>
      </c>
      <c r="B49" s="14">
        <f ca="1">Lookup!G52</f>
        <v>46088</v>
      </c>
      <c r="C49">
        <f>Lookup!H52</f>
        <v>2014</v>
      </c>
      <c r="D49" t="str">
        <f>Lookup!I52</f>
        <v>Q1</v>
      </c>
      <c r="E49">
        <f>Lookup!J52</f>
        <v>10576000000</v>
      </c>
      <c r="F49">
        <f>Lookup!K52</f>
        <v>4315000000</v>
      </c>
      <c r="G49">
        <f>Lookup!L52</f>
        <v>7237000000</v>
      </c>
      <c r="H49">
        <f>Lookup!M52</f>
        <v>4385000000</v>
      </c>
      <c r="I49">
        <f>Lookup!N52</f>
        <v>-121000000</v>
      </c>
      <c r="J49">
        <f>Lookup!O52</f>
        <v>4644000000</v>
      </c>
      <c r="K49">
        <f>Lookup!P52</f>
        <v>2793000000</v>
      </c>
      <c r="L49">
        <f>Lookup!Q52</f>
        <v>329000000</v>
      </c>
      <c r="M49">
        <f>Lookup!R52</f>
        <v>2725000000</v>
      </c>
      <c r="N49">
        <f>Lookup!S52</f>
        <v>539000000</v>
      </c>
      <c r="O49">
        <f>Lookup!T52</f>
        <v>2246000000</v>
      </c>
      <c r="P49">
        <f>Lookup!U52</f>
        <v>0</v>
      </c>
      <c r="Q49">
        <f>Lookup!V52</f>
        <v>1916000000</v>
      </c>
      <c r="R49">
        <f>Lookup!W52</f>
        <v>0</v>
      </c>
      <c r="S49">
        <f>Lookup!X52</f>
        <v>2055000000</v>
      </c>
      <c r="T49">
        <f>Lookup!Y52</f>
        <v>0</v>
      </c>
      <c r="U49">
        <f>Lookup!Z52</f>
        <v>0</v>
      </c>
      <c r="V49">
        <f>Lookup!AA52</f>
        <v>0</v>
      </c>
      <c r="W49">
        <f>Lookup!AB52</f>
        <v>0</v>
      </c>
      <c r="X49">
        <f>Lookup!AC52</f>
        <v>0.44</v>
      </c>
      <c r="Y49">
        <f>Lookup!AD52</f>
        <v>0.28999999999999998</v>
      </c>
      <c r="Z49" t="str">
        <f t="shared" ca="1" si="2"/>
        <v>KO_INC-ST_QRTLY.xlsx</v>
      </c>
      <c r="AA49" t="str">
        <f t="shared" ca="1" si="1"/>
        <v>KO_INC-ST_QR-001</v>
      </c>
      <c r="AB49" s="16">
        <f t="shared" ca="1" si="3"/>
        <v>46088.824799074071</v>
      </c>
    </row>
    <row r="50" spans="1:28" x14ac:dyDescent="0.25">
      <c r="A50" t="str">
        <f>Lookup!F53</f>
        <v>KO</v>
      </c>
      <c r="B50" s="14">
        <f ca="1">Lookup!G53</f>
        <v>46088</v>
      </c>
      <c r="C50">
        <f>Lookup!H53</f>
        <v>2013</v>
      </c>
      <c r="D50" t="str">
        <f>Lookup!I53</f>
        <v>Q4</v>
      </c>
      <c r="E50">
        <f>Lookup!J53</f>
        <v>11040000000</v>
      </c>
      <c r="F50">
        <f>Lookup!K53</f>
        <v>4793000000</v>
      </c>
      <c r="G50">
        <f>Lookup!L53</f>
        <v>7760000000</v>
      </c>
      <c r="H50">
        <f>Lookup!M53</f>
        <v>4182000000</v>
      </c>
      <c r="I50">
        <f>Lookup!N53</f>
        <v>-214000000</v>
      </c>
      <c r="J50">
        <f>Lookup!O53</f>
        <v>4694000000</v>
      </c>
      <c r="K50">
        <f>Lookup!P53</f>
        <v>3294000000</v>
      </c>
      <c r="L50">
        <f>Lookup!Q53</f>
        <v>216000000</v>
      </c>
      <c r="M50">
        <f>Lookup!R53</f>
        <v>2216000000</v>
      </c>
      <c r="N50">
        <f>Lookup!S53</f>
        <v>681000000</v>
      </c>
      <c r="O50">
        <f>Lookup!T53</f>
        <v>2807000000</v>
      </c>
      <c r="P50">
        <f>Lookup!U53</f>
        <v>0</v>
      </c>
      <c r="Q50">
        <f>Lookup!V53</f>
        <v>5762000000</v>
      </c>
      <c r="R50">
        <f>Lookup!W53</f>
        <v>0</v>
      </c>
      <c r="S50">
        <f>Lookup!X53</f>
        <v>2369000000</v>
      </c>
      <c r="T50">
        <f>Lookup!Y53</f>
        <v>0</v>
      </c>
      <c r="U50">
        <f>Lookup!Z53</f>
        <v>0</v>
      </c>
      <c r="V50">
        <f>Lookup!AA53</f>
        <v>0</v>
      </c>
      <c r="W50">
        <f>Lookup!AB53</f>
        <v>0</v>
      </c>
      <c r="X50">
        <f>Lookup!AC53</f>
        <v>0.28999999999999998</v>
      </c>
      <c r="Y50">
        <f>Lookup!AD53</f>
        <v>0.215</v>
      </c>
      <c r="Z50" t="str">
        <f t="shared" ca="1" si="2"/>
        <v>KO_INC-ST_QRTLY.xlsx</v>
      </c>
      <c r="AA50" t="str">
        <f t="shared" ca="1" si="1"/>
        <v>KO_INC-ST_QR-001</v>
      </c>
      <c r="AB50" s="16">
        <f t="shared" ca="1" si="3"/>
        <v>46088.824799074071</v>
      </c>
    </row>
    <row r="51" spans="1:28" x14ac:dyDescent="0.25">
      <c r="A51" t="str">
        <f>Lookup!F54</f>
        <v>KO</v>
      </c>
      <c r="B51" s="14">
        <f ca="1">Lookup!G54</f>
        <v>46088</v>
      </c>
      <c r="C51">
        <f>Lookup!H54</f>
        <v>2013</v>
      </c>
      <c r="D51" t="str">
        <f>Lookup!I54</f>
        <v>Q3</v>
      </c>
      <c r="E51">
        <f>Lookup!J54</f>
        <v>12030000000</v>
      </c>
      <c r="F51">
        <f>Lookup!K54</f>
        <v>4989000000</v>
      </c>
      <c r="G51">
        <f>Lookup!L54</f>
        <v>6711000000</v>
      </c>
      <c r="H51">
        <f>Lookup!M54</f>
        <v>4430000000</v>
      </c>
      <c r="I51">
        <f>Lookup!N54</f>
        <v>-64000000</v>
      </c>
      <c r="J51">
        <f>Lookup!O54</f>
        <v>4567000000</v>
      </c>
      <c r="K51">
        <f>Lookup!P54</f>
        <v>2509000000</v>
      </c>
      <c r="L51">
        <f>Lookup!Q54</f>
        <v>260000000</v>
      </c>
      <c r="M51">
        <f>Lookup!R54</f>
        <v>2927000000</v>
      </c>
      <c r="N51">
        <f>Lookup!S54</f>
        <v>992000000</v>
      </c>
      <c r="O51">
        <f>Lookup!T54</f>
        <v>1916000000</v>
      </c>
      <c r="P51">
        <f>Lookup!U54</f>
        <v>0</v>
      </c>
      <c r="Q51">
        <f>Lookup!V54</f>
        <v>2067000000</v>
      </c>
      <c r="R51">
        <f>Lookup!W54</f>
        <v>0</v>
      </c>
      <c r="S51">
        <f>Lookup!X54</f>
        <v>1614000000</v>
      </c>
      <c r="T51">
        <f>Lookup!Y54</f>
        <v>0</v>
      </c>
      <c r="U51">
        <f>Lookup!Z54</f>
        <v>0</v>
      </c>
      <c r="V51">
        <f>Lookup!AA54</f>
        <v>0</v>
      </c>
      <c r="W51">
        <f>Lookup!AB54</f>
        <v>0</v>
      </c>
      <c r="X51">
        <f>Lookup!AC54</f>
        <v>0.215</v>
      </c>
      <c r="Y51">
        <f>Lookup!AD54</f>
        <v>0.40500000000000003</v>
      </c>
      <c r="Z51" t="str">
        <f t="shared" ca="1" si="2"/>
        <v>KO_INC-ST_QRTLY.xlsx</v>
      </c>
      <c r="AA51" t="str">
        <f t="shared" ca="1" si="1"/>
        <v>KO_INC-ST_QR-001</v>
      </c>
      <c r="AB51" s="16">
        <f t="shared" ca="1" si="3"/>
        <v>46088.824799074071</v>
      </c>
    </row>
    <row r="52" spans="1:28" x14ac:dyDescent="0.25">
      <c r="A52" t="str">
        <f>Lookup!F55</f>
        <v>KO</v>
      </c>
      <c r="B52" s="14">
        <f ca="1">Lookup!G55</f>
        <v>46088</v>
      </c>
      <c r="C52">
        <f>Lookup!H55</f>
        <v>2013</v>
      </c>
      <c r="D52" t="str">
        <f>Lookup!I55</f>
        <v>Q2</v>
      </c>
      <c r="E52">
        <f>Lookup!J55</f>
        <v>12749000000</v>
      </c>
      <c r="F52">
        <f>Lookup!K55</f>
        <v>4324000000</v>
      </c>
      <c r="G52">
        <f>Lookup!L55</f>
        <v>6827000000</v>
      </c>
      <c r="H52">
        <f>Lookup!M55</f>
        <v>4630000000</v>
      </c>
      <c r="I52">
        <f>Lookup!N55</f>
        <v>-70000000</v>
      </c>
      <c r="J52">
        <f>Lookup!O55</f>
        <v>4280000000</v>
      </c>
      <c r="K52">
        <f>Lookup!P55</f>
        <v>1956000000</v>
      </c>
      <c r="L52">
        <f>Lookup!Q55</f>
        <v>173000000</v>
      </c>
      <c r="M52">
        <f>Lookup!R55</f>
        <v>3799000000</v>
      </c>
      <c r="N52">
        <f>Lookup!S55</f>
        <v>600000000</v>
      </c>
      <c r="O52">
        <f>Lookup!T55</f>
        <v>5762000000</v>
      </c>
      <c r="P52">
        <f>Lookup!U55</f>
        <v>0</v>
      </c>
      <c r="Q52">
        <f>Lookup!V55</f>
        <v>2382000000</v>
      </c>
      <c r="R52">
        <f>Lookup!W55</f>
        <v>0</v>
      </c>
      <c r="S52">
        <f>Lookup!X55</f>
        <v>1543000000</v>
      </c>
      <c r="T52">
        <f>Lookup!Y55</f>
        <v>0</v>
      </c>
      <c r="U52">
        <f>Lookup!Z55</f>
        <v>0</v>
      </c>
      <c r="V52">
        <f>Lookup!AA55</f>
        <v>0</v>
      </c>
      <c r="W52">
        <f>Lookup!AB55</f>
        <v>0</v>
      </c>
      <c r="X52">
        <f>Lookup!AC55</f>
        <v>0.41</v>
      </c>
      <c r="Y52">
        <f>Lookup!AD55</f>
        <v>0.30499999999999999</v>
      </c>
      <c r="Z52" t="str">
        <f t="shared" ca="1" si="2"/>
        <v>KO_INC-ST_QRTLY.xlsx</v>
      </c>
      <c r="AA52" t="str">
        <f t="shared" ca="1" si="1"/>
        <v>KO_INC-ST_QR-001</v>
      </c>
      <c r="AB52" s="16">
        <f t="shared" ca="1" si="3"/>
        <v>46088.824799074071</v>
      </c>
    </row>
    <row r="53" spans="1:28" x14ac:dyDescent="0.25">
      <c r="A53" t="str">
        <f>Lookup!F56</f>
        <v>KO</v>
      </c>
      <c r="B53" s="14">
        <f ca="1">Lookup!G56</f>
        <v>46088</v>
      </c>
      <c r="C53">
        <f>Lookup!H56</f>
        <v>2013</v>
      </c>
      <c r="D53" t="str">
        <f>Lookup!I56</f>
        <v>Q1</v>
      </c>
      <c r="E53">
        <f>Lookup!J56</f>
        <v>11035000000</v>
      </c>
      <c r="F53">
        <f>Lookup!K56</f>
        <v>4628000000</v>
      </c>
      <c r="G53">
        <f>Lookup!L56</f>
        <v>7487000000</v>
      </c>
      <c r="H53">
        <f>Lookup!M56</f>
        <v>4497000000</v>
      </c>
      <c r="I53">
        <f>Lookup!N56</f>
        <v>-99000000</v>
      </c>
      <c r="J53">
        <f>Lookup!O56</f>
        <v>4681000000</v>
      </c>
      <c r="K53">
        <f>Lookup!P56</f>
        <v>2754000000</v>
      </c>
      <c r="L53">
        <f>Lookup!Q56</f>
        <v>620000000</v>
      </c>
      <c r="M53">
        <f>Lookup!R56</f>
        <v>2516000000</v>
      </c>
      <c r="N53">
        <f>Lookup!S56</f>
        <v>443000000</v>
      </c>
      <c r="O53">
        <f>Lookup!T56</f>
        <v>2067000000</v>
      </c>
      <c r="P53">
        <f>Lookup!U56</f>
        <v>0</v>
      </c>
      <c r="Q53">
        <f>Lookup!V56</f>
        <v>1626000000</v>
      </c>
      <c r="R53">
        <f>Lookup!W56</f>
        <v>0</v>
      </c>
      <c r="S53">
        <f>Lookup!X56</f>
        <v>1896000000</v>
      </c>
      <c r="T53">
        <f>Lookup!Y56</f>
        <v>0</v>
      </c>
      <c r="U53">
        <f>Lookup!Z56</f>
        <v>0</v>
      </c>
      <c r="V53">
        <f>Lookup!AA56</f>
        <v>0</v>
      </c>
      <c r="W53">
        <f>Lookup!AB56</f>
        <v>0</v>
      </c>
      <c r="X53">
        <f>Lookup!AC56</f>
        <v>0.30499999999999999</v>
      </c>
      <c r="Y53">
        <f>Lookup!AD56</f>
        <v>0.32</v>
      </c>
      <c r="Z53" t="str">
        <f t="shared" ca="1" si="2"/>
        <v>KO_INC-ST_QRTLY.xlsx</v>
      </c>
      <c r="AA53" t="str">
        <f t="shared" ca="1" si="1"/>
        <v>KO_INC-ST_QR-001</v>
      </c>
      <c r="AB53" s="16">
        <f t="shared" ca="1" si="3"/>
        <v>46088.824799074071</v>
      </c>
    </row>
    <row r="54" spans="1:28" x14ac:dyDescent="0.25">
      <c r="A54" t="str">
        <f>Lookup!F57</f>
        <v>KO</v>
      </c>
      <c r="B54" s="14">
        <f ca="1">Lookup!G57</f>
        <v>46088</v>
      </c>
      <c r="C54">
        <f>Lookup!H57</f>
        <v>2012</v>
      </c>
      <c r="D54" t="str">
        <f>Lookup!I57</f>
        <v>Q4</v>
      </c>
      <c r="E54">
        <f>Lookup!J57</f>
        <v>11455000000</v>
      </c>
      <c r="F54">
        <f>Lookup!K57</f>
        <v>4853000000</v>
      </c>
      <c r="G54">
        <f>Lookup!L57</f>
        <v>7861000000</v>
      </c>
      <c r="H54">
        <f>Lookup!M57</f>
        <v>4181000000</v>
      </c>
      <c r="I54">
        <f>Lookup!N57</f>
        <v>-275000000</v>
      </c>
      <c r="J54">
        <f>Lookup!O57</f>
        <v>4619000000</v>
      </c>
      <c r="K54">
        <f>Lookup!P57</f>
        <v>3179000000</v>
      </c>
      <c r="L54">
        <f>Lookup!Q57</f>
        <v>232000000</v>
      </c>
      <c r="M54">
        <f>Lookup!R57</f>
        <v>6205000000</v>
      </c>
      <c r="N54">
        <f>Lookup!S57</f>
        <v>633000000</v>
      </c>
      <c r="O54">
        <f>Lookup!T57</f>
        <v>2382000000</v>
      </c>
      <c r="P54">
        <f>Lookup!U57</f>
        <v>0</v>
      </c>
      <c r="Q54">
        <f>Lookup!V57</f>
        <v>1578000000</v>
      </c>
      <c r="R54">
        <f>Lookup!W57</f>
        <v>0</v>
      </c>
      <c r="S54">
        <f>Lookup!X57</f>
        <v>2037000000</v>
      </c>
      <c r="T54">
        <f>Lookup!Y57</f>
        <v>0</v>
      </c>
      <c r="U54">
        <f>Lookup!Z57</f>
        <v>0</v>
      </c>
      <c r="V54">
        <f>Lookup!AA57</f>
        <v>0</v>
      </c>
      <c r="W54">
        <f>Lookup!AB57</f>
        <v>0</v>
      </c>
      <c r="X54">
        <f>Lookup!AC57</f>
        <v>0.32500000000000001</v>
      </c>
      <c r="Y54">
        <f>Lookup!AD57</f>
        <v>0.26</v>
      </c>
      <c r="Z54" t="str">
        <f t="shared" ca="1" si="2"/>
        <v>KO_INC-ST_QRTLY.xlsx</v>
      </c>
      <c r="AA54" t="str">
        <f t="shared" ca="1" si="1"/>
        <v>KO_INC-ST_QR-001</v>
      </c>
      <c r="AB54" s="16">
        <f t="shared" ca="1" si="3"/>
        <v>46088.824799074071</v>
      </c>
    </row>
    <row r="55" spans="1:28" x14ac:dyDescent="0.25">
      <c r="A55" t="str">
        <f>Lookup!F58</f>
        <v>KO</v>
      </c>
      <c r="B55" s="14">
        <f ca="1">Lookup!G58</f>
        <v>46088</v>
      </c>
      <c r="C55">
        <f>Lookup!H58</f>
        <v>2012</v>
      </c>
      <c r="D55" t="str">
        <f>Lookup!I58</f>
        <v>Q3</v>
      </c>
      <c r="E55">
        <f>Lookup!J58</f>
        <v>12340000000</v>
      </c>
      <c r="F55">
        <f>Lookup!K58</f>
        <v>5224000000</v>
      </c>
      <c r="G55">
        <f>Lookup!L58</f>
        <v>6789000000</v>
      </c>
      <c r="H55">
        <f>Lookup!M58</f>
        <v>4406000000</v>
      </c>
      <c r="I55">
        <f>Lookup!N58</f>
        <v>-96000000</v>
      </c>
      <c r="J55">
        <f>Lookup!O58</f>
        <v>4569000000</v>
      </c>
      <c r="K55">
        <f>Lookup!P58</f>
        <v>2284000000</v>
      </c>
      <c r="L55">
        <f>Lookup!Q58</f>
        <v>5082000000</v>
      </c>
      <c r="M55">
        <f>Lookup!R58</f>
        <v>2700000000</v>
      </c>
      <c r="N55">
        <f>Lookup!S58</f>
        <v>741000000</v>
      </c>
      <c r="O55">
        <f>Lookup!T58</f>
        <v>1626000000</v>
      </c>
      <c r="P55">
        <f>Lookup!U58</f>
        <v>0</v>
      </c>
      <c r="Q55">
        <f>Lookup!V58</f>
        <v>1920000000</v>
      </c>
      <c r="R55">
        <f>Lookup!W58</f>
        <v>0</v>
      </c>
      <c r="S55">
        <f>Lookup!X58</f>
        <v>1348000000</v>
      </c>
      <c r="T55">
        <f>Lookup!Y58</f>
        <v>0</v>
      </c>
      <c r="U55">
        <f>Lookup!Z58</f>
        <v>0</v>
      </c>
      <c r="V55">
        <f>Lookup!AA58</f>
        <v>0</v>
      </c>
      <c r="W55">
        <f>Lookup!AB58</f>
        <v>0</v>
      </c>
      <c r="X55">
        <f>Lookup!AC58</f>
        <v>0.26</v>
      </c>
      <c r="Y55">
        <f>Lookup!AD58</f>
        <v>0.35499999999999998</v>
      </c>
      <c r="Z55" t="str">
        <f t="shared" ca="1" si="2"/>
        <v>KO_INC-ST_QRTLY.xlsx</v>
      </c>
      <c r="AA55" t="str">
        <f t="shared" ca="1" si="1"/>
        <v>KO_INC-ST_QR-001</v>
      </c>
      <c r="AB55" s="16">
        <f t="shared" ca="1" si="3"/>
        <v>46088.824799074071</v>
      </c>
    </row>
    <row r="56" spans="1:28" x14ac:dyDescent="0.25">
      <c r="A56" t="str">
        <f>Lookup!F59</f>
        <v>KO</v>
      </c>
      <c r="B56" s="14">
        <f ca="1">Lookup!G59</f>
        <v>46088</v>
      </c>
      <c r="C56">
        <f>Lookup!H59</f>
        <v>2012</v>
      </c>
      <c r="D56" t="str">
        <f>Lookup!I59</f>
        <v>Q2</v>
      </c>
      <c r="E56">
        <f>Lookup!J59</f>
        <v>13085000000</v>
      </c>
      <c r="F56">
        <f>Lookup!K59</f>
        <v>4348000000</v>
      </c>
      <c r="G56">
        <f>Lookup!L59</f>
        <v>6637000000</v>
      </c>
      <c r="H56">
        <f>Lookup!M59</f>
        <v>4523000000</v>
      </c>
      <c r="I56">
        <f>Lookup!N59</f>
        <v>-152000000</v>
      </c>
      <c r="J56">
        <f>Lookup!O59</f>
        <v>4285000000</v>
      </c>
      <c r="K56">
        <f>Lookup!P59</f>
        <v>1123000000</v>
      </c>
      <c r="L56">
        <f>Lookup!Q59</f>
        <v>356000000</v>
      </c>
      <c r="M56">
        <f>Lookup!R59</f>
        <v>3123000000</v>
      </c>
      <c r="N56">
        <f>Lookup!S59</f>
        <v>553000000</v>
      </c>
      <c r="O56">
        <f>Lookup!T59</f>
        <v>1578000000</v>
      </c>
      <c r="P56">
        <f>Lookup!U59</f>
        <v>0</v>
      </c>
      <c r="Q56">
        <f>Lookup!V59</f>
        <v>2049000000</v>
      </c>
      <c r="R56">
        <f>Lookup!W59</f>
        <v>0</v>
      </c>
      <c r="S56">
        <f>Lookup!X59</f>
        <v>995000000</v>
      </c>
      <c r="T56">
        <f>Lookup!Y59</f>
        <v>0</v>
      </c>
      <c r="U56">
        <f>Lookup!Z59</f>
        <v>0</v>
      </c>
      <c r="V56">
        <f>Lookup!AA59</f>
        <v>0</v>
      </c>
      <c r="W56">
        <f>Lookup!AB59</f>
        <v>0</v>
      </c>
      <c r="X56">
        <f>Lookup!AC59</f>
        <v>0.36</v>
      </c>
      <c r="Y56">
        <f>Lookup!AD59</f>
        <v>0.4</v>
      </c>
      <c r="Z56" t="str">
        <f t="shared" ca="1" si="2"/>
        <v>KO_INC-ST_QRTLY.xlsx</v>
      </c>
      <c r="AA56" t="str">
        <f t="shared" ca="1" si="1"/>
        <v>KO_INC-ST_QR-001</v>
      </c>
      <c r="AB56" s="16">
        <f t="shared" ca="1" si="3"/>
        <v>46088.824799074071</v>
      </c>
    </row>
    <row r="57" spans="1:28" x14ac:dyDescent="0.25">
      <c r="A57" t="str">
        <f>Lookup!F60</f>
        <v>KO</v>
      </c>
      <c r="B57" s="14">
        <f ca="1">Lookup!G60</f>
        <v>46088</v>
      </c>
      <c r="C57">
        <f>Lookup!H60</f>
        <v>2012</v>
      </c>
      <c r="D57" t="str">
        <f>Lookup!I60</f>
        <v>Q1</v>
      </c>
      <c r="E57">
        <f>Lookup!J60</f>
        <v>11137000000</v>
      </c>
      <c r="F57">
        <f>Lookup!K60</f>
        <v>4403000000</v>
      </c>
      <c r="G57">
        <f>Lookup!L60</f>
        <v>7373000000</v>
      </c>
      <c r="H57">
        <f>Lookup!M60</f>
        <v>4417000000</v>
      </c>
      <c r="I57">
        <f>Lookup!N60</f>
        <v>-209000000</v>
      </c>
      <c r="J57">
        <f>Lookup!O60</f>
        <v>5092000000</v>
      </c>
      <c r="K57">
        <f>Lookup!P60</f>
        <v>2344000000</v>
      </c>
      <c r="L57">
        <f>Lookup!Q60</f>
        <v>360000000</v>
      </c>
      <c r="M57">
        <f>Lookup!R60</f>
        <v>2179000000</v>
      </c>
      <c r="N57">
        <f>Lookup!S60</f>
        <v>382000000</v>
      </c>
      <c r="O57">
        <f>Lookup!T60</f>
        <v>1920000000</v>
      </c>
      <c r="P57">
        <f>Lookup!U60</f>
        <v>0</v>
      </c>
      <c r="Q57">
        <f>Lookup!V60</f>
        <v>1359000000</v>
      </c>
      <c r="R57">
        <f>Lookup!W60</f>
        <v>0</v>
      </c>
      <c r="S57">
        <f>Lookup!X60</f>
        <v>1890000000</v>
      </c>
      <c r="T57">
        <f>Lookup!Y60</f>
        <v>0</v>
      </c>
      <c r="U57">
        <f>Lookup!Z60</f>
        <v>0</v>
      </c>
      <c r="V57">
        <f>Lookup!AA60</f>
        <v>0</v>
      </c>
      <c r="W57">
        <f>Lookup!AB60</f>
        <v>0</v>
      </c>
      <c r="X57">
        <f>Lookup!AC60</f>
        <v>0.4</v>
      </c>
      <c r="Y57">
        <f>Lookup!AD60</f>
        <v>0.27</v>
      </c>
      <c r="Z57" t="str">
        <f t="shared" ca="1" si="2"/>
        <v>KO_INC-ST_QRTLY.xlsx</v>
      </c>
      <c r="AA57" t="str">
        <f t="shared" ca="1" si="1"/>
        <v>KO_INC-ST_QR-001</v>
      </c>
      <c r="AB57" s="16">
        <f t="shared" ca="1" si="3"/>
        <v>46088.824799074071</v>
      </c>
    </row>
    <row r="58" spans="1:28" x14ac:dyDescent="0.25">
      <c r="A58" t="str">
        <f>Lookup!F61</f>
        <v>KO</v>
      </c>
      <c r="B58" s="14">
        <f ca="1">Lookup!G61</f>
        <v>46088</v>
      </c>
      <c r="C58">
        <f>Lookup!H61</f>
        <v>2011</v>
      </c>
      <c r="D58" t="str">
        <f>Lookup!I61</f>
        <v>Q4</v>
      </c>
      <c r="E58">
        <f>Lookup!J61</f>
        <v>11040000000</v>
      </c>
      <c r="F58">
        <f>Lookup!K61</f>
        <v>4875000000</v>
      </c>
      <c r="G58">
        <f>Lookup!L61</f>
        <v>7748000000</v>
      </c>
      <c r="H58">
        <f>Lookup!M61</f>
        <v>4076000000</v>
      </c>
      <c r="I58">
        <f>Lookup!N61</f>
        <v>-545000000</v>
      </c>
      <c r="J58">
        <f>Lookup!O61</f>
        <v>3164000000</v>
      </c>
      <c r="K58">
        <f>Lookup!P61</f>
        <v>2763000000</v>
      </c>
      <c r="L58">
        <f>Lookup!Q61</f>
        <v>-4000000</v>
      </c>
      <c r="M58">
        <f>Lookup!R61</f>
        <v>1960000000</v>
      </c>
      <c r="N58">
        <f>Lookup!S61</f>
        <v>523000000</v>
      </c>
      <c r="O58">
        <f>Lookup!T61</f>
        <v>2049000000</v>
      </c>
      <c r="P58">
        <f>Lookup!U61</f>
        <v>0</v>
      </c>
      <c r="Q58">
        <f>Lookup!V61</f>
        <v>1005000000</v>
      </c>
      <c r="R58">
        <f>Lookup!W61</f>
        <v>0</v>
      </c>
      <c r="S58">
        <f>Lookup!X61</f>
        <v>1422000000</v>
      </c>
      <c r="T58">
        <f>Lookup!Y61</f>
        <v>0</v>
      </c>
      <c r="U58">
        <f>Lookup!Z61</f>
        <v>0</v>
      </c>
      <c r="V58">
        <f>Lookup!AA61</f>
        <v>0</v>
      </c>
      <c r="W58">
        <f>Lookup!AB61</f>
        <v>0</v>
      </c>
      <c r="X58">
        <f>Lookup!AC61</f>
        <v>0.27500000000000002</v>
      </c>
      <c r="Y58">
        <f>Lookup!AD61</f>
        <v>0.14499999999999999</v>
      </c>
      <c r="Z58" t="str">
        <f t="shared" ca="1" si="2"/>
        <v>KO_INC-ST_QRTLY.xlsx</v>
      </c>
      <c r="AA58" t="str">
        <f t="shared" ca="1" si="1"/>
        <v>KO_INC-ST_QR-001</v>
      </c>
      <c r="AB58" s="16">
        <f t="shared" ca="1" si="3"/>
        <v>46088.824799074071</v>
      </c>
    </row>
    <row r="59" spans="1:28" x14ac:dyDescent="0.25">
      <c r="A59" t="str">
        <f>Lookup!F62</f>
        <v>KO</v>
      </c>
      <c r="B59" s="14">
        <f ca="1">Lookup!G62</f>
        <v>46088</v>
      </c>
      <c r="C59">
        <f>Lookup!H62</f>
        <v>2011</v>
      </c>
      <c r="D59" t="str">
        <f>Lookup!I62</f>
        <v>Q3</v>
      </c>
      <c r="E59">
        <f>Lookup!J62</f>
        <v>12248000000</v>
      </c>
      <c r="F59">
        <f>Lookup!K62</f>
        <v>4989000000</v>
      </c>
      <c r="G59">
        <f>Lookup!L62</f>
        <v>6569000000</v>
      </c>
      <c r="H59">
        <f>Lookup!M62</f>
        <v>4547000000</v>
      </c>
      <c r="I59">
        <f>Lookup!N62</f>
        <v>-100000000</v>
      </c>
      <c r="J59">
        <f>Lookup!O62</f>
        <v>2956000000</v>
      </c>
      <c r="K59">
        <f>Lookup!P62</f>
        <v>2183000000</v>
      </c>
      <c r="L59">
        <f>Lookup!Q62</f>
        <v>180000000</v>
      </c>
      <c r="M59">
        <f>Lookup!R62</f>
        <v>2443000000</v>
      </c>
      <c r="N59">
        <f>Lookup!S62</f>
        <v>679000000</v>
      </c>
      <c r="O59">
        <f>Lookup!T62</f>
        <v>1359000000</v>
      </c>
      <c r="P59">
        <f>Lookup!U62</f>
        <v>0</v>
      </c>
      <c r="Q59">
        <f>Lookup!V62</f>
        <v>1915000000</v>
      </c>
      <c r="R59">
        <f>Lookup!W62</f>
        <v>0</v>
      </c>
      <c r="S59">
        <f>Lookup!X62</f>
        <v>1500000000</v>
      </c>
      <c r="T59">
        <f>Lookup!Y62</f>
        <v>0</v>
      </c>
      <c r="U59">
        <f>Lookup!Z62</f>
        <v>0</v>
      </c>
      <c r="V59">
        <f>Lookup!AA62</f>
        <v>0</v>
      </c>
      <c r="W59">
        <f>Lookup!AB62</f>
        <v>0</v>
      </c>
      <c r="X59">
        <f>Lookup!AC62</f>
        <v>0.14499999999999999</v>
      </c>
      <c r="Y59">
        <f>Lookup!AD62</f>
        <v>0.31</v>
      </c>
      <c r="Z59" t="str">
        <f t="shared" ca="1" si="2"/>
        <v>KO_INC-ST_QRTLY.xlsx</v>
      </c>
      <c r="AA59" t="str">
        <f t="shared" ca="1" si="1"/>
        <v>KO_INC-ST_QR-001</v>
      </c>
      <c r="AB59" s="16">
        <f t="shared" ca="1" si="3"/>
        <v>46088.824799074071</v>
      </c>
    </row>
    <row r="60" spans="1:28" x14ac:dyDescent="0.25">
      <c r="A60" t="str">
        <f>Lookup!F63</f>
        <v>KO</v>
      </c>
      <c r="B60" s="14">
        <f ca="1">Lookup!G63</f>
        <v>46088</v>
      </c>
      <c r="C60">
        <f>Lookup!H63</f>
        <v>2011</v>
      </c>
      <c r="D60" t="str">
        <f>Lookup!I63</f>
        <v>Q2</v>
      </c>
      <c r="E60">
        <f>Lookup!J63</f>
        <v>12737000000</v>
      </c>
      <c r="F60">
        <f>Lookup!K63</f>
        <v>3948000000</v>
      </c>
      <c r="G60">
        <f>Lookup!L63</f>
        <v>6215000000</v>
      </c>
      <c r="H60">
        <f>Lookup!M63</f>
        <v>3064000000</v>
      </c>
      <c r="I60">
        <f>Lookup!N63</f>
        <v>-78000000</v>
      </c>
      <c r="J60">
        <f>Lookup!O63</f>
        <v>2801000000</v>
      </c>
      <c r="K60">
        <f>Lookup!P63</f>
        <v>1780000000</v>
      </c>
      <c r="L60">
        <f>Lookup!Q63</f>
        <v>293000000</v>
      </c>
      <c r="M60">
        <f>Lookup!R63</f>
        <v>2728000000</v>
      </c>
      <c r="N60">
        <f>Lookup!S63</f>
        <v>456000000</v>
      </c>
      <c r="O60">
        <f>Lookup!T63</f>
        <v>1005000000</v>
      </c>
      <c r="P60">
        <f>Lookup!U63</f>
        <v>0</v>
      </c>
      <c r="Q60">
        <f>Lookup!V63</f>
        <v>1443000000</v>
      </c>
      <c r="R60">
        <f>Lookup!W63</f>
        <v>0</v>
      </c>
      <c r="S60">
        <f>Lookup!X63</f>
        <v>1214000000</v>
      </c>
      <c r="T60">
        <f>Lookup!Y63</f>
        <v>0</v>
      </c>
      <c r="U60">
        <f>Lookup!Z63</f>
        <v>0</v>
      </c>
      <c r="V60">
        <f>Lookup!AA63</f>
        <v>0</v>
      </c>
      <c r="W60">
        <f>Lookup!AB63</f>
        <v>0</v>
      </c>
      <c r="X60">
        <f>Lookup!AC63</f>
        <v>0.31</v>
      </c>
      <c r="Y60">
        <f>Lookup!AD63</f>
        <v>0.39</v>
      </c>
      <c r="Z60" t="str">
        <f t="shared" ca="1" si="2"/>
        <v>KO_INC-ST_QRTLY.xlsx</v>
      </c>
      <c r="AA60" t="str">
        <f t="shared" ca="1" si="1"/>
        <v>KO_INC-ST_QR-001</v>
      </c>
      <c r="AB60" s="16">
        <f t="shared" ca="1" si="3"/>
        <v>46088.824799074071</v>
      </c>
    </row>
    <row r="61" spans="1:28" x14ac:dyDescent="0.25">
      <c r="A61" t="str">
        <f>Lookup!F64</f>
        <v>KO</v>
      </c>
      <c r="B61" s="14">
        <f ca="1">Lookup!G64</f>
        <v>46088</v>
      </c>
      <c r="C61">
        <f>Lookup!H64</f>
        <v>2011</v>
      </c>
      <c r="D61" t="str">
        <f>Lookup!I64</f>
        <v>Q1</v>
      </c>
      <c r="E61">
        <f>Lookup!J64</f>
        <v>10517000000</v>
      </c>
      <c r="F61">
        <f>Lookup!K64</f>
        <v>4279000000</v>
      </c>
      <c r="G61">
        <f>Lookup!L64</f>
        <v>5508000000</v>
      </c>
      <c r="H61">
        <f>Lookup!M64</f>
        <v>2878000000</v>
      </c>
      <c r="I61">
        <f>Lookup!N64</f>
        <v>-96000000</v>
      </c>
      <c r="J61">
        <f>Lookup!O64</f>
        <v>3079000000</v>
      </c>
      <c r="K61">
        <f>Lookup!P64</f>
        <v>2150000000</v>
      </c>
      <c r="L61">
        <f>Lookup!Q64</f>
        <v>290000000</v>
      </c>
      <c r="M61">
        <f>Lookup!R64</f>
        <v>1815000000</v>
      </c>
      <c r="N61">
        <f>Lookup!S64</f>
        <v>155000000</v>
      </c>
      <c r="O61">
        <f>Lookup!T64</f>
        <v>1915000000</v>
      </c>
      <c r="P61">
        <f>Lookup!U64</f>
        <v>0</v>
      </c>
      <c r="Q61">
        <f>Lookup!V64</f>
        <v>1511000000</v>
      </c>
      <c r="R61">
        <f>Lookup!W64</f>
        <v>0</v>
      </c>
      <c r="S61">
        <f>Lookup!X64</f>
        <v>1654000000</v>
      </c>
      <c r="T61">
        <f>Lookup!Y64</f>
        <v>0</v>
      </c>
      <c r="U61">
        <f>Lookup!Z64</f>
        <v>0</v>
      </c>
      <c r="V61">
        <f>Lookup!AA64</f>
        <v>0</v>
      </c>
      <c r="W61">
        <f>Lookup!AB64</f>
        <v>0</v>
      </c>
      <c r="X61">
        <f>Lookup!AC64</f>
        <v>0.39</v>
      </c>
      <c r="Y61">
        <f>Lookup!AD64</f>
        <v>0.23499999999999999</v>
      </c>
      <c r="Z61" t="str">
        <f t="shared" ca="1" si="2"/>
        <v>KO_INC-ST_QRTLY.xlsx</v>
      </c>
      <c r="AA61" t="str">
        <f t="shared" ca="1" si="1"/>
        <v>KO_INC-ST_QR-001</v>
      </c>
      <c r="AB61" s="16">
        <f t="shared" ca="1" si="3"/>
        <v>46088.824799074071</v>
      </c>
    </row>
    <row r="62" spans="1:28" x14ac:dyDescent="0.25">
      <c r="A62" t="str">
        <f>Lookup!F65</f>
        <v>KO</v>
      </c>
      <c r="B62" s="14">
        <f ca="1">Lookup!G65</f>
        <v>46088</v>
      </c>
      <c r="C62">
        <f>Lookup!H65</f>
        <v>2010</v>
      </c>
      <c r="D62" t="str">
        <f>Lookup!I65</f>
        <v>Q4</v>
      </c>
      <c r="E62">
        <f>Lookup!J65</f>
        <v>10494000000</v>
      </c>
      <c r="F62">
        <f>Lookup!K65</f>
        <v>2918000000</v>
      </c>
      <c r="G62">
        <f>Lookup!L65</f>
        <v>5719000000</v>
      </c>
      <c r="H62">
        <f>Lookup!M65</f>
        <v>2705000000</v>
      </c>
      <c r="I62">
        <f>Lookup!N65</f>
        <v>-101000000</v>
      </c>
      <c r="J62">
        <f>Lookup!O65</f>
        <v>2960000000</v>
      </c>
      <c r="K62">
        <f>Lookup!P65</f>
        <v>2438000000</v>
      </c>
      <c r="L62">
        <f>Lookup!Q65</f>
        <v>-48000000</v>
      </c>
      <c r="M62">
        <f>Lookup!R65</f>
        <v>1160000000</v>
      </c>
      <c r="N62">
        <f>Lookup!S65</f>
        <v>555000000</v>
      </c>
      <c r="O62">
        <f>Lookup!T65</f>
        <v>1443000000</v>
      </c>
      <c r="P62">
        <f>Lookup!U65</f>
        <v>0</v>
      </c>
      <c r="Q62">
        <f>Lookup!V65</f>
        <v>1260000000</v>
      </c>
      <c r="R62">
        <f>Lookup!W65</f>
        <v>0</v>
      </c>
      <c r="S62">
        <f>Lookup!X65</f>
        <v>1851000000</v>
      </c>
      <c r="T62">
        <f>Lookup!Y65</f>
        <v>0</v>
      </c>
      <c r="U62">
        <f>Lookup!Z65</f>
        <v>0</v>
      </c>
      <c r="V62">
        <f>Lookup!AA65</f>
        <v>0</v>
      </c>
      <c r="W62">
        <f>Lookup!AB65</f>
        <v>0</v>
      </c>
      <c r="X62">
        <f>Lookup!AC65</f>
        <v>0.23499999999999999</v>
      </c>
      <c r="Y62">
        <f>Lookup!AD65</f>
        <v>0.18</v>
      </c>
      <c r="Z62" t="str">
        <f t="shared" ca="1" si="2"/>
        <v>KO_INC-ST_QRTLY.xlsx</v>
      </c>
      <c r="AA62" t="str">
        <f t="shared" ca="1" si="1"/>
        <v>KO_INC-ST_QR-001</v>
      </c>
      <c r="AB62" s="16">
        <f t="shared" ca="1" si="3"/>
        <v>46088.824799074071</v>
      </c>
    </row>
    <row r="63" spans="1:28" x14ac:dyDescent="0.25">
      <c r="A63" t="str">
        <f>Lookup!F66</f>
        <v>KO</v>
      </c>
      <c r="B63" s="14">
        <f ca="1">Lookup!G66</f>
        <v>46088</v>
      </c>
      <c r="C63">
        <f>Lookup!H66</f>
        <v>2010</v>
      </c>
      <c r="D63" t="str">
        <f>Lookup!I66</f>
        <v>Q3</v>
      </c>
      <c r="E63">
        <f>Lookup!J66</f>
        <v>8426000000</v>
      </c>
      <c r="F63">
        <f>Lookup!K66</f>
        <v>2955000000</v>
      </c>
      <c r="G63">
        <f>Lookup!L66</f>
        <v>4984000000</v>
      </c>
      <c r="H63">
        <f>Lookup!M66</f>
        <v>2978000000</v>
      </c>
      <c r="I63">
        <f>Lookup!N66</f>
        <v>-48000000</v>
      </c>
      <c r="J63">
        <f>Lookup!O66</f>
        <v>2916000000</v>
      </c>
      <c r="K63">
        <f>Lookup!P66</f>
        <v>1863000000</v>
      </c>
      <c r="L63">
        <f>Lookup!Q66</f>
        <v>-546000000</v>
      </c>
      <c r="M63">
        <f>Lookup!R66</f>
        <v>2470000000</v>
      </c>
      <c r="N63">
        <f>Lookup!S66</f>
        <v>474000000</v>
      </c>
      <c r="O63">
        <f>Lookup!T66</f>
        <v>1511000000</v>
      </c>
      <c r="P63">
        <f>Lookup!U66</f>
        <v>0</v>
      </c>
      <c r="Q63">
        <f>Lookup!V66</f>
        <v>1654000000</v>
      </c>
      <c r="R63">
        <f>Lookup!W66</f>
        <v>0</v>
      </c>
      <c r="S63">
        <f>Lookup!X66</f>
        <v>1262000000</v>
      </c>
      <c r="T63">
        <f>Lookup!Y66</f>
        <v>0</v>
      </c>
      <c r="U63">
        <f>Lookup!Z66</f>
        <v>0</v>
      </c>
      <c r="V63">
        <f>Lookup!AA66</f>
        <v>0</v>
      </c>
      <c r="W63">
        <f>Lookup!AB66</f>
        <v>0</v>
      </c>
      <c r="X63">
        <f>Lookup!AC66</f>
        <v>0.18</v>
      </c>
      <c r="Y63">
        <f>Lookup!AD66</f>
        <v>0.27</v>
      </c>
      <c r="Z63" t="str">
        <f t="shared" ca="1" si="2"/>
        <v>KO_INC-ST_QRTLY.xlsx</v>
      </c>
      <c r="AA63" t="str">
        <f t="shared" ca="1" si="1"/>
        <v>KO_INC-ST_QR-001</v>
      </c>
      <c r="AB63" s="16">
        <f t="shared" ca="1" si="3"/>
        <v>46088.824799074071</v>
      </c>
    </row>
    <row r="64" spans="1:28" x14ac:dyDescent="0.25">
      <c r="A64" t="str">
        <f>Lookup!F67</f>
        <v>KO</v>
      </c>
      <c r="B64" s="14">
        <f ca="1">Lookup!G67</f>
        <v>46088</v>
      </c>
      <c r="C64">
        <f>Lookup!H67</f>
        <v>2010</v>
      </c>
      <c r="D64" t="str">
        <f>Lookup!I67</f>
        <v>Q2</v>
      </c>
      <c r="E64">
        <f>Lookup!J67</f>
        <v>8674000000</v>
      </c>
      <c r="F64">
        <f>Lookup!K67</f>
        <v>2541000000</v>
      </c>
      <c r="G64">
        <f>Lookup!L67</f>
        <v>4859000000</v>
      </c>
      <c r="H64">
        <f>Lookup!M67</f>
        <v>2912000000</v>
      </c>
      <c r="I64">
        <f>Lookup!N67</f>
        <v>-72000000</v>
      </c>
      <c r="J64">
        <f>Lookup!O67</f>
        <v>2716000000</v>
      </c>
      <c r="K64">
        <f>Lookup!P67</f>
        <v>1706000000</v>
      </c>
      <c r="L64">
        <f>Lookup!Q67</f>
        <v>283000000</v>
      </c>
      <c r="M64">
        <f>Lookup!R67</f>
        <v>1917000000</v>
      </c>
      <c r="N64">
        <f>Lookup!S67</f>
        <v>448000000</v>
      </c>
      <c r="O64">
        <f>Lookup!T67</f>
        <v>1260000000</v>
      </c>
      <c r="P64">
        <f>Lookup!U67</f>
        <v>0</v>
      </c>
      <c r="Q64">
        <f>Lookup!V67</f>
        <v>1851000000</v>
      </c>
      <c r="R64">
        <f>Lookup!W67</f>
        <v>0</v>
      </c>
      <c r="S64">
        <f>Lookup!X67</f>
        <v>678000000</v>
      </c>
      <c r="T64">
        <f>Lookup!Y67</f>
        <v>0</v>
      </c>
      <c r="U64">
        <f>Lookup!Z67</f>
        <v>0</v>
      </c>
      <c r="V64">
        <f>Lookup!AA67</f>
        <v>0</v>
      </c>
      <c r="W64">
        <f>Lookup!AB67</f>
        <v>0</v>
      </c>
      <c r="X64">
        <f>Lookup!AC67</f>
        <v>0.27</v>
      </c>
      <c r="Y64">
        <f>Lookup!AD67</f>
        <v>0.36</v>
      </c>
      <c r="Z64" t="str">
        <f t="shared" ca="1" si="2"/>
        <v>KO_INC-ST_QRTLY.xlsx</v>
      </c>
      <c r="AA64" t="str">
        <f t="shared" ca="1" si="1"/>
        <v>KO_INC-ST_QR-001</v>
      </c>
      <c r="AB64" s="16">
        <f t="shared" ca="1" si="3"/>
        <v>46088.824799074071</v>
      </c>
    </row>
    <row r="65" spans="1:28" x14ac:dyDescent="0.25">
      <c r="A65" t="str">
        <f>Lookup!F68</f>
        <v>KO</v>
      </c>
      <c r="B65" s="14">
        <f ca="1">Lookup!G68</f>
        <v>46088</v>
      </c>
      <c r="C65">
        <f>Lookup!H68</f>
        <v>2010</v>
      </c>
      <c r="D65" t="str">
        <f>Lookup!I68</f>
        <v>Q1</v>
      </c>
      <c r="E65">
        <f>Lookup!J68</f>
        <v>7525000000</v>
      </c>
      <c r="F65">
        <f>Lookup!K68</f>
        <v>2651000000</v>
      </c>
      <c r="G65">
        <f>Lookup!L68</f>
        <v>5110000000</v>
      </c>
      <c r="H65">
        <f>Lookup!M68</f>
        <v>2844000000</v>
      </c>
      <c r="I65">
        <f>Lookup!N68</f>
        <v>-92000000</v>
      </c>
      <c r="J65">
        <f>Lookup!O68</f>
        <v>2852000000</v>
      </c>
      <c r="K65">
        <f>Lookup!P68</f>
        <v>2187000000</v>
      </c>
      <c r="L65">
        <f>Lookup!Q68</f>
        <v>-762000000</v>
      </c>
      <c r="M65">
        <f>Lookup!R68</f>
        <v>1959000000</v>
      </c>
      <c r="N65">
        <f>Lookup!S68</f>
        <v>409000000</v>
      </c>
      <c r="O65">
        <f>Lookup!T68</f>
        <v>1654000000</v>
      </c>
      <c r="P65">
        <f>Lookup!U68</f>
        <v>0</v>
      </c>
      <c r="Q65">
        <f>Lookup!V68</f>
        <v>1262000000</v>
      </c>
      <c r="R65">
        <f>Lookup!W68</f>
        <v>0</v>
      </c>
      <c r="S65">
        <f>Lookup!X68</f>
        <v>1460000000</v>
      </c>
      <c r="T65">
        <f>Lookup!Y68</f>
        <v>0</v>
      </c>
      <c r="U65">
        <f>Lookup!Z68</f>
        <v>0</v>
      </c>
      <c r="V65">
        <f>Lookup!AA68</f>
        <v>0</v>
      </c>
      <c r="W65">
        <f>Lookup!AB68</f>
        <v>0</v>
      </c>
      <c r="X65">
        <f>Lookup!AC68</f>
        <v>0.36</v>
      </c>
      <c r="Y65">
        <f>Lookup!AD68</f>
        <v>0.21</v>
      </c>
      <c r="Z65" t="str">
        <f t="shared" ca="1" si="2"/>
        <v>KO_INC-ST_QRTLY.xlsx</v>
      </c>
      <c r="AA65" t="str">
        <f t="shared" ca="1" si="1"/>
        <v>KO_INC-ST_QR-001</v>
      </c>
      <c r="AB65" s="16">
        <f t="shared" ca="1" si="3"/>
        <v>46088.824799074071</v>
      </c>
    </row>
    <row r="66" spans="1:28" x14ac:dyDescent="0.25">
      <c r="A66" t="str">
        <f>Lookup!F69</f>
        <v>KO</v>
      </c>
      <c r="B66" s="14">
        <f ca="1">Lookup!G69</f>
        <v>46088</v>
      </c>
      <c r="C66">
        <f>Lookup!H69</f>
        <v>2009</v>
      </c>
      <c r="D66" t="str">
        <f>Lookup!I69</f>
        <v>Q4</v>
      </c>
      <c r="E66">
        <f>Lookup!J69</f>
        <v>7510000000</v>
      </c>
      <c r="F66">
        <f>Lookup!K69</f>
        <v>2934000000</v>
      </c>
      <c r="G66">
        <f>Lookup!L69</f>
        <v>5354000000</v>
      </c>
      <c r="H66">
        <f>Lookup!M69</f>
        <v>2624000000</v>
      </c>
      <c r="I66">
        <f>Lookup!N69</f>
        <v>-108000000</v>
      </c>
      <c r="J66">
        <f>Lookup!O69</f>
        <v>3186000000</v>
      </c>
      <c r="K66">
        <f>Lookup!P69</f>
        <v>2679000000</v>
      </c>
      <c r="L66">
        <f>Lookup!Q69</f>
        <v>85000000</v>
      </c>
      <c r="M66">
        <f>Lookup!R69</f>
        <v>1669000000</v>
      </c>
      <c r="N66">
        <f>Lookup!S69</f>
        <v>459000000</v>
      </c>
      <c r="O66">
        <f>Lookup!T69</f>
        <v>1851000000</v>
      </c>
      <c r="P66">
        <f>Lookup!U69</f>
        <v>0</v>
      </c>
      <c r="Q66">
        <f>Lookup!V69</f>
        <v>678000000</v>
      </c>
      <c r="R66">
        <f>Lookup!W69</f>
        <v>0</v>
      </c>
      <c r="S66">
        <f>Lookup!X69</f>
        <v>1836000000</v>
      </c>
      <c r="T66">
        <f>Lookup!Y69</f>
        <v>0</v>
      </c>
      <c r="U66">
        <f>Lookup!Z69</f>
        <v>0</v>
      </c>
      <c r="V66">
        <f>Lookup!AA69</f>
        <v>0</v>
      </c>
      <c r="W66">
        <f>Lookup!AB69</f>
        <v>0</v>
      </c>
      <c r="X66">
        <f>Lookup!AC69</f>
        <v>0.21</v>
      </c>
      <c r="Y66">
        <f>Lookup!AD69</f>
        <v>0.25</v>
      </c>
      <c r="Z66" t="str">
        <f t="shared" ca="1" si="2"/>
        <v>KO_INC-ST_QRTLY.xlsx</v>
      </c>
      <c r="AA66" t="str">
        <f t="shared" ca="1" si="1"/>
        <v>KO_INC-ST_QR-001</v>
      </c>
      <c r="AB66" s="16">
        <f t="shared" ca="1" si="3"/>
        <v>46088.824799074071</v>
      </c>
    </row>
    <row r="67" spans="1:28" x14ac:dyDescent="0.25">
      <c r="A67" t="str">
        <f>Lookup!F70</f>
        <v>KO</v>
      </c>
      <c r="B67" s="14">
        <f ca="1">Lookup!G70</f>
        <v>46088</v>
      </c>
      <c r="C67">
        <f>Lookup!H70</f>
        <v>2009</v>
      </c>
      <c r="D67" t="str">
        <f>Lookup!I70</f>
        <v>Q3</v>
      </c>
      <c r="E67">
        <f>Lookup!J70</f>
        <v>8044000000</v>
      </c>
      <c r="F67">
        <f>Lookup!K70</f>
        <v>2913000000</v>
      </c>
      <c r="G67">
        <f>Lookup!L70</f>
        <v>4579000000</v>
      </c>
      <c r="H67">
        <f>Lookup!M70</f>
        <v>2744000000</v>
      </c>
      <c r="I67">
        <f>Lookup!N70</f>
        <v>-47000000</v>
      </c>
      <c r="J67">
        <f>Lookup!O70</f>
        <v>3205000000</v>
      </c>
      <c r="K67">
        <f>Lookup!P70</f>
        <v>1874000000</v>
      </c>
      <c r="L67">
        <f>Lookup!Q70</f>
        <v>143000000</v>
      </c>
      <c r="M67">
        <f>Lookup!R70</f>
        <v>2113000000</v>
      </c>
      <c r="N67">
        <f>Lookup!S70</f>
        <v>557000000</v>
      </c>
      <c r="O67">
        <f>Lookup!T70</f>
        <v>1262000000</v>
      </c>
      <c r="P67">
        <f>Lookup!U70</f>
        <v>0</v>
      </c>
      <c r="Q67">
        <f>Lookup!V70</f>
        <v>1460000000</v>
      </c>
      <c r="R67">
        <f>Lookup!W70</f>
        <v>0</v>
      </c>
      <c r="S67">
        <f>Lookup!X70</f>
        <v>1106000000</v>
      </c>
      <c r="T67">
        <f>Lookup!Y70</f>
        <v>0</v>
      </c>
      <c r="U67">
        <f>Lookup!Z70</f>
        <v>0</v>
      </c>
      <c r="V67">
        <f>Lookup!AA70</f>
        <v>0</v>
      </c>
      <c r="W67">
        <f>Lookup!AB70</f>
        <v>0</v>
      </c>
      <c r="X67">
        <f>Lookup!AC70</f>
        <v>0.25</v>
      </c>
      <c r="Y67">
        <f>Lookup!AD70</f>
        <v>0.19500000000000001</v>
      </c>
      <c r="Z67" t="str">
        <f t="shared" ca="1" si="2"/>
        <v>KO_INC-ST_QRTLY.xlsx</v>
      </c>
      <c r="AA67" t="str">
        <f t="shared" ref="AA67:AA130" ca="1" si="4">_xlfn.CONCAT(LEFT(Z67,12),"-001")</f>
        <v>KO_INC-ST_QR-001</v>
      </c>
      <c r="AB67" s="16">
        <f t="shared" ca="1" si="3"/>
        <v>46088.824799074071</v>
      </c>
    </row>
    <row r="68" spans="1:28" x14ac:dyDescent="0.25">
      <c r="A68" t="str">
        <f>Lookup!F71</f>
        <v>KO</v>
      </c>
      <c r="B68" s="14">
        <f ca="1">Lookup!G71</f>
        <v>46088</v>
      </c>
      <c r="C68">
        <f>Lookup!H71</f>
        <v>2009</v>
      </c>
      <c r="D68" t="str">
        <f>Lookup!I71</f>
        <v>Q2</v>
      </c>
      <c r="E68">
        <f>Lookup!J71</f>
        <v>8267000000</v>
      </c>
      <c r="F68">
        <f>Lookup!K71</f>
        <v>2590000000</v>
      </c>
      <c r="G68">
        <f>Lookup!L71</f>
        <v>4558000000</v>
      </c>
      <c r="H68">
        <f>Lookup!M71</f>
        <v>3139000000</v>
      </c>
      <c r="I68">
        <f>Lookup!N71</f>
        <v>-110000000</v>
      </c>
      <c r="J68">
        <f>Lookup!O71</f>
        <v>2881000000</v>
      </c>
      <c r="K68">
        <f>Lookup!P71</f>
        <v>1526000000</v>
      </c>
      <c r="L68">
        <f>Lookup!Q71</f>
        <v>284000000</v>
      </c>
      <c r="M68">
        <f>Lookup!R71</f>
        <v>2408000000</v>
      </c>
      <c r="N68">
        <f>Lookup!S71</f>
        <v>467000000</v>
      </c>
      <c r="O68">
        <f>Lookup!T71</f>
        <v>678000000</v>
      </c>
      <c r="P68">
        <f>Lookup!U71</f>
        <v>0</v>
      </c>
      <c r="Q68">
        <f>Lookup!V71</f>
        <v>1836000000</v>
      </c>
      <c r="R68">
        <f>Lookup!W71</f>
        <v>0</v>
      </c>
      <c r="S68">
        <f>Lookup!X71</f>
        <v>864000000</v>
      </c>
      <c r="T68">
        <f>Lookup!Y71</f>
        <v>0</v>
      </c>
      <c r="U68">
        <f>Lookup!Z71</f>
        <v>0</v>
      </c>
      <c r="V68">
        <f>Lookup!AA71</f>
        <v>0</v>
      </c>
      <c r="W68">
        <f>Lookup!AB71</f>
        <v>0</v>
      </c>
      <c r="X68">
        <f>Lookup!AC71</f>
        <v>0.19500000000000001</v>
      </c>
      <c r="Y68">
        <f>Lookup!AD71</f>
        <v>0.32500000000000001</v>
      </c>
      <c r="Z68" t="str">
        <f t="shared" ref="Z68:Z131" ca="1" si="5">$Z$2</f>
        <v>KO_INC-ST_QRTLY.xlsx</v>
      </c>
      <c r="AA68" t="str">
        <f t="shared" ca="1" si="4"/>
        <v>KO_INC-ST_QR-001</v>
      </c>
      <c r="AB68" s="16">
        <f t="shared" ca="1" si="3"/>
        <v>46088.824799074071</v>
      </c>
    </row>
    <row r="69" spans="1:28" x14ac:dyDescent="0.25">
      <c r="A69" t="str">
        <f>Lookup!F72</f>
        <v>KO</v>
      </c>
      <c r="B69" s="14">
        <f ca="1">Lookup!G72</f>
        <v>46088</v>
      </c>
      <c r="C69">
        <f>Lookup!H72</f>
        <v>2009</v>
      </c>
      <c r="D69" t="str">
        <f>Lookup!I72</f>
        <v>Q1</v>
      </c>
      <c r="E69">
        <f>Lookup!J72</f>
        <v>7169000000</v>
      </c>
      <c r="F69">
        <f>Lookup!K72</f>
        <v>2568000000</v>
      </c>
      <c r="G69">
        <f>Lookup!L72</f>
        <v>5373000000</v>
      </c>
      <c r="H69">
        <f>Lookup!M72</f>
        <v>3095000000</v>
      </c>
      <c r="I69">
        <f>Lookup!N72</f>
        <v>-85000000</v>
      </c>
      <c r="J69">
        <f>Lookup!O72</f>
        <v>3164000000</v>
      </c>
      <c r="K69">
        <f>Lookup!P72</f>
        <v>1829000000</v>
      </c>
      <c r="L69">
        <f>Lookup!Q72</f>
        <v>138000000</v>
      </c>
      <c r="M69">
        <f>Lookup!R72</f>
        <v>1729000000</v>
      </c>
      <c r="N69">
        <f>Lookup!S72</f>
        <v>208000000</v>
      </c>
      <c r="O69">
        <f>Lookup!T72</f>
        <v>1460000000</v>
      </c>
      <c r="P69">
        <f>Lookup!U72</f>
        <v>0</v>
      </c>
      <c r="Q69">
        <f>Lookup!V72</f>
        <v>1106000000</v>
      </c>
      <c r="R69">
        <f>Lookup!W72</f>
        <v>0</v>
      </c>
      <c r="S69">
        <f>Lookup!X72</f>
        <v>1283000000</v>
      </c>
      <c r="T69">
        <f>Lookup!Y72</f>
        <v>0</v>
      </c>
      <c r="U69">
        <f>Lookup!Z72</f>
        <v>0</v>
      </c>
      <c r="V69">
        <f>Lookup!AA72</f>
        <v>0</v>
      </c>
      <c r="W69">
        <f>Lookup!AB72</f>
        <v>0</v>
      </c>
      <c r="X69">
        <f>Lookup!AC72</f>
        <v>0.32500000000000001</v>
      </c>
      <c r="Y69">
        <f>Lookup!AD72</f>
        <v>0.23</v>
      </c>
      <c r="Z69" t="str">
        <f t="shared" ca="1" si="5"/>
        <v>KO_INC-ST_QRTLY.xlsx</v>
      </c>
      <c r="AA69" t="str">
        <f t="shared" ca="1" si="4"/>
        <v>KO_INC-ST_QR-001</v>
      </c>
      <c r="AB69" s="16">
        <f t="shared" ca="1" si="3"/>
        <v>46088.824799074071</v>
      </c>
    </row>
    <row r="70" spans="1:28" x14ac:dyDescent="0.25">
      <c r="A70" t="str">
        <f>Lookup!F73</f>
        <v>KO</v>
      </c>
      <c r="B70" s="14">
        <f ca="1">Lookup!G73</f>
        <v>46088</v>
      </c>
      <c r="C70">
        <f>Lookup!H73</f>
        <v>2008</v>
      </c>
      <c r="D70" t="str">
        <f>Lookup!I73</f>
        <v>Q4</v>
      </c>
      <c r="E70">
        <f>Lookup!J73</f>
        <v>7126000000</v>
      </c>
      <c r="F70">
        <f>Lookup!K73</f>
        <v>3020000000</v>
      </c>
      <c r="G70">
        <f>Lookup!L73</f>
        <v>5884000000</v>
      </c>
      <c r="H70">
        <f>Lookup!M73</f>
        <v>2796000000</v>
      </c>
      <c r="I70">
        <f>Lookup!N73</f>
        <v>-125000000</v>
      </c>
      <c r="J70">
        <f>Lookup!O73</f>
        <v>2977000000</v>
      </c>
      <c r="K70">
        <f>Lookup!P73</f>
        <v>2270000000</v>
      </c>
      <c r="L70">
        <f>Lookup!Q73</f>
        <v>102000000</v>
      </c>
      <c r="M70">
        <f>Lookup!R73</f>
        <v>886000000</v>
      </c>
      <c r="N70">
        <f>Lookup!S73</f>
        <v>366000000</v>
      </c>
      <c r="O70">
        <f>Lookup!T73</f>
        <v>1836000000</v>
      </c>
      <c r="P70">
        <f>Lookup!U73</f>
        <v>0</v>
      </c>
      <c r="Q70">
        <f>Lookup!V73</f>
        <v>864000000</v>
      </c>
      <c r="R70">
        <f>Lookup!W73</f>
        <v>0</v>
      </c>
      <c r="S70">
        <f>Lookup!X73</f>
        <v>1723000000</v>
      </c>
      <c r="T70">
        <f>Lookup!Y73</f>
        <v>0</v>
      </c>
      <c r="U70">
        <f>Lookup!Z73</f>
        <v>0</v>
      </c>
      <c r="V70">
        <f>Lookup!AA73</f>
        <v>0</v>
      </c>
      <c r="W70">
        <f>Lookup!AB73</f>
        <v>0</v>
      </c>
      <c r="X70">
        <f>Lookup!AC73</f>
        <v>0.23</v>
      </c>
      <c r="Y70">
        <f>Lookup!AD73</f>
        <v>0.19</v>
      </c>
      <c r="Z70" t="str">
        <f t="shared" ca="1" si="5"/>
        <v>KO_INC-ST_QRTLY.xlsx</v>
      </c>
      <c r="AA70" t="str">
        <f t="shared" ca="1" si="4"/>
        <v>KO_INC-ST_QR-001</v>
      </c>
      <c r="AB70" s="16">
        <f t="shared" ca="1" si="3"/>
        <v>46088.824799074071</v>
      </c>
    </row>
    <row r="71" spans="1:28" x14ac:dyDescent="0.25">
      <c r="A71" t="str">
        <f>Lookup!F74</f>
        <v>KO</v>
      </c>
      <c r="B71" s="14">
        <f ca="1">Lookup!G74</f>
        <v>46088</v>
      </c>
      <c r="C71">
        <f>Lookup!H74</f>
        <v>2008</v>
      </c>
      <c r="D71" t="str">
        <f>Lookup!I74</f>
        <v>Q3</v>
      </c>
      <c r="E71">
        <f>Lookup!J74</f>
        <v>8393000000</v>
      </c>
      <c r="F71">
        <f>Lookup!K74</f>
        <v>3162000000</v>
      </c>
      <c r="G71">
        <f>Lookup!L74</f>
        <v>4755000000</v>
      </c>
      <c r="H71">
        <f>Lookup!M74</f>
        <v>3039000000</v>
      </c>
      <c r="I71">
        <f>Lookup!N74</f>
        <v>-81000000</v>
      </c>
      <c r="J71">
        <f>Lookup!O74</f>
        <v>2727000000</v>
      </c>
      <c r="K71">
        <f>Lookup!P74</f>
        <v>1627000000</v>
      </c>
      <c r="L71">
        <f>Lookup!Q74</f>
        <v>-326000000</v>
      </c>
      <c r="M71">
        <f>Lookup!R74</f>
        <v>1826000000</v>
      </c>
      <c r="N71">
        <f>Lookup!S74</f>
        <v>555000000</v>
      </c>
      <c r="O71">
        <f>Lookup!T74</f>
        <v>1106000000</v>
      </c>
      <c r="P71">
        <f>Lookup!U74</f>
        <v>0</v>
      </c>
      <c r="Q71">
        <f>Lookup!V74</f>
        <v>1283000000</v>
      </c>
      <c r="R71">
        <f>Lookup!W74</f>
        <v>0</v>
      </c>
      <c r="S71">
        <f>Lookup!X74</f>
        <v>1002000000</v>
      </c>
      <c r="T71">
        <f>Lookup!Y74</f>
        <v>0</v>
      </c>
      <c r="U71">
        <f>Lookup!Z74</f>
        <v>0</v>
      </c>
      <c r="V71">
        <f>Lookup!AA74</f>
        <v>0</v>
      </c>
      <c r="W71">
        <f>Lookup!AB74</f>
        <v>0</v>
      </c>
      <c r="X71">
        <f>Lookup!AC74</f>
        <v>0.19</v>
      </c>
      <c r="Y71">
        <f>Lookup!AD74</f>
        <v>0.25</v>
      </c>
      <c r="Z71" t="str">
        <f t="shared" ca="1" si="5"/>
        <v>KO_INC-ST_QRTLY.xlsx</v>
      </c>
      <c r="AA71" t="str">
        <f t="shared" ca="1" si="4"/>
        <v>KO_INC-ST_QR-001</v>
      </c>
      <c r="AB71" s="16">
        <f t="shared" ca="1" si="3"/>
        <v>46088.824799074071</v>
      </c>
    </row>
    <row r="72" spans="1:28" x14ac:dyDescent="0.25">
      <c r="A72" t="str">
        <f>Lookup!F75</f>
        <v>KO</v>
      </c>
      <c r="B72" s="14">
        <f ca="1">Lookup!G75</f>
        <v>46088</v>
      </c>
      <c r="C72">
        <f>Lookup!H75</f>
        <v>2008</v>
      </c>
      <c r="D72" t="str">
        <f>Lookup!I75</f>
        <v>Q2</v>
      </c>
      <c r="E72">
        <f>Lookup!J75</f>
        <v>9046000000</v>
      </c>
      <c r="F72">
        <f>Lookup!K75</f>
        <v>2624000000</v>
      </c>
      <c r="G72">
        <f>Lookup!L75</f>
        <v>4690000000</v>
      </c>
      <c r="H72">
        <f>Lookup!M75</f>
        <v>2896000000</v>
      </c>
      <c r="I72">
        <f>Lookup!N75</f>
        <v>-42000000</v>
      </c>
      <c r="J72">
        <f>Lookup!O75</f>
        <v>2331000000</v>
      </c>
      <c r="K72">
        <f>Lookup!P75</f>
        <v>1212000000</v>
      </c>
      <c r="L72">
        <f>Lookup!Q75</f>
        <v>164000000</v>
      </c>
      <c r="M72">
        <f>Lookup!R75</f>
        <v>2391000000</v>
      </c>
      <c r="N72">
        <f>Lookup!S75</f>
        <v>369000000</v>
      </c>
      <c r="O72">
        <f>Lookup!T75</f>
        <v>864000000</v>
      </c>
      <c r="P72">
        <f>Lookup!U75</f>
        <v>0</v>
      </c>
      <c r="Q72">
        <f>Lookup!V75</f>
        <v>1723000000</v>
      </c>
      <c r="R72">
        <f>Lookup!W75</f>
        <v>0</v>
      </c>
      <c r="S72">
        <f>Lookup!X75</f>
        <v>1201000000</v>
      </c>
      <c r="T72">
        <f>Lookup!Y75</f>
        <v>0</v>
      </c>
      <c r="U72">
        <f>Lookup!Z75</f>
        <v>0</v>
      </c>
      <c r="V72">
        <f>Lookup!AA75</f>
        <v>0</v>
      </c>
      <c r="W72">
        <f>Lookup!AB75</f>
        <v>0</v>
      </c>
      <c r="X72">
        <f>Lookup!AC75</f>
        <v>0.25</v>
      </c>
      <c r="Y72">
        <f>Lookup!AD75</f>
        <v>0.27500000000000002</v>
      </c>
      <c r="Z72" t="str">
        <f t="shared" ca="1" si="5"/>
        <v>KO_INC-ST_QRTLY.xlsx</v>
      </c>
      <c r="AA72" t="str">
        <f t="shared" ca="1" si="4"/>
        <v>KO_INC-ST_QR-001</v>
      </c>
      <c r="AB72" s="16">
        <f t="shared" ca="1" si="3"/>
        <v>46088.824799074071</v>
      </c>
    </row>
    <row r="73" spans="1:28" x14ac:dyDescent="0.25">
      <c r="A73" t="str">
        <f>Lookup!F76</f>
        <v>KO</v>
      </c>
      <c r="B73" s="14">
        <f ca="1">Lookup!G76</f>
        <v>46088</v>
      </c>
      <c r="C73">
        <f>Lookup!H76</f>
        <v>2008</v>
      </c>
      <c r="D73" t="str">
        <f>Lookup!I76</f>
        <v>Q1</v>
      </c>
      <c r="E73">
        <f>Lookup!J76</f>
        <v>7379000000</v>
      </c>
      <c r="F73">
        <f>Lookup!K76</f>
        <v>2641000000</v>
      </c>
      <c r="G73">
        <f>Lookup!L76</f>
        <v>4806000000</v>
      </c>
      <c r="H73">
        <f>Lookup!M76</f>
        <v>2685000000</v>
      </c>
      <c r="I73">
        <f>Lookup!N76</f>
        <v>-6000000</v>
      </c>
      <c r="J73">
        <f>Lookup!O76</f>
        <v>2657000000</v>
      </c>
      <c r="K73">
        <f>Lookup!P76</f>
        <v>1662000000</v>
      </c>
      <c r="L73">
        <f>Lookup!Q76</f>
        <v>352000000</v>
      </c>
      <c r="M73">
        <f>Lookup!R76</f>
        <v>1475000000</v>
      </c>
      <c r="N73">
        <f>Lookup!S76</f>
        <v>509000000</v>
      </c>
      <c r="O73">
        <f>Lookup!T76</f>
        <v>1283000000</v>
      </c>
      <c r="P73">
        <f>Lookup!U76</f>
        <v>0</v>
      </c>
      <c r="Q73">
        <f>Lookup!V76</f>
        <v>1002000000</v>
      </c>
      <c r="R73">
        <f>Lookup!W76</f>
        <v>0</v>
      </c>
      <c r="S73">
        <f>Lookup!X76</f>
        <v>935000000</v>
      </c>
      <c r="T73">
        <f>Lookup!Y76</f>
        <v>0</v>
      </c>
      <c r="U73">
        <f>Lookup!Z76</f>
        <v>0</v>
      </c>
      <c r="V73">
        <f>Lookup!AA76</f>
        <v>0</v>
      </c>
      <c r="W73">
        <f>Lookup!AB76</f>
        <v>0</v>
      </c>
      <c r="X73">
        <f>Lookup!AC76</f>
        <v>0.27500000000000002</v>
      </c>
      <c r="Y73">
        <f>Lookup!AD76</f>
        <v>0.17</v>
      </c>
      <c r="Z73" t="str">
        <f t="shared" ca="1" si="5"/>
        <v>KO_INC-ST_QRTLY.xlsx</v>
      </c>
      <c r="AA73" t="str">
        <f t="shared" ca="1" si="4"/>
        <v>KO_INC-ST_QR-001</v>
      </c>
      <c r="AB73" s="16">
        <f t="shared" ca="1" si="3"/>
        <v>46088.824799074071</v>
      </c>
    </row>
    <row r="74" spans="1:28" x14ac:dyDescent="0.25">
      <c r="A74" t="str">
        <f>Lookup!F77</f>
        <v>KO</v>
      </c>
      <c r="B74" s="14">
        <f ca="1">Lookup!G77</f>
        <v>46088</v>
      </c>
      <c r="C74">
        <f>Lookup!H77</f>
        <v>2007</v>
      </c>
      <c r="D74" t="str">
        <f>Lookup!I77</f>
        <v>Q4</v>
      </c>
      <c r="E74">
        <f>Lookup!J77</f>
        <v>7331000000</v>
      </c>
      <c r="F74">
        <f>Lookup!K77</f>
        <v>2884000000</v>
      </c>
      <c r="G74">
        <f>Lookup!L77</f>
        <v>4997000000</v>
      </c>
      <c r="H74">
        <f>Lookup!M77</f>
        <v>2325000000</v>
      </c>
      <c r="I74">
        <f>Lookup!N77</f>
        <v>-70000000</v>
      </c>
      <c r="J74">
        <f>Lookup!O77</f>
        <v>2527000000</v>
      </c>
      <c r="K74">
        <f>Lookup!P77</f>
        <v>2039000000</v>
      </c>
      <c r="L74">
        <f>Lookup!Q77</f>
        <v>80000000</v>
      </c>
      <c r="M74">
        <f>Lookup!R77</f>
        <v>1373000000</v>
      </c>
      <c r="N74">
        <f>Lookup!S77</f>
        <v>370000000</v>
      </c>
      <c r="O74">
        <f>Lookup!T77</f>
        <v>1723000000</v>
      </c>
      <c r="P74">
        <f>Lookup!U77</f>
        <v>0</v>
      </c>
      <c r="Q74">
        <f>Lookup!V77</f>
        <v>1201000000</v>
      </c>
      <c r="R74">
        <f>Lookup!W77</f>
        <v>0</v>
      </c>
      <c r="S74">
        <f>Lookup!X77</f>
        <v>1584000000</v>
      </c>
      <c r="T74">
        <f>Lookup!Y77</f>
        <v>0</v>
      </c>
      <c r="U74">
        <f>Lookup!Z77</f>
        <v>0</v>
      </c>
      <c r="V74">
        <f>Lookup!AA77</f>
        <v>0</v>
      </c>
      <c r="W74">
        <f>Lookup!AB77</f>
        <v>0</v>
      </c>
      <c r="X74">
        <f>Lookup!AC77</f>
        <v>0.17</v>
      </c>
      <c r="Y74">
        <f>Lookup!AD77</f>
        <v>0.19</v>
      </c>
      <c r="Z74" t="str">
        <f t="shared" ca="1" si="5"/>
        <v>KO_INC-ST_QRTLY.xlsx</v>
      </c>
      <c r="AA74" t="str">
        <f t="shared" ca="1" si="4"/>
        <v>KO_INC-ST_QR-001</v>
      </c>
      <c r="AB74" s="16">
        <f t="shared" ref="AB74:AB137" ca="1" si="6">NOW()</f>
        <v>46088.824799074071</v>
      </c>
    </row>
    <row r="75" spans="1:28" x14ac:dyDescent="0.25">
      <c r="A75" t="str">
        <f>Lookup!F78</f>
        <v>KO</v>
      </c>
      <c r="B75" s="14">
        <f ca="1">Lookup!G78</f>
        <v>46088</v>
      </c>
      <c r="C75">
        <f>Lookup!H78</f>
        <v>2007</v>
      </c>
      <c r="D75" t="str">
        <f>Lookup!I78</f>
        <v>Q3</v>
      </c>
      <c r="E75">
        <f>Lookup!J78</f>
        <v>7690000000</v>
      </c>
      <c r="F75">
        <f>Lookup!K78</f>
        <v>2736000000</v>
      </c>
      <c r="G75">
        <f>Lookup!L78</f>
        <v>3958000000</v>
      </c>
      <c r="H75">
        <f>Lookup!M78</f>
        <v>2587000000</v>
      </c>
      <c r="I75">
        <f>Lookup!N78</f>
        <v>-39000000</v>
      </c>
      <c r="J75">
        <f>Lookup!O78</f>
        <v>2327000000</v>
      </c>
      <c r="K75">
        <f>Lookup!P78</f>
        <v>1395000000</v>
      </c>
      <c r="L75">
        <f>Lookup!Q78</f>
        <v>111000000</v>
      </c>
      <c r="M75">
        <f>Lookup!R78</f>
        <v>1653000000</v>
      </c>
      <c r="N75">
        <f>Lookup!S78</f>
        <v>493000000</v>
      </c>
      <c r="O75">
        <f>Lookup!T78</f>
        <v>1002000000</v>
      </c>
      <c r="P75">
        <f>Lookup!U78</f>
        <v>0</v>
      </c>
      <c r="Q75">
        <f>Lookup!V78</f>
        <v>935000000</v>
      </c>
      <c r="R75">
        <f>Lookup!W78</f>
        <v>0</v>
      </c>
      <c r="S75">
        <f>Lookup!X78</f>
        <v>1127000000</v>
      </c>
      <c r="T75">
        <f>Lookup!Y78</f>
        <v>0</v>
      </c>
      <c r="U75">
        <f>Lookup!Z78</f>
        <v>0</v>
      </c>
      <c r="V75">
        <f>Lookup!AA78</f>
        <v>0</v>
      </c>
      <c r="W75">
        <f>Lookup!AB78</f>
        <v>0</v>
      </c>
      <c r="X75">
        <f>Lookup!AC78</f>
        <v>0.19</v>
      </c>
      <c r="Y75">
        <f>Lookup!AD78</f>
        <v>0.22</v>
      </c>
      <c r="Z75" t="str">
        <f t="shared" ca="1" si="5"/>
        <v>KO_INC-ST_QRTLY.xlsx</v>
      </c>
      <c r="AA75" t="str">
        <f t="shared" ca="1" si="4"/>
        <v>KO_INC-ST_QR-001</v>
      </c>
      <c r="AB75" s="16">
        <f t="shared" ca="1" si="6"/>
        <v>46088.824799074071</v>
      </c>
    </row>
    <row r="76" spans="1:28" x14ac:dyDescent="0.25">
      <c r="A76" t="str">
        <f>Lookup!F79</f>
        <v>KO</v>
      </c>
      <c r="B76" s="14">
        <f ca="1">Lookup!G79</f>
        <v>46088</v>
      </c>
      <c r="C76">
        <f>Lookup!H79</f>
        <v>2007</v>
      </c>
      <c r="D76" t="str">
        <f>Lookup!I79</f>
        <v>Q2</v>
      </c>
      <c r="E76">
        <f>Lookup!J79</f>
        <v>7733000000</v>
      </c>
      <c r="F76">
        <f>Lookup!K79</f>
        <v>2145000000</v>
      </c>
      <c r="G76">
        <f>Lookup!L79</f>
        <v>3869000000</v>
      </c>
      <c r="H76">
        <f>Lookup!M79</f>
        <v>2488000000</v>
      </c>
      <c r="I76">
        <f>Lookup!N79</f>
        <v>-31000000</v>
      </c>
      <c r="J76">
        <f>Lookup!O79</f>
        <v>2105000000</v>
      </c>
      <c r="K76">
        <f>Lookup!P79</f>
        <v>1262000000</v>
      </c>
      <c r="L76">
        <f>Lookup!Q79</f>
        <v>161000000</v>
      </c>
      <c r="M76">
        <f>Lookup!R79</f>
        <v>2216000000</v>
      </c>
      <c r="N76">
        <f>Lookup!S79</f>
        <v>446000000</v>
      </c>
      <c r="O76">
        <f>Lookup!T79</f>
        <v>1201000000</v>
      </c>
      <c r="P76">
        <f>Lookup!U79</f>
        <v>0</v>
      </c>
      <c r="Q76">
        <f>Lookup!V79</f>
        <v>1584000000</v>
      </c>
      <c r="R76">
        <f>Lookup!W79</f>
        <v>0</v>
      </c>
      <c r="S76">
        <f>Lookup!X79</f>
        <v>927000000</v>
      </c>
      <c r="T76">
        <f>Lookup!Y79</f>
        <v>0</v>
      </c>
      <c r="U76">
        <f>Lookup!Z79</f>
        <v>0</v>
      </c>
      <c r="V76">
        <f>Lookup!AA79</f>
        <v>0</v>
      </c>
      <c r="W76">
        <f>Lookup!AB79</f>
        <v>0</v>
      </c>
      <c r="X76">
        <f>Lookup!AC79</f>
        <v>0.22</v>
      </c>
      <c r="Y76">
        <f>Lookup!AD79</f>
        <v>0.245</v>
      </c>
      <c r="Z76" t="str">
        <f t="shared" ca="1" si="5"/>
        <v>KO_INC-ST_QRTLY.xlsx</v>
      </c>
      <c r="AA76" t="str">
        <f t="shared" ca="1" si="4"/>
        <v>KO_INC-ST_QR-001</v>
      </c>
      <c r="AB76" s="16">
        <f t="shared" ca="1" si="6"/>
        <v>46088.824799074071</v>
      </c>
    </row>
    <row r="77" spans="1:28" x14ac:dyDescent="0.25">
      <c r="A77" t="str">
        <f>Lookup!F80</f>
        <v>KO</v>
      </c>
      <c r="B77" s="14">
        <f ca="1">Lookup!G80</f>
        <v>46088</v>
      </c>
      <c r="C77">
        <f>Lookup!H80</f>
        <v>2007</v>
      </c>
      <c r="D77" t="str">
        <f>Lookup!I80</f>
        <v>Q1</v>
      </c>
      <c r="E77">
        <f>Lookup!J80</f>
        <v>6103000000</v>
      </c>
      <c r="F77">
        <f>Lookup!K80</f>
        <v>2063000000</v>
      </c>
      <c r="G77">
        <f>Lookup!L80</f>
        <v>4189000000</v>
      </c>
      <c r="H77">
        <f>Lookup!M80</f>
        <v>2296000000</v>
      </c>
      <c r="I77">
        <f>Lookup!N80</f>
        <v>-45000000</v>
      </c>
      <c r="J77">
        <f>Lookup!O80</f>
        <v>2293000000</v>
      </c>
      <c r="K77">
        <f>Lookup!P80</f>
        <v>1492000000</v>
      </c>
      <c r="L77">
        <f>Lookup!Q80</f>
        <v>244000000</v>
      </c>
      <c r="M77">
        <f>Lookup!R80</f>
        <v>1448000000</v>
      </c>
      <c r="N77">
        <f>Lookup!S80</f>
        <v>221000000</v>
      </c>
      <c r="O77">
        <f>Lookup!T80</f>
        <v>935000000</v>
      </c>
      <c r="P77">
        <f>Lookup!U80</f>
        <v>0</v>
      </c>
      <c r="Q77">
        <f>Lookup!V80</f>
        <v>1127000000</v>
      </c>
      <c r="R77">
        <f>Lookup!W80</f>
        <v>0</v>
      </c>
      <c r="S77">
        <f>Lookup!X80</f>
        <v>1223000000</v>
      </c>
      <c r="T77">
        <f>Lookup!Y80</f>
        <v>0</v>
      </c>
      <c r="U77">
        <f>Lookup!Z80</f>
        <v>0</v>
      </c>
      <c r="V77">
        <f>Lookup!AA80</f>
        <v>0</v>
      </c>
      <c r="W77">
        <f>Lookup!AB80</f>
        <v>0</v>
      </c>
      <c r="X77">
        <f>Lookup!AC80</f>
        <v>0.245</v>
      </c>
      <c r="Y77">
        <f>Lookup!AD80</f>
        <v>-0.04</v>
      </c>
      <c r="Z77" t="str">
        <f t="shared" ca="1" si="5"/>
        <v>KO_INC-ST_QRTLY.xlsx</v>
      </c>
      <c r="AA77" t="str">
        <f t="shared" ca="1" si="4"/>
        <v>KO_INC-ST_QR-001</v>
      </c>
      <c r="AB77" s="16">
        <f t="shared" ca="1" si="6"/>
        <v>46088.824799074071</v>
      </c>
    </row>
    <row r="78" spans="1:28" x14ac:dyDescent="0.25">
      <c r="A78" t="str">
        <f>Lookup!F81</f>
        <v>KO</v>
      </c>
      <c r="B78" s="14">
        <f ca="1">Lookup!G81</f>
        <v>46088</v>
      </c>
      <c r="C78">
        <f>Lookup!H81</f>
        <v>2006</v>
      </c>
      <c r="D78" t="str">
        <f>Lookup!I81</f>
        <v>Q4</v>
      </c>
      <c r="E78">
        <f>Lookup!J81</f>
        <v>5932000000</v>
      </c>
      <c r="F78">
        <f>Lookup!K81</f>
        <v>2265000000</v>
      </c>
      <c r="G78">
        <f>Lookup!L81</f>
        <v>4366000000</v>
      </c>
      <c r="H78">
        <f>Lookup!M81</f>
        <v>2060000000</v>
      </c>
      <c r="I78">
        <f>Lookup!N81</f>
        <v>0</v>
      </c>
      <c r="J78">
        <f>Lookup!O81</f>
        <v>2310000000</v>
      </c>
      <c r="K78">
        <f>Lookup!P81</f>
        <v>1972000000</v>
      </c>
      <c r="L78">
        <f>Lookup!Q81</f>
        <v>89000000</v>
      </c>
      <c r="M78">
        <f>Lookup!R81</f>
        <v>1422000000</v>
      </c>
      <c r="N78">
        <f>Lookup!S81</f>
        <v>300000000</v>
      </c>
      <c r="O78">
        <f>Lookup!T81</f>
        <v>1584000000</v>
      </c>
      <c r="P78">
        <f>Lookup!U81</f>
        <v>0</v>
      </c>
      <c r="Q78">
        <f>Lookup!V81</f>
        <v>927000000</v>
      </c>
      <c r="R78">
        <f>Lookup!W81</f>
        <v>0</v>
      </c>
      <c r="S78">
        <f>Lookup!X81</f>
        <v>1362000000</v>
      </c>
      <c r="T78">
        <f>Lookup!Y81</f>
        <v>0</v>
      </c>
      <c r="U78">
        <f>Lookup!Z81</f>
        <v>0</v>
      </c>
      <c r="V78">
        <f>Lookup!AA81</f>
        <v>0</v>
      </c>
      <c r="W78">
        <f>Lookup!AB81</f>
        <v>0</v>
      </c>
      <c r="X78">
        <f>Lookup!AC81</f>
        <v>-0.04</v>
      </c>
      <c r="Y78">
        <f>Lookup!AD81</f>
        <v>0.185</v>
      </c>
      <c r="Z78" t="str">
        <f t="shared" ca="1" si="5"/>
        <v>KO_INC-ST_QRTLY.xlsx</v>
      </c>
      <c r="AA78" t="str">
        <f t="shared" ca="1" si="4"/>
        <v>KO_INC-ST_QR-001</v>
      </c>
      <c r="AB78" s="16">
        <f t="shared" ca="1" si="6"/>
        <v>46088.824799074071</v>
      </c>
    </row>
    <row r="79" spans="1:28" x14ac:dyDescent="0.25">
      <c r="A79" t="str">
        <f>Lookup!F82</f>
        <v>KO</v>
      </c>
      <c r="B79" s="14">
        <f ca="1">Lookup!G82</f>
        <v>46088</v>
      </c>
      <c r="C79">
        <f>Lookup!H82</f>
        <v>2006</v>
      </c>
      <c r="D79" t="str">
        <f>Lookup!I82</f>
        <v>Q3</v>
      </c>
      <c r="E79">
        <f>Lookup!J82</f>
        <v>6454000000</v>
      </c>
      <c r="F79">
        <f>Lookup!K82</f>
        <v>2110000000</v>
      </c>
      <c r="G79">
        <f>Lookup!L82</f>
        <v>3500000000</v>
      </c>
      <c r="H79">
        <f>Lookup!M82</f>
        <v>2293000000</v>
      </c>
      <c r="I79">
        <f>Lookup!N82</f>
        <v>-85000000</v>
      </c>
      <c r="J79">
        <f>Lookup!O82</f>
        <v>2192000000</v>
      </c>
      <c r="K79">
        <f>Lookup!P82</f>
        <v>1359000000</v>
      </c>
      <c r="L79">
        <f>Lookup!Q82</f>
        <v>75000000</v>
      </c>
      <c r="M79">
        <f>Lookup!R82</f>
        <v>1235000000</v>
      </c>
      <c r="N79">
        <f>Lookup!S82</f>
        <v>469000000</v>
      </c>
      <c r="O79">
        <f>Lookup!T82</f>
        <v>1127000000</v>
      </c>
      <c r="P79">
        <f>Lookup!U82</f>
        <v>0</v>
      </c>
      <c r="Q79">
        <f>Lookup!V82</f>
        <v>1223000000</v>
      </c>
      <c r="R79">
        <f>Lookup!W82</f>
        <v>0</v>
      </c>
      <c r="S79">
        <f>Lookup!X82</f>
        <v>835000000</v>
      </c>
      <c r="T79">
        <f>Lookup!Y82</f>
        <v>0</v>
      </c>
      <c r="U79">
        <f>Lookup!Z82</f>
        <v>0</v>
      </c>
      <c r="V79">
        <f>Lookup!AA82</f>
        <v>0</v>
      </c>
      <c r="W79">
        <f>Lookup!AB82</f>
        <v>0</v>
      </c>
      <c r="X79">
        <f>Lookup!AC82</f>
        <v>0.185</v>
      </c>
      <c r="Y79">
        <f>Lookup!AD82</f>
        <v>0.215</v>
      </c>
      <c r="Z79" t="str">
        <f t="shared" ca="1" si="5"/>
        <v>KO_INC-ST_QRTLY.xlsx</v>
      </c>
      <c r="AA79" t="str">
        <f t="shared" ca="1" si="4"/>
        <v>KO_INC-ST_QR-001</v>
      </c>
      <c r="AB79" s="16">
        <f t="shared" ca="1" si="6"/>
        <v>46088.824799074071</v>
      </c>
    </row>
    <row r="80" spans="1:28" x14ac:dyDescent="0.25">
      <c r="A80" t="str">
        <f>Lookup!F83</f>
        <v>KO</v>
      </c>
      <c r="B80" s="14">
        <f ca="1">Lookup!G83</f>
        <v>46088</v>
      </c>
      <c r="C80">
        <f>Lookup!H83</f>
        <v>2006</v>
      </c>
      <c r="D80" t="str">
        <f>Lookup!I83</f>
        <v>Q2</v>
      </c>
      <c r="E80">
        <f>Lookup!J83</f>
        <v>6476000000</v>
      </c>
      <c r="F80">
        <f>Lookup!K83</f>
        <v>1726000000</v>
      </c>
      <c r="G80">
        <f>Lookup!L83</f>
        <v>3555000000</v>
      </c>
      <c r="H80">
        <f>Lookup!M83</f>
        <v>2225000000</v>
      </c>
      <c r="I80">
        <f>Lookup!N83</f>
        <v>0</v>
      </c>
      <c r="J80">
        <f>Lookup!O83</f>
        <v>2029000000</v>
      </c>
      <c r="K80">
        <f>Lookup!P83</f>
        <v>1347000000</v>
      </c>
      <c r="L80">
        <f>Lookup!Q83</f>
        <v>138000000</v>
      </c>
      <c r="M80">
        <f>Lookup!R83</f>
        <v>2053000000</v>
      </c>
      <c r="N80">
        <f>Lookup!S83</f>
        <v>385000000</v>
      </c>
      <c r="O80">
        <f>Lookup!T83</f>
        <v>927000000</v>
      </c>
      <c r="P80">
        <f>Lookup!U83</f>
        <v>0</v>
      </c>
      <c r="Q80">
        <f>Lookup!V83</f>
        <v>1362000000</v>
      </c>
      <c r="R80">
        <f>Lookup!W83</f>
        <v>0</v>
      </c>
      <c r="S80">
        <f>Lookup!X83</f>
        <v>930000000</v>
      </c>
      <c r="T80">
        <f>Lookup!Y83</f>
        <v>0</v>
      </c>
      <c r="U80">
        <f>Lookup!Z83</f>
        <v>0</v>
      </c>
      <c r="V80">
        <f>Lookup!AA83</f>
        <v>0</v>
      </c>
      <c r="W80">
        <f>Lookup!AB83</f>
        <v>0</v>
      </c>
      <c r="X80">
        <f>Lookup!AC83</f>
        <v>0.215</v>
      </c>
      <c r="Y80">
        <f>Lookup!AD83</f>
        <v>0.22500000000000001</v>
      </c>
      <c r="Z80" t="str">
        <f t="shared" ca="1" si="5"/>
        <v>KO_INC-ST_QRTLY.xlsx</v>
      </c>
      <c r="AA80" t="str">
        <f t="shared" ca="1" si="4"/>
        <v>KO_INC-ST_QR-001</v>
      </c>
      <c r="AB80" s="16">
        <f t="shared" ca="1" si="6"/>
        <v>46088.824799074071</v>
      </c>
    </row>
    <row r="81" spans="1:28" x14ac:dyDescent="0.25">
      <c r="A81" t="str">
        <f>Lookup!F84</f>
        <v>KO</v>
      </c>
      <c r="B81" s="14">
        <f ca="1">Lookup!G84</f>
        <v>46088</v>
      </c>
      <c r="C81">
        <f>Lookup!H84</f>
        <v>2006</v>
      </c>
      <c r="D81" t="str">
        <f>Lookup!I84</f>
        <v>Q1</v>
      </c>
      <c r="E81">
        <f>Lookup!J84</f>
        <v>5226000000</v>
      </c>
      <c r="F81">
        <f>Lookup!K84</f>
        <v>1996000000</v>
      </c>
      <c r="G81">
        <f>Lookup!L84</f>
        <v>3802000000</v>
      </c>
      <c r="H81">
        <f>Lookup!M84</f>
        <v>2192000000</v>
      </c>
      <c r="I81">
        <f>Lookup!N84</f>
        <v>0</v>
      </c>
      <c r="J81">
        <f>Lookup!O84</f>
        <v>1986000000</v>
      </c>
      <c r="K81">
        <f>Lookup!P84</f>
        <v>1097000000</v>
      </c>
      <c r="L81">
        <f>Lookup!Q84</f>
        <v>250000000</v>
      </c>
      <c r="M81">
        <f>Lookup!R84</f>
        <v>1512000000</v>
      </c>
      <c r="N81">
        <f>Lookup!S84</f>
        <v>197000000</v>
      </c>
      <c r="O81">
        <f>Lookup!T84</f>
        <v>1223000000</v>
      </c>
      <c r="P81">
        <f>Lookup!U84</f>
        <v>0</v>
      </c>
      <c r="Q81">
        <f>Lookup!V84</f>
        <v>835000000</v>
      </c>
      <c r="R81">
        <f>Lookup!W84</f>
        <v>0</v>
      </c>
      <c r="S81">
        <f>Lookup!X84</f>
        <v>1091000000</v>
      </c>
      <c r="T81">
        <f>Lookup!Y84</f>
        <v>0</v>
      </c>
      <c r="U81">
        <f>Lookup!Z84</f>
        <v>0</v>
      </c>
      <c r="V81">
        <f>Lookup!AA84</f>
        <v>0</v>
      </c>
      <c r="W81">
        <f>Lookup!AB84</f>
        <v>0</v>
      </c>
      <c r="X81">
        <f>Lookup!AC84</f>
        <v>0.22500000000000001</v>
      </c>
      <c r="Y81">
        <f>Lookup!AD84</f>
        <v>0.17499999999999999</v>
      </c>
      <c r="Z81" t="str">
        <f t="shared" ca="1" si="5"/>
        <v>KO_INC-ST_QRTLY.xlsx</v>
      </c>
      <c r="AA81" t="str">
        <f t="shared" ca="1" si="4"/>
        <v>KO_INC-ST_QR-001</v>
      </c>
      <c r="AB81" s="16">
        <f t="shared" ca="1" si="6"/>
        <v>46088.824799074071</v>
      </c>
    </row>
    <row r="82" spans="1:28" x14ac:dyDescent="0.25">
      <c r="A82" t="str">
        <f>Lookup!F85</f>
        <v>KO</v>
      </c>
      <c r="B82" s="14">
        <f ca="1">Lookup!G85</f>
        <v>46088</v>
      </c>
      <c r="C82">
        <f>Lookup!H85</f>
        <v>2005</v>
      </c>
      <c r="D82" t="str">
        <f>Lookup!I85</f>
        <v>Q4</v>
      </c>
      <c r="E82">
        <f>Lookup!J85</f>
        <v>5551000000</v>
      </c>
      <c r="F82">
        <f>Lookup!K85</f>
        <v>2235000000</v>
      </c>
      <c r="G82">
        <f>Lookup!L85</f>
        <v>4164000000</v>
      </c>
      <c r="H82">
        <f>Lookup!M85</f>
        <v>2029000000</v>
      </c>
      <c r="I82">
        <f>Lookup!N85</f>
        <v>0</v>
      </c>
      <c r="J82">
        <f>Lookup!O85</f>
        <v>2438000000</v>
      </c>
      <c r="K82">
        <f>Lookup!P85</f>
        <v>1803000000</v>
      </c>
      <c r="L82">
        <f>Lookup!Q85</f>
        <v>61000000</v>
      </c>
      <c r="M82">
        <f>Lookup!R85</f>
        <v>1124000000</v>
      </c>
      <c r="N82">
        <f>Lookup!S85</f>
        <v>275000000</v>
      </c>
      <c r="O82">
        <f>Lookup!T85</f>
        <v>1362000000</v>
      </c>
      <c r="P82">
        <f>Lookup!U85</f>
        <v>0</v>
      </c>
      <c r="Q82">
        <f>Lookup!V85</f>
        <v>930000000</v>
      </c>
      <c r="R82">
        <f>Lookup!W85</f>
        <v>0</v>
      </c>
      <c r="S82">
        <f>Lookup!X85</f>
        <v>1223000000</v>
      </c>
      <c r="T82">
        <f>Lookup!Y85</f>
        <v>0</v>
      </c>
      <c r="U82">
        <f>Lookup!Z85</f>
        <v>0</v>
      </c>
      <c r="V82">
        <f>Lookup!AA85</f>
        <v>0</v>
      </c>
      <c r="W82">
        <f>Lookup!AB85</f>
        <v>0</v>
      </c>
      <c r="X82">
        <f>Lookup!AC85</f>
        <v>0.17499999999999999</v>
      </c>
      <c r="Y82">
        <f>Lookup!AD85</f>
        <v>0.05</v>
      </c>
      <c r="Z82" t="str">
        <f t="shared" ca="1" si="5"/>
        <v>KO_INC-ST_QRTLY.xlsx</v>
      </c>
      <c r="AA82" t="str">
        <f t="shared" ca="1" si="4"/>
        <v>KO_INC-ST_QR-001</v>
      </c>
      <c r="AB82" s="16">
        <f t="shared" ca="1" si="6"/>
        <v>46088.824799074071</v>
      </c>
    </row>
    <row r="83" spans="1:28" x14ac:dyDescent="0.25">
      <c r="A83" t="str">
        <f>Lookup!F86</f>
        <v>KO</v>
      </c>
      <c r="B83" s="14">
        <f ca="1">Lookup!G86</f>
        <v>46088</v>
      </c>
      <c r="C83">
        <f>Lookup!H86</f>
        <v>2005</v>
      </c>
      <c r="D83" t="str">
        <f>Lookup!I86</f>
        <v>Q3</v>
      </c>
      <c r="E83">
        <f>Lookup!J86</f>
        <v>6037000000</v>
      </c>
      <c r="F83">
        <f>Lookup!K86</f>
        <v>2146000000</v>
      </c>
      <c r="G83">
        <f>Lookup!L86</f>
        <v>3388000000</v>
      </c>
      <c r="H83">
        <f>Lookup!M86</f>
        <v>1986000000</v>
      </c>
      <c r="I83">
        <f>Lookup!N86</f>
        <v>-392000000</v>
      </c>
      <c r="J83">
        <f>Lookup!O86</f>
        <v>2072000000</v>
      </c>
      <c r="K83">
        <f>Lookup!P86</f>
        <v>1451000000</v>
      </c>
      <c r="L83">
        <f>Lookup!Q86</f>
        <v>32000000</v>
      </c>
      <c r="M83">
        <f>Lookup!R86</f>
        <v>1498000000</v>
      </c>
      <c r="N83">
        <f>Lookup!S86</f>
        <v>388000000</v>
      </c>
      <c r="O83">
        <f>Lookup!T86</f>
        <v>835000000</v>
      </c>
      <c r="P83">
        <f>Lookup!U86</f>
        <v>0</v>
      </c>
      <c r="Q83">
        <f>Lookup!V86</f>
        <v>1091000000</v>
      </c>
      <c r="R83">
        <f>Lookup!W86</f>
        <v>0</v>
      </c>
      <c r="S83">
        <f>Lookup!X86</f>
        <v>-194000000</v>
      </c>
      <c r="T83">
        <f>Lookup!Y86</f>
        <v>0</v>
      </c>
      <c r="U83">
        <f>Lookup!Z86</f>
        <v>0</v>
      </c>
      <c r="V83">
        <f>Lookup!AA86</f>
        <v>0</v>
      </c>
      <c r="W83">
        <f>Lookup!AB86</f>
        <v>0</v>
      </c>
      <c r="X83">
        <f>Lookup!AC86</f>
        <v>0.05</v>
      </c>
      <c r="Y83">
        <f>Lookup!AD86</f>
        <v>0.215</v>
      </c>
      <c r="Z83" t="str">
        <f t="shared" ca="1" si="5"/>
        <v>KO_INC-ST_QRTLY.xlsx</v>
      </c>
      <c r="AA83" t="str">
        <f t="shared" ca="1" si="4"/>
        <v>KO_INC-ST_QR-001</v>
      </c>
      <c r="AB83" s="16">
        <f t="shared" ca="1" si="6"/>
        <v>46088.824799074071</v>
      </c>
    </row>
    <row r="84" spans="1:28" x14ac:dyDescent="0.25">
      <c r="A84" t="str">
        <f>Lookup!F87</f>
        <v>KO</v>
      </c>
      <c r="B84" s="14">
        <f ca="1">Lookup!G87</f>
        <v>46088</v>
      </c>
      <c r="C84">
        <f>Lookup!H87</f>
        <v>2005</v>
      </c>
      <c r="D84" t="str">
        <f>Lookup!I87</f>
        <v>Q2</v>
      </c>
      <c r="E84">
        <f>Lookup!J87</f>
        <v>6310000000</v>
      </c>
      <c r="F84">
        <f>Lookup!K87</f>
        <v>1818000000</v>
      </c>
      <c r="G84">
        <f>Lookup!L87</f>
        <v>3333000000</v>
      </c>
      <c r="H84">
        <f>Lookup!M87</f>
        <v>2046000000</v>
      </c>
      <c r="I84">
        <f>Lookup!N87</f>
        <v>-88000000</v>
      </c>
      <c r="J84">
        <f>Lookup!O87</f>
        <v>1874000000</v>
      </c>
      <c r="K84">
        <f>Lookup!P87</f>
        <v>1092000000</v>
      </c>
      <c r="L84">
        <f>Lookup!Q87</f>
        <v>47000000</v>
      </c>
      <c r="M84">
        <f>Lookup!R87</f>
        <v>1750000000</v>
      </c>
      <c r="N84">
        <f>Lookup!S87</f>
        <v>288000000</v>
      </c>
      <c r="O84">
        <f>Lookup!T87</f>
        <v>930000000</v>
      </c>
      <c r="P84">
        <f>Lookup!U87</f>
        <v>0</v>
      </c>
      <c r="Q84">
        <f>Lookup!V87</f>
        <v>1223000000</v>
      </c>
      <c r="R84">
        <f>Lookup!W87</f>
        <v>0</v>
      </c>
      <c r="S84">
        <f>Lookup!X87</f>
        <v>914000000</v>
      </c>
      <c r="T84">
        <f>Lookup!Y87</f>
        <v>0</v>
      </c>
      <c r="U84">
        <f>Lookup!Z87</f>
        <v>0</v>
      </c>
      <c r="V84">
        <f>Lookup!AA87</f>
        <v>0</v>
      </c>
      <c r="W84">
        <f>Lookup!AB87</f>
        <v>0</v>
      </c>
      <c r="X84">
        <f>Lookup!AC87</f>
        <v>0.215</v>
      </c>
      <c r="Y84">
        <f>Lookup!AD87</f>
        <v>0.185</v>
      </c>
      <c r="Z84" t="str">
        <f t="shared" ca="1" si="5"/>
        <v>KO_INC-ST_QRTLY.xlsx</v>
      </c>
      <c r="AA84" t="str">
        <f t="shared" ca="1" si="4"/>
        <v>KO_INC-ST_QR-001</v>
      </c>
      <c r="AB84" s="16">
        <f t="shared" ca="1" si="6"/>
        <v>46088.824799074071</v>
      </c>
    </row>
    <row r="85" spans="1:28" x14ac:dyDescent="0.25">
      <c r="A85" t="str">
        <f>Lookup!F88</f>
        <v>KO</v>
      </c>
      <c r="B85" s="14">
        <f ca="1">Lookup!G88</f>
        <v>46088</v>
      </c>
      <c r="C85">
        <f>Lookup!H88</f>
        <v>2005</v>
      </c>
      <c r="D85" t="str">
        <f>Lookup!I88</f>
        <v>Q1</v>
      </c>
      <c r="E85">
        <f>Lookup!J88</f>
        <v>5206000000</v>
      </c>
      <c r="F85">
        <f>Lookup!K88</f>
        <v>1821000000</v>
      </c>
      <c r="G85">
        <f>Lookup!L88</f>
        <v>3535000000</v>
      </c>
      <c r="H85">
        <f>Lookup!M88</f>
        <v>1984000000</v>
      </c>
      <c r="I85">
        <f>Lookup!N88</f>
        <v>0</v>
      </c>
      <c r="J85">
        <f>Lookup!O88</f>
        <v>2033000000</v>
      </c>
      <c r="K85">
        <f>Lookup!P88</f>
        <v>1451000000</v>
      </c>
      <c r="L85">
        <f>Lookup!Q88</f>
        <v>148000000</v>
      </c>
      <c r="M85">
        <f>Lookup!R88</f>
        <v>1123000000</v>
      </c>
      <c r="N85">
        <f>Lookup!S88</f>
        <v>343000000</v>
      </c>
      <c r="O85">
        <f>Lookup!T88</f>
        <v>1091000000</v>
      </c>
      <c r="P85">
        <f>Lookup!U88</f>
        <v>0</v>
      </c>
      <c r="Q85">
        <f>Lookup!V88</f>
        <v>732000000</v>
      </c>
      <c r="R85">
        <f>Lookup!W88</f>
        <v>0</v>
      </c>
      <c r="S85">
        <f>Lookup!X88</f>
        <v>1074000000</v>
      </c>
      <c r="T85">
        <f>Lookup!Y88</f>
        <v>0</v>
      </c>
      <c r="U85">
        <f>Lookup!Z88</f>
        <v>0</v>
      </c>
      <c r="V85">
        <f>Lookup!AA88</f>
        <v>0</v>
      </c>
      <c r="W85">
        <f>Lookup!AB88</f>
        <v>0</v>
      </c>
      <c r="X85">
        <f>Lookup!AC88</f>
        <v>0.185</v>
      </c>
      <c r="Y85">
        <f>Lookup!AD88</f>
        <v>-0.01</v>
      </c>
      <c r="Z85" t="str">
        <f t="shared" ca="1" si="5"/>
        <v>KO_INC-ST_QRTLY.xlsx</v>
      </c>
      <c r="AA85" t="str">
        <f t="shared" ca="1" si="4"/>
        <v>KO_INC-ST_QR-001</v>
      </c>
      <c r="AB85" s="16">
        <f t="shared" ca="1" si="6"/>
        <v>46088.824799074071</v>
      </c>
    </row>
    <row r="86" spans="1:28" x14ac:dyDescent="0.25">
      <c r="A86" t="str">
        <f>Lookup!F89</f>
        <v>KO</v>
      </c>
      <c r="B86" s="14">
        <f ca="1">Lookup!G89</f>
        <v>46088</v>
      </c>
      <c r="C86">
        <f>Lookup!H89</f>
        <v>2004</v>
      </c>
      <c r="D86" t="str">
        <f>Lookup!I89</f>
        <v>Q4</v>
      </c>
      <c r="E86">
        <f>Lookup!J89</f>
        <v>5154000000</v>
      </c>
      <c r="F86">
        <f>Lookup!K89</f>
        <v>2061000000</v>
      </c>
      <c r="G86">
        <f>Lookup!L89</f>
        <v>3875000000</v>
      </c>
      <c r="H86">
        <f>Lookup!M89</f>
        <v>1874000000</v>
      </c>
      <c r="I86">
        <f>Lookup!N89</f>
        <v>-289000000</v>
      </c>
      <c r="J86">
        <f>Lookup!O89</f>
        <v>2052000000</v>
      </c>
      <c r="K86">
        <f>Lookup!P89</f>
        <v>1602000000</v>
      </c>
      <c r="L86">
        <f>Lookup!Q89</f>
        <v>47000000</v>
      </c>
      <c r="M86">
        <f>Lookup!R89</f>
        <v>1273000000</v>
      </c>
      <c r="N86">
        <f>Lookup!S89</f>
        <v>404000000</v>
      </c>
      <c r="O86">
        <f>Lookup!T89</f>
        <v>1223000000</v>
      </c>
      <c r="P86">
        <f>Lookup!U89</f>
        <v>0</v>
      </c>
      <c r="Q86">
        <f>Lookup!V89</f>
        <v>914000000</v>
      </c>
      <c r="R86">
        <f>Lookup!W89</f>
        <v>0</v>
      </c>
      <c r="S86">
        <f>Lookup!X89</f>
        <v>1118000000</v>
      </c>
      <c r="T86">
        <f>Lookup!Y89</f>
        <v>0</v>
      </c>
      <c r="U86">
        <f>Lookup!Z89</f>
        <v>0</v>
      </c>
      <c r="V86">
        <f>Lookup!AA89</f>
        <v>0</v>
      </c>
      <c r="W86">
        <f>Lookup!AB89</f>
        <v>0</v>
      </c>
      <c r="X86">
        <f>Lookup!AC89</f>
        <v>-0.01</v>
      </c>
      <c r="Y86">
        <f>Lookup!AD89</f>
        <v>-0.01</v>
      </c>
      <c r="Z86" t="str">
        <f t="shared" ca="1" si="5"/>
        <v>KO_INC-ST_QRTLY.xlsx</v>
      </c>
      <c r="AA86" t="str">
        <f t="shared" ca="1" si="4"/>
        <v>KO_INC-ST_QR-001</v>
      </c>
      <c r="AB86" s="16">
        <f t="shared" ca="1" si="6"/>
        <v>46088.824799074071</v>
      </c>
    </row>
    <row r="87" spans="1:28" x14ac:dyDescent="0.25">
      <c r="A87" t="str">
        <f>Lookup!F90</f>
        <v>KO</v>
      </c>
      <c r="B87" s="14">
        <f ca="1">Lookup!G90</f>
        <v>46088</v>
      </c>
      <c r="C87">
        <f>Lookup!H90</f>
        <v>2004</v>
      </c>
      <c r="D87" t="str">
        <f>Lookup!I90</f>
        <v>Q3</v>
      </c>
      <c r="E87">
        <f>Lookup!J90</f>
        <v>5596000000</v>
      </c>
      <c r="F87">
        <f>Lookup!K90</f>
        <v>2039000000</v>
      </c>
      <c r="G87">
        <f>Lookup!L90</f>
        <v>3325000000</v>
      </c>
      <c r="H87">
        <f>Lookup!M90</f>
        <v>1744000000</v>
      </c>
      <c r="I87">
        <f>Lookup!N90</f>
        <v>-55000000</v>
      </c>
      <c r="J87">
        <f>Lookup!O90</f>
        <v>1966000000</v>
      </c>
      <c r="K87">
        <f>Lookup!P90</f>
        <v>1076000000</v>
      </c>
      <c r="L87">
        <f>Lookup!Q90</f>
        <v>-17000000</v>
      </c>
      <c r="M87">
        <f>Lookup!R90</f>
        <v>1495000000</v>
      </c>
      <c r="N87">
        <f>Lookup!S90</f>
        <v>452000000</v>
      </c>
      <c r="O87">
        <f>Lookup!T90</f>
        <v>732000000</v>
      </c>
      <c r="P87">
        <f>Lookup!U90</f>
        <v>0</v>
      </c>
      <c r="Q87">
        <f>Lookup!V90</f>
        <v>1074000000</v>
      </c>
      <c r="R87">
        <f>Lookup!W90</f>
        <v>0</v>
      </c>
      <c r="S87">
        <f>Lookup!X90</f>
        <v>863000000</v>
      </c>
      <c r="T87">
        <f>Lookup!Y90</f>
        <v>0</v>
      </c>
      <c r="U87">
        <f>Lookup!Z90</f>
        <v>0</v>
      </c>
      <c r="V87">
        <f>Lookup!AA90</f>
        <v>0</v>
      </c>
      <c r="W87">
        <f>Lookup!AB90</f>
        <v>0</v>
      </c>
      <c r="X87">
        <f>Lookup!AC90</f>
        <v>-0.01</v>
      </c>
      <c r="Y87">
        <f>Lookup!AD90</f>
        <v>0.16</v>
      </c>
      <c r="Z87" t="str">
        <f t="shared" ca="1" si="5"/>
        <v>KO_INC-ST_QRTLY.xlsx</v>
      </c>
      <c r="AA87" t="str">
        <f t="shared" ca="1" si="4"/>
        <v>KO_INC-ST_QR-001</v>
      </c>
      <c r="AB87" s="16">
        <f t="shared" ca="1" si="6"/>
        <v>46088.824799074071</v>
      </c>
    </row>
    <row r="88" spans="1:28" x14ac:dyDescent="0.25">
      <c r="A88" t="str">
        <f>Lookup!F91</f>
        <v>KO</v>
      </c>
      <c r="B88" s="14">
        <f ca="1">Lookup!G91</f>
        <v>46088</v>
      </c>
      <c r="C88">
        <f>Lookup!H91</f>
        <v>2004</v>
      </c>
      <c r="D88" t="str">
        <f>Lookup!I91</f>
        <v>Q2</v>
      </c>
      <c r="E88">
        <f>Lookup!J91</f>
        <v>5914000000</v>
      </c>
      <c r="F88">
        <f>Lookup!K91</f>
        <v>1753000000</v>
      </c>
      <c r="G88">
        <f>Lookup!L91</f>
        <v>3125000000</v>
      </c>
      <c r="H88">
        <f>Lookup!M91</f>
        <v>1997000000</v>
      </c>
      <c r="I88">
        <f>Lookup!N91</f>
        <v>-70000000</v>
      </c>
      <c r="J88">
        <f>Lookup!O91</f>
        <v>1809000000</v>
      </c>
      <c r="K88">
        <f>Lookup!P91</f>
        <v>1290000000</v>
      </c>
      <c r="L88">
        <f>Lookup!Q91</f>
        <v>45000000</v>
      </c>
      <c r="M88">
        <f>Lookup!R91</f>
        <v>1675000000</v>
      </c>
      <c r="N88">
        <f>Lookup!S91</f>
        <v>324000000</v>
      </c>
      <c r="O88">
        <f>Lookup!T91</f>
        <v>914000000</v>
      </c>
      <c r="P88">
        <f>Lookup!U91</f>
        <v>0</v>
      </c>
      <c r="Q88">
        <f>Lookup!V91</f>
        <v>1118000000</v>
      </c>
      <c r="R88">
        <f>Lookup!W91</f>
        <v>0</v>
      </c>
      <c r="S88">
        <f>Lookup!X91</f>
        <v>242000000</v>
      </c>
      <c r="T88">
        <f>Lookup!Y91</f>
        <v>0</v>
      </c>
      <c r="U88">
        <f>Lookup!Z91</f>
        <v>0</v>
      </c>
      <c r="V88">
        <f>Lookup!AA91</f>
        <v>0</v>
      </c>
      <c r="W88">
        <f>Lookup!AB91</f>
        <v>0</v>
      </c>
      <c r="X88">
        <f>Lookup!AC91</f>
        <v>0.16</v>
      </c>
      <c r="Y88">
        <f>Lookup!AD91</f>
        <v>0.19</v>
      </c>
      <c r="Z88" t="str">
        <f t="shared" ca="1" si="5"/>
        <v>KO_INC-ST_QRTLY.xlsx</v>
      </c>
      <c r="AA88" t="str">
        <f t="shared" ca="1" si="4"/>
        <v>KO_INC-ST_QR-001</v>
      </c>
      <c r="AB88" s="16">
        <f t="shared" ca="1" si="6"/>
        <v>46088.824799074071</v>
      </c>
    </row>
    <row r="89" spans="1:28" x14ac:dyDescent="0.25">
      <c r="A89" t="str">
        <f>Lookup!F92</f>
        <v>KO</v>
      </c>
      <c r="B89" s="14">
        <f ca="1">Lookup!G92</f>
        <v>46088</v>
      </c>
      <c r="C89">
        <f>Lookup!H92</f>
        <v>2004</v>
      </c>
      <c r="D89" t="str">
        <f>Lookup!I92</f>
        <v>Q1</v>
      </c>
      <c r="E89">
        <f>Lookup!J92</f>
        <v>5078000000</v>
      </c>
      <c r="F89">
        <f>Lookup!K92</f>
        <v>1864000000</v>
      </c>
      <c r="G89">
        <f>Lookup!L92</f>
        <v>3503000000</v>
      </c>
      <c r="H89">
        <f>Lookup!M92</f>
        <v>1896000000</v>
      </c>
      <c r="I89">
        <f>Lookup!N92</f>
        <v>-159000000</v>
      </c>
      <c r="J89">
        <f>Lookup!O92</f>
        <v>1804000000</v>
      </c>
      <c r="K89">
        <f>Lookup!P92</f>
        <v>1450000000</v>
      </c>
      <c r="L89">
        <f>Lookup!Q92</f>
        <v>115000000</v>
      </c>
      <c r="M89">
        <f>Lookup!R92</f>
        <v>1056000000</v>
      </c>
      <c r="N89">
        <f>Lookup!S92</f>
        <v>378000000</v>
      </c>
      <c r="O89">
        <f>Lookup!T92</f>
        <v>1074000000</v>
      </c>
      <c r="P89">
        <f>Lookup!U92</f>
        <v>0</v>
      </c>
      <c r="Q89">
        <f>Lookup!V92</f>
        <v>873000000</v>
      </c>
      <c r="R89">
        <f>Lookup!W92</f>
        <v>0</v>
      </c>
      <c r="S89">
        <f>Lookup!X92</f>
        <v>1067000000</v>
      </c>
      <c r="T89">
        <f>Lookup!Y92</f>
        <v>0</v>
      </c>
      <c r="U89">
        <f>Lookup!Z92</f>
        <v>0</v>
      </c>
      <c r="V89">
        <f>Lookup!AA92</f>
        <v>0</v>
      </c>
      <c r="W89">
        <f>Lookup!AB92</f>
        <v>0</v>
      </c>
      <c r="X89">
        <f>Lookup!AC92</f>
        <v>0.19</v>
      </c>
      <c r="Y89">
        <f>Lookup!AD92</f>
        <v>0.15</v>
      </c>
      <c r="Z89" t="str">
        <f t="shared" ca="1" si="5"/>
        <v>KO_INC-ST_QRTLY.xlsx</v>
      </c>
      <c r="AA89" t="str">
        <f t="shared" ca="1" si="4"/>
        <v>KO_INC-ST_QR-001</v>
      </c>
      <c r="AB89" s="16">
        <f t="shared" ca="1" si="6"/>
        <v>46088.824799074071</v>
      </c>
    </row>
    <row r="90" spans="1:28" x14ac:dyDescent="0.25">
      <c r="A90" t="str">
        <f>Lookup!F93</f>
        <v>KO</v>
      </c>
      <c r="B90" s="14">
        <f ca="1">Lookup!G93</f>
        <v>46088</v>
      </c>
      <c r="C90">
        <f>Lookup!H93</f>
        <v>2003</v>
      </c>
      <c r="D90" t="str">
        <f>Lookup!I93</f>
        <v>Q4</v>
      </c>
      <c r="E90">
        <f>Lookup!J93</f>
        <v>4989000000</v>
      </c>
      <c r="F90">
        <f>Lookup!K93</f>
        <v>2168000000</v>
      </c>
      <c r="G90">
        <f>Lookup!L93</f>
        <v>3568000000</v>
      </c>
      <c r="H90">
        <f>Lookup!M93</f>
        <v>1650000000</v>
      </c>
      <c r="I90">
        <f>Lookup!N93</f>
        <v>0</v>
      </c>
      <c r="J90">
        <f>Lookup!O93</f>
        <v>1789000000</v>
      </c>
      <c r="K90">
        <f>Lookup!P93</f>
        <v>1560000000</v>
      </c>
      <c r="L90">
        <f>Lookup!Q93</f>
        <v>-102000000</v>
      </c>
      <c r="M90">
        <f>Lookup!R93</f>
        <v>1292000000</v>
      </c>
      <c r="N90">
        <f>Lookup!S93</f>
        <v>460000000</v>
      </c>
      <c r="O90">
        <f>Lookup!T93</f>
        <v>1118000000</v>
      </c>
      <c r="P90">
        <f>Lookup!U93</f>
        <v>0</v>
      </c>
      <c r="Q90">
        <f>Lookup!V93</f>
        <v>242000000</v>
      </c>
      <c r="R90">
        <f>Lookup!W93</f>
        <v>0</v>
      </c>
      <c r="S90">
        <f>Lookup!X93</f>
        <v>926000000</v>
      </c>
      <c r="T90">
        <f>Lookup!Y93</f>
        <v>0</v>
      </c>
      <c r="U90">
        <f>Lookup!Z93</f>
        <v>0</v>
      </c>
      <c r="V90">
        <f>Lookup!AA93</f>
        <v>0</v>
      </c>
      <c r="W90">
        <f>Lookup!AB93</f>
        <v>0</v>
      </c>
      <c r="X90">
        <f>Lookup!AC93</f>
        <v>0.15</v>
      </c>
      <c r="Y90">
        <f>Lookup!AD93</f>
        <v>0.12</v>
      </c>
      <c r="Z90" t="str">
        <f t="shared" ca="1" si="5"/>
        <v>KO_INC-ST_QRTLY.xlsx</v>
      </c>
      <c r="AA90" t="str">
        <f t="shared" ca="1" si="4"/>
        <v>KO_INC-ST_QR-001</v>
      </c>
      <c r="AB90" s="16">
        <f t="shared" ca="1" si="6"/>
        <v>46088.824799074071</v>
      </c>
    </row>
    <row r="91" spans="1:28" x14ac:dyDescent="0.25">
      <c r="A91" t="str">
        <f>Lookup!F94</f>
        <v>KO</v>
      </c>
      <c r="B91" s="14">
        <f ca="1">Lookup!G94</f>
        <v>46088</v>
      </c>
      <c r="C91">
        <f>Lookup!H94</f>
        <v>2003</v>
      </c>
      <c r="D91" t="str">
        <f>Lookup!I94</f>
        <v>Q3</v>
      </c>
      <c r="E91">
        <f>Lookup!J94</f>
        <v>5671000000</v>
      </c>
      <c r="F91">
        <f>Lookup!K94</f>
        <v>2127000000</v>
      </c>
      <c r="G91">
        <f>Lookup!L94</f>
        <v>2885000000</v>
      </c>
      <c r="H91">
        <f>Lookup!M94</f>
        <v>1804000000</v>
      </c>
      <c r="I91">
        <f>Lookup!N94</f>
        <v>0</v>
      </c>
      <c r="J91">
        <f>Lookup!O94</f>
        <v>1881000000</v>
      </c>
      <c r="K91">
        <f>Lookup!P94</f>
        <v>1158000000</v>
      </c>
      <c r="L91">
        <f>Lookup!Q94</f>
        <v>44000000</v>
      </c>
      <c r="M91">
        <f>Lookup!R94</f>
        <v>1534000000</v>
      </c>
      <c r="N91">
        <f>Lookup!S94</f>
        <v>479000000</v>
      </c>
      <c r="O91">
        <f>Lookup!T94</f>
        <v>873000000</v>
      </c>
      <c r="P91">
        <f>Lookup!U94</f>
        <v>0</v>
      </c>
      <c r="Q91">
        <f>Lookup!V94</f>
        <v>1067000000</v>
      </c>
      <c r="R91">
        <f>Lookup!W94</f>
        <v>0</v>
      </c>
      <c r="S91">
        <f>Lookup!X94</f>
        <v>-58000000</v>
      </c>
      <c r="T91">
        <f>Lookup!Y94</f>
        <v>0</v>
      </c>
      <c r="U91">
        <f>Lookup!Z94</f>
        <v>0</v>
      </c>
      <c r="V91">
        <f>Lookup!AA94</f>
        <v>0</v>
      </c>
      <c r="W91">
        <f>Lookup!AB94</f>
        <v>0</v>
      </c>
      <c r="X91">
        <f>Lookup!AC94</f>
        <v>0.12</v>
      </c>
      <c r="Y91">
        <f>Lookup!AD94</f>
        <v>0.18</v>
      </c>
      <c r="Z91" t="str">
        <f t="shared" ca="1" si="5"/>
        <v>KO_INC-ST_QRTLY.xlsx</v>
      </c>
      <c r="AA91" t="str">
        <f t="shared" ca="1" si="4"/>
        <v>KO_INC-ST_QR-001</v>
      </c>
      <c r="AB91" s="16">
        <f t="shared" ca="1" si="6"/>
        <v>46088.824799074071</v>
      </c>
    </row>
    <row r="92" spans="1:28" x14ac:dyDescent="0.25">
      <c r="A92" t="str">
        <f>Lookup!F95</f>
        <v>KO</v>
      </c>
      <c r="B92" s="14">
        <f ca="1">Lookup!G95</f>
        <v>46088</v>
      </c>
      <c r="C92">
        <f>Lookup!H95</f>
        <v>2003</v>
      </c>
      <c r="D92" t="str">
        <f>Lookup!I95</f>
        <v>Q2</v>
      </c>
      <c r="E92">
        <f>Lookup!J95</f>
        <v>5695000000</v>
      </c>
      <c r="F92">
        <f>Lookup!K95</f>
        <v>1617000000</v>
      </c>
      <c r="G92">
        <f>Lookup!L95</f>
        <v>3094000000</v>
      </c>
      <c r="H92">
        <f>Lookup!M95</f>
        <v>1789000000</v>
      </c>
      <c r="I92">
        <f>Lookup!N95</f>
        <v>0</v>
      </c>
      <c r="J92">
        <f>Lookup!O95</f>
        <v>1527000000</v>
      </c>
      <c r="K92">
        <f>Lookup!P95</f>
        <v>1248000000</v>
      </c>
      <c r="L92">
        <f>Lookup!Q95</f>
        <v>223000000</v>
      </c>
      <c r="M92">
        <f>Lookup!R95</f>
        <v>1597000000</v>
      </c>
      <c r="N92">
        <f>Lookup!S95</f>
        <v>374000000</v>
      </c>
      <c r="O92">
        <f>Lookup!T95</f>
        <v>242000000</v>
      </c>
      <c r="P92">
        <f>Lookup!U95</f>
        <v>0</v>
      </c>
      <c r="Q92">
        <f>Lookup!V95</f>
        <v>926000000</v>
      </c>
      <c r="R92">
        <f>Lookup!W95</f>
        <v>0</v>
      </c>
      <c r="S92">
        <f>Lookup!X95</f>
        <v>-45000000</v>
      </c>
      <c r="T92">
        <f>Lookup!Y95</f>
        <v>0</v>
      </c>
      <c r="U92">
        <f>Lookup!Z95</f>
        <v>0</v>
      </c>
      <c r="V92">
        <f>Lookup!AA95</f>
        <v>0</v>
      </c>
      <c r="W92">
        <f>Lookup!AB95</f>
        <v>0</v>
      </c>
      <c r="X92">
        <f>Lookup!AC95</f>
        <v>0.18</v>
      </c>
      <c r="Y92">
        <f>Lookup!AD95</f>
        <v>0.24</v>
      </c>
      <c r="Z92" t="str">
        <f t="shared" ca="1" si="5"/>
        <v>KO_INC-ST_QRTLY.xlsx</v>
      </c>
      <c r="AA92" t="str">
        <f t="shared" ca="1" si="4"/>
        <v>KO_INC-ST_QR-001</v>
      </c>
      <c r="AB92" s="16">
        <f t="shared" ca="1" si="6"/>
        <v>46088.824799074071</v>
      </c>
    </row>
    <row r="93" spans="1:28" x14ac:dyDescent="0.25">
      <c r="A93" t="str">
        <f>Lookup!F96</f>
        <v>KO</v>
      </c>
      <c r="B93" s="14">
        <f ca="1">Lookup!G96</f>
        <v>46088</v>
      </c>
      <c r="C93">
        <f>Lookup!H96</f>
        <v>2003</v>
      </c>
      <c r="D93" t="str">
        <f>Lookup!I96</f>
        <v>Q1</v>
      </c>
      <c r="E93">
        <f>Lookup!J96</f>
        <v>4502000000</v>
      </c>
      <c r="F93">
        <f>Lookup!K96</f>
        <v>1701000000</v>
      </c>
      <c r="G93">
        <f>Lookup!L96</f>
        <v>3239000000</v>
      </c>
      <c r="H93">
        <f>Lookup!M96</f>
        <v>1881000000</v>
      </c>
      <c r="I93">
        <f>Lookup!N96</f>
        <v>0</v>
      </c>
      <c r="J93">
        <f>Lookup!O96</f>
        <v>1562000000</v>
      </c>
      <c r="K93">
        <f>Lookup!P96</f>
        <v>1311000000</v>
      </c>
      <c r="L93">
        <f>Lookup!Q96</f>
        <v>84000000</v>
      </c>
      <c r="M93">
        <f>Lookup!R96</f>
        <v>1247000000</v>
      </c>
      <c r="N93">
        <f>Lookup!S96</f>
        <v>235000000</v>
      </c>
      <c r="O93">
        <f>Lookup!T96</f>
        <v>1067000000</v>
      </c>
      <c r="P93">
        <f>Lookup!U96</f>
        <v>0</v>
      </c>
      <c r="Q93">
        <f>Lookup!V96</f>
        <v>-58000000</v>
      </c>
      <c r="R93">
        <f>Lookup!W96</f>
        <v>0</v>
      </c>
      <c r="S93">
        <f>Lookup!X96</f>
        <v>787000000</v>
      </c>
      <c r="T93">
        <f>Lookup!Y96</f>
        <v>0</v>
      </c>
      <c r="U93">
        <f>Lookup!Z96</f>
        <v>0</v>
      </c>
      <c r="V93">
        <f>Lookup!AA96</f>
        <v>0</v>
      </c>
      <c r="W93">
        <f>Lookup!AB96</f>
        <v>0</v>
      </c>
      <c r="X93">
        <f>Lookup!AC96</f>
        <v>0.24</v>
      </c>
      <c r="Y93">
        <f>Lookup!AD96</f>
        <v>0.17</v>
      </c>
      <c r="Z93" t="str">
        <f t="shared" ca="1" si="5"/>
        <v>KO_INC-ST_QRTLY.xlsx</v>
      </c>
      <c r="AA93" t="str">
        <f t="shared" ca="1" si="4"/>
        <v>KO_INC-ST_QR-001</v>
      </c>
      <c r="AB93" s="16">
        <f t="shared" ca="1" si="6"/>
        <v>46088.824799074071</v>
      </c>
    </row>
    <row r="94" spans="1:28" x14ac:dyDescent="0.25">
      <c r="A94" t="str">
        <f>Lookup!F97</f>
        <v>KO</v>
      </c>
      <c r="B94" s="14">
        <f ca="1">Lookup!G97</f>
        <v>46088</v>
      </c>
      <c r="C94">
        <f>Lookup!H97</f>
        <v>2002</v>
      </c>
      <c r="D94" t="str">
        <f>Lookup!I97</f>
        <v>Q4</v>
      </c>
      <c r="E94">
        <f>Lookup!J97</f>
        <v>4795000000</v>
      </c>
      <c r="F94">
        <f>Lookup!K97</f>
        <v>2083000000</v>
      </c>
      <c r="G94">
        <f>Lookup!L97</f>
        <v>3441000000</v>
      </c>
      <c r="H94">
        <f>Lookup!M97</f>
        <v>1527000000</v>
      </c>
      <c r="I94">
        <f>Lookup!N97</f>
        <v>0</v>
      </c>
      <c r="J94">
        <f>Lookup!O97</f>
        <v>1692000000</v>
      </c>
      <c r="K94">
        <f>Lookup!P97</f>
        <v>1513000000</v>
      </c>
      <c r="L94">
        <f>Lookup!Q97</f>
        <v>-33000000</v>
      </c>
      <c r="M94">
        <f>Lookup!R97</f>
        <v>477000000</v>
      </c>
      <c r="N94">
        <f>Lookup!S97</f>
        <v>416000000</v>
      </c>
      <c r="O94">
        <f>Lookup!T97</f>
        <v>926000000</v>
      </c>
      <c r="P94">
        <f>Lookup!U97</f>
        <v>0</v>
      </c>
      <c r="Q94">
        <f>Lookup!V97</f>
        <v>-45000000</v>
      </c>
      <c r="R94">
        <f>Lookup!W97</f>
        <v>0</v>
      </c>
      <c r="S94">
        <f>Lookup!X97</f>
        <v>942000000</v>
      </c>
      <c r="T94">
        <f>Lookup!Y97</f>
        <v>0</v>
      </c>
      <c r="U94">
        <f>Lookup!Z97</f>
        <v>0</v>
      </c>
      <c r="V94">
        <f>Lookup!AA97</f>
        <v>0</v>
      </c>
      <c r="W94">
        <f>Lookup!AB97</f>
        <v>0</v>
      </c>
      <c r="X94">
        <f>Lookup!AC97</f>
        <v>0.17499999999999999</v>
      </c>
      <c r="Y94">
        <f>Lookup!AD97</f>
        <v>0.16500000000000001</v>
      </c>
      <c r="Z94" t="str">
        <f t="shared" ca="1" si="5"/>
        <v>KO_INC-ST_QRTLY.xlsx</v>
      </c>
      <c r="AA94" t="str">
        <f t="shared" ca="1" si="4"/>
        <v>KO_INC-ST_QR-001</v>
      </c>
      <c r="AB94" s="16">
        <f t="shared" ca="1" si="6"/>
        <v>46088.824799074071</v>
      </c>
    </row>
    <row r="95" spans="1:28" x14ac:dyDescent="0.25">
      <c r="A95" t="str">
        <f>Lookup!F98</f>
        <v>KO</v>
      </c>
      <c r="B95" s="14">
        <f ca="1">Lookup!G98</f>
        <v>46088</v>
      </c>
      <c r="C95">
        <f>Lookup!H98</f>
        <v>2002</v>
      </c>
      <c r="D95" t="str">
        <f>Lookup!I98</f>
        <v>Q3</v>
      </c>
      <c r="E95">
        <f>Lookup!J98</f>
        <v>5322000000</v>
      </c>
      <c r="F95">
        <f>Lookup!K98</f>
        <v>1927000000</v>
      </c>
      <c r="G95">
        <f>Lookup!L98</f>
        <v>2685000000</v>
      </c>
      <c r="H95">
        <f>Lookup!M98</f>
        <v>1562000000</v>
      </c>
      <c r="I95">
        <f>Lookup!N98</f>
        <v>0</v>
      </c>
      <c r="J95">
        <f>Lookup!O98</f>
        <v>1561000000</v>
      </c>
      <c r="K95">
        <f>Lookup!P98</f>
        <v>1280000000</v>
      </c>
      <c r="L95">
        <f>Lookup!Q98</f>
        <v>318000000</v>
      </c>
      <c r="M95">
        <f>Lookup!R98</f>
        <v>1483000000</v>
      </c>
      <c r="N95">
        <f>Lookup!S98</f>
        <v>416000000</v>
      </c>
      <c r="O95">
        <f>Lookup!T98</f>
        <v>-58000000</v>
      </c>
      <c r="P95">
        <f>Lookup!U98</f>
        <v>0</v>
      </c>
      <c r="Q95">
        <f>Lookup!V98</f>
        <v>787000000</v>
      </c>
      <c r="R95">
        <f>Lookup!W98</f>
        <v>0</v>
      </c>
      <c r="S95">
        <f>Lookup!X98</f>
        <v>747000000</v>
      </c>
      <c r="T95">
        <f>Lookup!Y98</f>
        <v>0</v>
      </c>
      <c r="U95">
        <f>Lookup!Z98</f>
        <v>0</v>
      </c>
      <c r="V95">
        <f>Lookup!AA98</f>
        <v>0</v>
      </c>
      <c r="W95">
        <f>Lookup!AB98</f>
        <v>0</v>
      </c>
      <c r="X95">
        <f>Lookup!AC98</f>
        <v>0.16500000000000001</v>
      </c>
      <c r="Y95">
        <f>Lookup!AD98</f>
        <v>0.20499999999999999</v>
      </c>
      <c r="Z95" t="str">
        <f t="shared" ca="1" si="5"/>
        <v>KO_INC-ST_QRTLY.xlsx</v>
      </c>
      <c r="AA95" t="str">
        <f t="shared" ca="1" si="4"/>
        <v>KO_INC-ST_QR-001</v>
      </c>
      <c r="AB95" s="16">
        <f t="shared" ca="1" si="6"/>
        <v>46088.824799074071</v>
      </c>
    </row>
    <row r="96" spans="1:28" x14ac:dyDescent="0.25">
      <c r="A96" t="str">
        <f>Lookup!F99</f>
        <v>KO</v>
      </c>
      <c r="B96" s="14">
        <f ca="1">Lookup!G99</f>
        <v>46088</v>
      </c>
      <c r="C96">
        <f>Lookup!H99</f>
        <v>2002</v>
      </c>
      <c r="D96" t="str">
        <f>Lookup!I99</f>
        <v>Q2</v>
      </c>
      <c r="E96">
        <f>Lookup!J99</f>
        <v>5368000000</v>
      </c>
      <c r="F96">
        <f>Lookup!K99</f>
        <v>1394000000</v>
      </c>
      <c r="G96">
        <f>Lookup!L99</f>
        <v>2810000000</v>
      </c>
      <c r="H96">
        <f>Lookup!M99</f>
        <v>1692000000</v>
      </c>
      <c r="I96">
        <f>Lookup!N99</f>
        <v>0</v>
      </c>
      <c r="J96">
        <f>Lookup!O99</f>
        <v>1334000000</v>
      </c>
      <c r="K96">
        <f>Lookup!P99</f>
        <v>159000000</v>
      </c>
      <c r="L96">
        <f>Lookup!Q99</f>
        <v>156000000</v>
      </c>
      <c r="M96">
        <f>Lookup!R99</f>
        <v>1342000000</v>
      </c>
      <c r="N96">
        <f>Lookup!S99</f>
        <v>155000000</v>
      </c>
      <c r="O96">
        <f>Lookup!T99</f>
        <v>-45000000</v>
      </c>
      <c r="P96">
        <f>Lookup!U99</f>
        <v>0</v>
      </c>
      <c r="Q96">
        <f>Lookup!V99</f>
        <v>942000000</v>
      </c>
      <c r="R96">
        <f>Lookup!W99</f>
        <v>0</v>
      </c>
      <c r="S96">
        <f>Lookup!X99</f>
        <v>597000000</v>
      </c>
      <c r="T96">
        <f>Lookup!Y99</f>
        <v>0</v>
      </c>
      <c r="U96">
        <f>Lookup!Z99</f>
        <v>0</v>
      </c>
      <c r="V96">
        <f>Lookup!AA99</f>
        <v>0</v>
      </c>
      <c r="W96">
        <f>Lookup!AB99</f>
        <v>0</v>
      </c>
      <c r="X96">
        <f>Lookup!AC99</f>
        <v>0.20499999999999999</v>
      </c>
      <c r="Y96">
        <f>Lookup!AD99</f>
        <v>0.26500000000000001</v>
      </c>
      <c r="Z96" t="str">
        <f t="shared" ca="1" si="5"/>
        <v>KO_INC-ST_QRTLY.xlsx</v>
      </c>
      <c r="AA96" t="str">
        <f t="shared" ca="1" si="4"/>
        <v>KO_INC-ST_QR-001</v>
      </c>
      <c r="AB96" s="16">
        <f t="shared" ca="1" si="6"/>
        <v>46088.824799074071</v>
      </c>
    </row>
    <row r="97" spans="1:28" x14ac:dyDescent="0.25">
      <c r="A97" t="str">
        <f>Lookup!F100</f>
        <v>KO</v>
      </c>
      <c r="B97" s="14">
        <f ca="1">Lookup!G100</f>
        <v>46088</v>
      </c>
      <c r="C97">
        <f>Lookup!H100</f>
        <v>2002</v>
      </c>
      <c r="D97" t="str">
        <f>Lookup!I100</f>
        <v>Q1</v>
      </c>
      <c r="E97">
        <f>Lookup!J100</f>
        <v>4079000000</v>
      </c>
      <c r="F97">
        <f>Lookup!K100</f>
        <v>1428000000</v>
      </c>
      <c r="G97">
        <f>Lookup!L100</f>
        <v>3003000000</v>
      </c>
      <c r="H97">
        <f>Lookup!M100</f>
        <v>1561000000</v>
      </c>
      <c r="I97">
        <f>Lookup!N100</f>
        <v>0</v>
      </c>
      <c r="J97">
        <f>Lookup!O100</f>
        <v>3351000000</v>
      </c>
      <c r="K97">
        <f>Lookup!P100</f>
        <v>1327000000</v>
      </c>
      <c r="L97">
        <f>Lookup!Q100</f>
        <v>57000000</v>
      </c>
      <c r="M97">
        <f>Lookup!R100</f>
        <v>97000000</v>
      </c>
      <c r="N97">
        <f>Lookup!S100</f>
        <v>275000000</v>
      </c>
      <c r="O97">
        <f>Lookup!T100</f>
        <v>787000000</v>
      </c>
      <c r="P97">
        <f>Lookup!U100</f>
        <v>0</v>
      </c>
      <c r="Q97">
        <f>Lookup!V100</f>
        <v>747000000</v>
      </c>
      <c r="R97">
        <f>Lookup!W100</f>
        <v>0</v>
      </c>
      <c r="S97">
        <f>Lookup!X100</f>
        <v>888000000</v>
      </c>
      <c r="T97">
        <f>Lookup!Y100</f>
        <v>0</v>
      </c>
      <c r="U97">
        <f>Lookup!Z100</f>
        <v>0</v>
      </c>
      <c r="V97">
        <f>Lookup!AA100</f>
        <v>0</v>
      </c>
      <c r="W97">
        <f>Lookup!AB100</f>
        <v>0</v>
      </c>
      <c r="X97">
        <f>Lookup!AC100</f>
        <v>0.26500000000000001</v>
      </c>
      <c r="Y97">
        <f>Lookup!AD100</f>
        <v>0.2</v>
      </c>
      <c r="Z97" t="str">
        <f t="shared" ca="1" si="5"/>
        <v>KO_INC-ST_QRTLY.xlsx</v>
      </c>
      <c r="AA97" t="str">
        <f t="shared" ca="1" si="4"/>
        <v>KO_INC-ST_QR-001</v>
      </c>
      <c r="AB97" s="16">
        <f t="shared" ca="1" si="6"/>
        <v>46088.824799074071</v>
      </c>
    </row>
    <row r="98" spans="1:28" x14ac:dyDescent="0.25">
      <c r="A98" t="str">
        <f>Lookup!F101</f>
        <v>KO</v>
      </c>
      <c r="B98" s="14">
        <f ca="1">Lookup!G101</f>
        <v>46088</v>
      </c>
      <c r="C98">
        <f>Lookup!H101</f>
        <v>2001</v>
      </c>
      <c r="D98" t="str">
        <f>Lookup!I101</f>
        <v>Q4</v>
      </c>
      <c r="E98">
        <f>Lookup!J101</f>
        <v>4238000000</v>
      </c>
      <c r="F98">
        <f>Lookup!K101</f>
        <v>1692000000</v>
      </c>
      <c r="G98">
        <f>Lookup!L101</f>
        <v>3074000000</v>
      </c>
      <c r="H98">
        <f>Lookup!M101</f>
        <v>1334000000</v>
      </c>
      <c r="I98">
        <f>Lookup!N101</f>
        <v>-478000000</v>
      </c>
      <c r="J98">
        <f>Lookup!O101</f>
        <v>2350000000</v>
      </c>
      <c r="K98">
        <f>Lookup!P101</f>
        <v>1285000000</v>
      </c>
      <c r="L98">
        <f>Lookup!Q101</f>
        <v>-143000000</v>
      </c>
      <c r="M98">
        <f>Lookup!R101</f>
        <v>230000000</v>
      </c>
      <c r="N98">
        <f>Lookup!S101</f>
        <v>354000000</v>
      </c>
      <c r="O98">
        <f>Lookup!T101</f>
        <v>942000000</v>
      </c>
      <c r="P98">
        <f>Lookup!U101</f>
        <v>0</v>
      </c>
      <c r="Q98">
        <f>Lookup!V101</f>
        <v>597000000</v>
      </c>
      <c r="R98">
        <f>Lookup!W101</f>
        <v>0</v>
      </c>
      <c r="S98">
        <f>Lookup!X101</f>
        <v>1191000000</v>
      </c>
      <c r="T98">
        <f>Lookup!Y101</f>
        <v>0</v>
      </c>
      <c r="U98">
        <f>Lookup!Z101</f>
        <v>0</v>
      </c>
      <c r="V98">
        <f>Lookup!AA101</f>
        <v>0</v>
      </c>
      <c r="W98">
        <f>Lookup!AB101</f>
        <v>0</v>
      </c>
      <c r="X98">
        <f>Lookup!AC101</f>
        <v>0.2</v>
      </c>
      <c r="Y98">
        <f>Lookup!AD101</f>
        <v>0.155</v>
      </c>
      <c r="Z98" t="str">
        <f t="shared" ca="1" si="5"/>
        <v>KO_INC-ST_QRTLY.xlsx</v>
      </c>
      <c r="AA98" t="str">
        <f t="shared" ca="1" si="4"/>
        <v>KO_INC-ST_QR-001</v>
      </c>
      <c r="AB98" s="16">
        <f t="shared" ca="1" si="6"/>
        <v>46088.824799074071</v>
      </c>
    </row>
    <row r="99" spans="1:28" x14ac:dyDescent="0.25">
      <c r="A99" t="str">
        <f>Lookup!F102</f>
        <v>KO</v>
      </c>
      <c r="B99" s="14">
        <f ca="1">Lookup!G102</f>
        <v>46088</v>
      </c>
      <c r="C99">
        <f>Lookup!H102</f>
        <v>2001</v>
      </c>
      <c r="D99" t="str">
        <f>Lookup!I102</f>
        <v>Q3</v>
      </c>
      <c r="E99">
        <f>Lookup!J102</f>
        <v>4695000000</v>
      </c>
      <c r="F99">
        <f>Lookup!K102</f>
        <v>1579000000</v>
      </c>
      <c r="G99">
        <f>Lookup!L102</f>
        <v>2614000000</v>
      </c>
      <c r="H99">
        <f>Lookup!M102</f>
        <v>3351000000</v>
      </c>
      <c r="I99">
        <f>Lookup!N102</f>
        <v>-94000000</v>
      </c>
      <c r="J99">
        <f>Lookup!O102</f>
        <v>2525000000</v>
      </c>
      <c r="K99">
        <f>Lookup!P102</f>
        <v>240000000</v>
      </c>
      <c r="L99">
        <f>Lookup!Q102</f>
        <v>-119000000</v>
      </c>
      <c r="M99">
        <f>Lookup!R102</f>
        <v>1141000000</v>
      </c>
      <c r="N99">
        <f>Lookup!S102</f>
        <v>424000000</v>
      </c>
      <c r="O99">
        <f>Lookup!T102</f>
        <v>747000000</v>
      </c>
      <c r="P99">
        <f>Lookup!U102</f>
        <v>0</v>
      </c>
      <c r="Q99">
        <f>Lookup!V102</f>
        <v>888000000</v>
      </c>
      <c r="R99">
        <f>Lookup!W102</f>
        <v>0</v>
      </c>
      <c r="S99">
        <f>Lookup!X102</f>
        <v>857000000</v>
      </c>
      <c r="T99">
        <f>Lookup!Y102</f>
        <v>0</v>
      </c>
      <c r="U99">
        <f>Lookup!Z102</f>
        <v>0</v>
      </c>
      <c r="V99">
        <f>Lookup!AA102</f>
        <v>0</v>
      </c>
      <c r="W99">
        <f>Lookup!AB102</f>
        <v>0</v>
      </c>
      <c r="X99">
        <f>Lookup!AC102</f>
        <v>0.155</v>
      </c>
      <c r="Y99">
        <f>Lookup!AD102</f>
        <v>0.19500000000000001</v>
      </c>
      <c r="Z99" t="str">
        <f t="shared" ca="1" si="5"/>
        <v>KO_INC-ST_QRTLY.xlsx</v>
      </c>
      <c r="AA99" t="str">
        <f t="shared" ca="1" si="4"/>
        <v>KO_INC-ST_QR-001</v>
      </c>
      <c r="AB99" s="16">
        <f t="shared" ca="1" si="6"/>
        <v>46088.824799074071</v>
      </c>
    </row>
    <row r="100" spans="1:28" x14ac:dyDescent="0.25">
      <c r="A100" t="str">
        <f>Lookup!F103</f>
        <v>KO</v>
      </c>
      <c r="B100" s="14">
        <f ca="1">Lookup!G103</f>
        <v>46088</v>
      </c>
      <c r="C100">
        <f>Lookup!H103</f>
        <v>2001</v>
      </c>
      <c r="D100" t="str">
        <f>Lookup!I103</f>
        <v>Q2</v>
      </c>
      <c r="E100">
        <f>Lookup!J103</f>
        <v>4653000000</v>
      </c>
      <c r="F100">
        <f>Lookup!K103</f>
        <v>1345000000</v>
      </c>
      <c r="G100">
        <f>Lookup!L103</f>
        <v>3510000000</v>
      </c>
      <c r="H100">
        <f>Lookup!M103</f>
        <v>2256000000</v>
      </c>
      <c r="I100">
        <f>Lookup!N103</f>
        <v>-191000000</v>
      </c>
      <c r="J100">
        <f>Lookup!O103</f>
        <v>2618000000</v>
      </c>
      <c r="K100">
        <f>Lookup!P103</f>
        <v>477000000</v>
      </c>
      <c r="L100">
        <f>Lookup!Q103</f>
        <v>42000000</v>
      </c>
      <c r="M100">
        <f>Lookup!R103</f>
        <v>1366000000</v>
      </c>
      <c r="N100">
        <f>Lookup!S103</f>
        <v>335000000</v>
      </c>
      <c r="O100">
        <f>Lookup!T103</f>
        <v>597000000</v>
      </c>
      <c r="P100">
        <f>Lookup!U103</f>
        <v>0</v>
      </c>
      <c r="Q100">
        <f>Lookup!V103</f>
        <v>1191000000</v>
      </c>
      <c r="R100">
        <f>Lookup!W103</f>
        <v>0</v>
      </c>
      <c r="S100">
        <f>Lookup!X103</f>
        <v>817000000</v>
      </c>
      <c r="T100">
        <f>Lookup!Y103</f>
        <v>0</v>
      </c>
      <c r="U100">
        <f>Lookup!Z103</f>
        <v>0</v>
      </c>
      <c r="V100">
        <f>Lookup!AA103</f>
        <v>0</v>
      </c>
      <c r="W100">
        <f>Lookup!AB103</f>
        <v>0</v>
      </c>
      <c r="X100">
        <f>Lookup!AC103</f>
        <v>0.19500000000000001</v>
      </c>
      <c r="Y100">
        <f>Lookup!AD103</f>
        <v>0.21</v>
      </c>
      <c r="Z100" t="str">
        <f t="shared" ca="1" si="5"/>
        <v>KO_INC-ST_QRTLY.xlsx</v>
      </c>
      <c r="AA100" t="str">
        <f t="shared" ca="1" si="4"/>
        <v>KO_INC-ST_QR-001</v>
      </c>
      <c r="AB100" s="16">
        <f t="shared" ca="1" si="6"/>
        <v>46088.824799074071</v>
      </c>
    </row>
    <row r="101" spans="1:28" x14ac:dyDescent="0.25">
      <c r="A101" t="str">
        <f>Lookup!F104</f>
        <v>KO</v>
      </c>
      <c r="B101" s="14">
        <f ca="1">Lookup!G104</f>
        <v>46088</v>
      </c>
      <c r="C101">
        <f>Lookup!H104</f>
        <v>2001</v>
      </c>
      <c r="D101" t="str">
        <f>Lookup!I104</f>
        <v>Q1</v>
      </c>
      <c r="E101">
        <f>Lookup!J104</f>
        <v>3959000000</v>
      </c>
      <c r="F101">
        <f>Lookup!K104</f>
        <v>1393000000</v>
      </c>
      <c r="G101">
        <f>Lookup!L104</f>
        <v>3677000000</v>
      </c>
      <c r="H101">
        <f>Lookup!M104</f>
        <v>2334000000</v>
      </c>
      <c r="I101">
        <f>Lookup!N104</f>
        <v>-680000000</v>
      </c>
      <c r="J101">
        <f>Lookup!O104</f>
        <v>3118000000</v>
      </c>
      <c r="K101">
        <f>Lookup!P104</f>
        <v>1099000000</v>
      </c>
      <c r="L101">
        <f>Lookup!Q104</f>
        <v>-24000000</v>
      </c>
      <c r="M101">
        <f>Lookup!R104</f>
        <v>1082000000</v>
      </c>
      <c r="N101">
        <f>Lookup!S104</f>
        <v>268000000</v>
      </c>
      <c r="O101">
        <f>Lookup!T104</f>
        <v>888000000</v>
      </c>
      <c r="P101">
        <f>Lookup!U104</f>
        <v>0</v>
      </c>
      <c r="Q101">
        <f>Lookup!V104</f>
        <v>857000000</v>
      </c>
      <c r="R101">
        <f>Lookup!W104</f>
        <v>0</v>
      </c>
      <c r="S101">
        <f>Lookup!X104</f>
        <v>1011000000</v>
      </c>
      <c r="T101">
        <f>Lookup!Y104</f>
        <v>0</v>
      </c>
      <c r="U101">
        <f>Lookup!Z104</f>
        <v>0</v>
      </c>
      <c r="V101">
        <f>Lookup!AA104</f>
        <v>0</v>
      </c>
      <c r="W101">
        <f>Lookup!AB104</f>
        <v>0</v>
      </c>
      <c r="X101">
        <f>Lookup!AC104</f>
        <v>0.21</v>
      </c>
      <c r="Y101">
        <f>Lookup!AD104</f>
        <v>0.14249999999999999</v>
      </c>
      <c r="Z101" t="str">
        <f t="shared" ca="1" si="5"/>
        <v>KO_INC-ST_QRTLY.xlsx</v>
      </c>
      <c r="AA101" t="str">
        <f t="shared" ca="1" si="4"/>
        <v>KO_INC-ST_QR-001</v>
      </c>
      <c r="AB101" s="16">
        <f t="shared" ca="1" si="6"/>
        <v>46088.824799074071</v>
      </c>
    </row>
    <row r="102" spans="1:28" x14ac:dyDescent="0.25">
      <c r="A102" t="str">
        <f>Lookup!F105</f>
        <v>KO</v>
      </c>
      <c r="B102" s="14">
        <f ca="1">Lookup!G105</f>
        <v>46088</v>
      </c>
      <c r="C102">
        <f>Lookup!H105</f>
        <v>2000</v>
      </c>
      <c r="D102" t="str">
        <f>Lookup!I105</f>
        <v>Q4</v>
      </c>
      <c r="E102">
        <f>Lookup!J105</f>
        <v>4903000000</v>
      </c>
      <c r="F102">
        <f>Lookup!K105</f>
        <v>1736000000</v>
      </c>
      <c r="G102">
        <f>Lookup!L105</f>
        <v>3810000000</v>
      </c>
      <c r="H102">
        <f>Lookup!M105</f>
        <v>1938000000</v>
      </c>
      <c r="I102">
        <f>Lookup!N105</f>
        <v>0</v>
      </c>
      <c r="J102">
        <f>Lookup!O105</f>
        <v>2390000000</v>
      </c>
      <c r="K102">
        <f>Lookup!P105</f>
        <v>1390000000</v>
      </c>
      <c r="L102">
        <f>Lookup!Q105</f>
        <v>-62000000</v>
      </c>
      <c r="M102">
        <f>Lookup!R105</f>
        <v>865000000</v>
      </c>
      <c r="N102">
        <f>Lookup!S105</f>
        <v>399000000</v>
      </c>
      <c r="O102">
        <f>Lookup!T105</f>
        <v>1191000000</v>
      </c>
      <c r="P102">
        <f>Lookup!U105</f>
        <v>0</v>
      </c>
      <c r="Q102">
        <f>Lookup!V105</f>
        <v>817000000</v>
      </c>
      <c r="R102">
        <f>Lookup!W105</f>
        <v>0</v>
      </c>
      <c r="S102">
        <f>Lookup!X105</f>
        <v>1314000000</v>
      </c>
      <c r="T102">
        <f>Lookup!Y105</f>
        <v>0</v>
      </c>
      <c r="U102">
        <f>Lookup!Z105</f>
        <v>0</v>
      </c>
      <c r="V102">
        <f>Lookup!AA105</f>
        <v>0</v>
      </c>
      <c r="W102">
        <f>Lookup!AB105</f>
        <v>0</v>
      </c>
      <c r="X102">
        <f>Lookup!AC105</f>
        <v>0.14249999999999999</v>
      </c>
      <c r="Y102">
        <f>Lookup!AD105</f>
        <v>0.13</v>
      </c>
      <c r="Z102" t="str">
        <f t="shared" ca="1" si="5"/>
        <v>KO_INC-ST_QRTLY.xlsx</v>
      </c>
      <c r="AA102" t="str">
        <f t="shared" ca="1" si="4"/>
        <v>KO_INC-ST_QR-001</v>
      </c>
      <c r="AB102" s="16">
        <f t="shared" ca="1" si="6"/>
        <v>46088.824799074071</v>
      </c>
    </row>
    <row r="103" spans="1:28" x14ac:dyDescent="0.25">
      <c r="A103" t="str">
        <f>Lookup!F106</f>
        <v>KO</v>
      </c>
      <c r="B103" s="14">
        <f ca="1">Lookup!G106</f>
        <v>46088</v>
      </c>
      <c r="C103">
        <f>Lookup!H106</f>
        <v>2000</v>
      </c>
      <c r="D103" t="str">
        <f>Lookup!I106</f>
        <v>Q3</v>
      </c>
      <c r="E103">
        <f>Lookup!J106</f>
        <v>5413000000</v>
      </c>
      <c r="F103">
        <f>Lookup!K106</f>
        <v>1677000000</v>
      </c>
      <c r="G103">
        <f>Lookup!L106</f>
        <v>2858000000</v>
      </c>
      <c r="H103">
        <f>Lookup!M106</f>
        <v>3118000000</v>
      </c>
      <c r="I103">
        <f>Lookup!N106</f>
        <v>0</v>
      </c>
      <c r="J103">
        <f>Lookup!O106</f>
        <v>2353000000</v>
      </c>
      <c r="K103">
        <f>Lookup!P106</f>
        <v>1144000000</v>
      </c>
      <c r="L103">
        <f>Lookup!Q106</f>
        <v>-72000000</v>
      </c>
      <c r="M103">
        <f>Lookup!R106</f>
        <v>1287000000</v>
      </c>
      <c r="N103">
        <f>Lookup!S106</f>
        <v>612000000</v>
      </c>
      <c r="O103">
        <f>Lookup!T106</f>
        <v>857000000</v>
      </c>
      <c r="P103">
        <f>Lookup!U106</f>
        <v>0</v>
      </c>
      <c r="Q103">
        <f>Lookup!V106</f>
        <v>1011000000</v>
      </c>
      <c r="R103">
        <f>Lookup!W106</f>
        <v>0</v>
      </c>
      <c r="S103">
        <f>Lookup!X106</f>
        <v>987000000</v>
      </c>
      <c r="T103">
        <f>Lookup!Y106</f>
        <v>0</v>
      </c>
      <c r="U103">
        <f>Lookup!Z106</f>
        <v>0</v>
      </c>
      <c r="V103">
        <f>Lookup!AA106</f>
        <v>0</v>
      </c>
      <c r="W103">
        <f>Lookup!AB106</f>
        <v>0</v>
      </c>
      <c r="X103">
        <f>Lookup!AC106</f>
        <v>0.13</v>
      </c>
      <c r="Y103">
        <f>Lookup!AD106</f>
        <v>0.16</v>
      </c>
      <c r="Z103" t="str">
        <f t="shared" ca="1" si="5"/>
        <v>KO_INC-ST_QRTLY.xlsx</v>
      </c>
      <c r="AA103" t="str">
        <f t="shared" ca="1" si="4"/>
        <v>KO_INC-ST_QR-001</v>
      </c>
      <c r="AB103" s="16">
        <f t="shared" ca="1" si="6"/>
        <v>46088.824799074071</v>
      </c>
    </row>
    <row r="104" spans="1:28" x14ac:dyDescent="0.25">
      <c r="A104" t="str">
        <f>Lookup!F107</f>
        <v>KO</v>
      </c>
      <c r="B104" s="14">
        <f ca="1">Lookup!G107</f>
        <v>46088</v>
      </c>
      <c r="C104">
        <f>Lookup!H107</f>
        <v>2000</v>
      </c>
      <c r="D104" t="str">
        <f>Lookup!I107</f>
        <v>Q2</v>
      </c>
      <c r="E104">
        <f>Lookup!J107</f>
        <v>5487000000</v>
      </c>
      <c r="F104">
        <f>Lookup!K107</f>
        <v>1398000000</v>
      </c>
      <c r="G104">
        <f>Lookup!L107</f>
        <v>3595000000</v>
      </c>
      <c r="H104">
        <f>Lookup!M107</f>
        <v>2390000000</v>
      </c>
      <c r="I104">
        <f>Lookup!N107</f>
        <v>0</v>
      </c>
      <c r="J104">
        <f>Lookup!O107</f>
        <v>1953000000</v>
      </c>
      <c r="K104">
        <f>Lookup!P107</f>
        <v>937000000</v>
      </c>
      <c r="L104">
        <f>Lookup!Q107</f>
        <v>50000000</v>
      </c>
      <c r="M104">
        <f>Lookup!R107</f>
        <v>1803000000</v>
      </c>
      <c r="N104">
        <f>Lookup!S107</f>
        <v>386000000</v>
      </c>
      <c r="O104">
        <f>Lookup!T107</f>
        <v>817000000</v>
      </c>
      <c r="P104">
        <f>Lookup!U107</f>
        <v>0</v>
      </c>
      <c r="Q104">
        <f>Lookup!V107</f>
        <v>1314000000</v>
      </c>
      <c r="R104">
        <f>Lookup!W107</f>
        <v>0</v>
      </c>
      <c r="S104">
        <f>Lookup!X107</f>
        <v>762000000</v>
      </c>
      <c r="T104">
        <f>Lookup!Y107</f>
        <v>0</v>
      </c>
      <c r="U104">
        <f>Lookup!Z107</f>
        <v>0</v>
      </c>
      <c r="V104">
        <f>Lookup!AA107</f>
        <v>0</v>
      </c>
      <c r="W104">
        <f>Lookup!AB107</f>
        <v>0</v>
      </c>
      <c r="X104">
        <f>Lookup!AC107</f>
        <v>0.16</v>
      </c>
      <c r="Y104">
        <f>Lookup!AD107</f>
        <v>0.17499999999999999</v>
      </c>
      <c r="Z104" t="str">
        <f t="shared" ca="1" si="5"/>
        <v>KO_INC-ST_QRTLY.xlsx</v>
      </c>
      <c r="AA104" t="str">
        <f t="shared" ca="1" si="4"/>
        <v>KO_INC-ST_QR-001</v>
      </c>
      <c r="AB104" s="16">
        <f t="shared" ca="1" si="6"/>
        <v>46088.824799074071</v>
      </c>
    </row>
    <row r="105" spans="1:28" x14ac:dyDescent="0.25">
      <c r="A105" t="str">
        <f>Lookup!F108</f>
        <v>KO</v>
      </c>
      <c r="B105" s="14">
        <f ca="1">Lookup!G108</f>
        <v>46088</v>
      </c>
      <c r="C105">
        <f>Lookup!H108</f>
        <v>2000</v>
      </c>
      <c r="D105" t="str">
        <f>Lookup!I108</f>
        <v>Q1</v>
      </c>
      <c r="E105">
        <f>Lookup!J108</f>
        <v>4256000000</v>
      </c>
      <c r="F105">
        <f>Lookup!K108</f>
        <v>1336000000</v>
      </c>
      <c r="G105">
        <f>Lookup!L108</f>
        <v>3489000000</v>
      </c>
      <c r="H105">
        <f>Lookup!M108</f>
        <v>2353000000</v>
      </c>
      <c r="I105">
        <f>Lookup!N108</f>
        <v>0</v>
      </c>
      <c r="J105">
        <f>Lookup!O108</f>
        <v>2222000000</v>
      </c>
      <c r="K105">
        <f>Lookup!P108</f>
        <v>1237000000</v>
      </c>
      <c r="L105">
        <f>Lookup!Q108</f>
        <v>292000000</v>
      </c>
      <c r="M105">
        <f>Lookup!R108</f>
        <v>1243000000</v>
      </c>
      <c r="N105">
        <f>Lookup!S108</f>
        <v>367000000</v>
      </c>
      <c r="O105">
        <f>Lookup!T108</f>
        <v>1011000000</v>
      </c>
      <c r="P105">
        <f>Lookup!U108</f>
        <v>0</v>
      </c>
      <c r="Q105">
        <f>Lookup!V108</f>
        <v>987000000</v>
      </c>
      <c r="R105">
        <f>Lookup!W108</f>
        <v>0</v>
      </c>
      <c r="S105">
        <f>Lookup!X108</f>
        <v>967000000</v>
      </c>
      <c r="T105">
        <f>Lookup!Y108</f>
        <v>0</v>
      </c>
      <c r="U105">
        <f>Lookup!Z108</f>
        <v>0</v>
      </c>
      <c r="V105">
        <f>Lookup!AA108</f>
        <v>0</v>
      </c>
      <c r="W105">
        <f>Lookup!AB108</f>
        <v>0</v>
      </c>
      <c r="X105">
        <f>Lookup!AC108</f>
        <v>0.17499999999999999</v>
      </c>
      <c r="Y105">
        <f>Lookup!AD108</f>
        <v>0.125</v>
      </c>
      <c r="Z105" t="str">
        <f t="shared" ca="1" si="5"/>
        <v>KO_INC-ST_QRTLY.xlsx</v>
      </c>
      <c r="AA105" t="str">
        <f t="shared" ca="1" si="4"/>
        <v>KO_INC-ST_QR-001</v>
      </c>
      <c r="AB105" s="16">
        <f t="shared" ca="1" si="6"/>
        <v>46088.824799074071</v>
      </c>
    </row>
    <row r="106" spans="1:28" x14ac:dyDescent="0.25">
      <c r="A106" t="str">
        <f>Lookup!F109</f>
        <v>KO</v>
      </c>
      <c r="B106" s="14">
        <f ca="1">Lookup!G109</f>
        <v>46088</v>
      </c>
      <c r="C106">
        <f>Lookup!H109</f>
        <v>1999</v>
      </c>
      <c r="D106" t="str">
        <f>Lookup!I109</f>
        <v>Q4</v>
      </c>
      <c r="E106">
        <f>Lookup!J109</f>
        <v>4931000000</v>
      </c>
      <c r="F106">
        <f>Lookup!K109</f>
        <v>1706000000</v>
      </c>
      <c r="G106">
        <f>Lookup!L109</f>
        <v>3743000000</v>
      </c>
      <c r="H106">
        <f>Lookup!M109</f>
        <v>1953000000</v>
      </c>
      <c r="I106">
        <f>Lookup!N109</f>
        <v>0</v>
      </c>
      <c r="J106">
        <f>Lookup!O109</f>
        <v>2064000000</v>
      </c>
      <c r="K106">
        <f>Lookup!P109</f>
        <v>1511000000</v>
      </c>
      <c r="L106">
        <f>Lookup!Q109</f>
        <v>-39000000</v>
      </c>
      <c r="M106">
        <f>Lookup!R109</f>
        <v>1184000000</v>
      </c>
      <c r="N106">
        <f>Lookup!S109</f>
        <v>494000000</v>
      </c>
      <c r="O106">
        <f>Lookup!T109</f>
        <v>1314000000</v>
      </c>
      <c r="P106">
        <f>Lookup!U109</f>
        <v>0</v>
      </c>
      <c r="Q106">
        <f>Lookup!V109</f>
        <v>762000000</v>
      </c>
      <c r="R106">
        <f>Lookup!W109</f>
        <v>0</v>
      </c>
      <c r="S106">
        <f>Lookup!X109</f>
        <v>1050000000</v>
      </c>
      <c r="T106">
        <f>Lookup!Y109</f>
        <v>0</v>
      </c>
      <c r="U106">
        <f>Lookup!Z109</f>
        <v>0</v>
      </c>
      <c r="V106">
        <f>Lookup!AA109</f>
        <v>0</v>
      </c>
      <c r="W106">
        <f>Lookup!AB109</f>
        <v>0</v>
      </c>
      <c r="X106">
        <f>Lookup!AC109</f>
        <v>0.125</v>
      </c>
      <c r="Y106">
        <f>Lookup!AD109</f>
        <v>0.11</v>
      </c>
      <c r="Z106" t="str">
        <f t="shared" ca="1" si="5"/>
        <v>KO_INC-ST_QRTLY.xlsx</v>
      </c>
      <c r="AA106" t="str">
        <f t="shared" ca="1" si="4"/>
        <v>KO_INC-ST_QR-001</v>
      </c>
      <c r="AB106" s="16">
        <f t="shared" ca="1" si="6"/>
        <v>46088.824799074071</v>
      </c>
    </row>
    <row r="107" spans="1:28" x14ac:dyDescent="0.25">
      <c r="A107" t="str">
        <f>Lookup!F110</f>
        <v>KO</v>
      </c>
      <c r="B107" s="14">
        <f ca="1">Lookup!G110</f>
        <v>46088</v>
      </c>
      <c r="C107">
        <f>Lookup!H110</f>
        <v>1999</v>
      </c>
      <c r="D107" t="str">
        <f>Lookup!I110</f>
        <v>Q3</v>
      </c>
      <c r="E107">
        <f>Lookup!J110</f>
        <v>5195000000</v>
      </c>
      <c r="F107">
        <f>Lookup!K110</f>
        <v>1636000000</v>
      </c>
      <c r="G107">
        <f>Lookup!L110</f>
        <v>3097000000</v>
      </c>
      <c r="H107">
        <f>Lookup!M110</f>
        <v>2222000000</v>
      </c>
      <c r="I107">
        <f>Lookup!N110</f>
        <v>0</v>
      </c>
      <c r="J107">
        <f>Lookup!O110</f>
        <v>2141000000</v>
      </c>
      <c r="K107">
        <f>Lookup!P110</f>
        <v>1282000000</v>
      </c>
      <c r="L107">
        <f>Lookup!Q110</f>
        <v>11000000</v>
      </c>
      <c r="M107">
        <f>Lookup!R110</f>
        <v>1505000000</v>
      </c>
      <c r="N107">
        <f>Lookup!S110</f>
        <v>621000000</v>
      </c>
      <c r="O107">
        <f>Lookup!T110</f>
        <v>987000000</v>
      </c>
      <c r="P107">
        <f>Lookup!U110</f>
        <v>0</v>
      </c>
      <c r="Q107">
        <f>Lookup!V110</f>
        <v>967000000</v>
      </c>
      <c r="R107">
        <f>Lookup!W110</f>
        <v>0</v>
      </c>
      <c r="S107">
        <f>Lookup!X110</f>
        <v>713000000</v>
      </c>
      <c r="T107">
        <f>Lookup!Y110</f>
        <v>0</v>
      </c>
      <c r="U107">
        <f>Lookup!Z110</f>
        <v>0</v>
      </c>
      <c r="V107">
        <f>Lookup!AA110</f>
        <v>0</v>
      </c>
      <c r="W107">
        <f>Lookup!AB110</f>
        <v>0</v>
      </c>
      <c r="X107">
        <f>Lookup!AC110</f>
        <v>0.11</v>
      </c>
      <c r="Y107">
        <f>Lookup!AD110</f>
        <v>0.13750000000000001</v>
      </c>
      <c r="Z107" t="str">
        <f t="shared" ca="1" si="5"/>
        <v>KO_INC-ST_QRTLY.xlsx</v>
      </c>
      <c r="AA107" t="str">
        <f t="shared" ca="1" si="4"/>
        <v>KO_INC-ST_QR-001</v>
      </c>
      <c r="AB107" s="16">
        <f t="shared" ca="1" si="6"/>
        <v>46088.824799074071</v>
      </c>
    </row>
    <row r="108" spans="1:28" x14ac:dyDescent="0.25">
      <c r="A108" t="str">
        <f>Lookup!F111</f>
        <v>KO</v>
      </c>
      <c r="B108" s="14">
        <f ca="1">Lookup!G111</f>
        <v>46088</v>
      </c>
      <c r="C108">
        <f>Lookup!H111</f>
        <v>1999</v>
      </c>
      <c r="D108" t="str">
        <f>Lookup!I111</f>
        <v>Q2</v>
      </c>
      <c r="E108">
        <f>Lookup!J111</f>
        <v>5379000000</v>
      </c>
      <c r="F108">
        <f>Lookup!K111</f>
        <v>1331000000</v>
      </c>
      <c r="G108">
        <f>Lookup!L111</f>
        <v>3159000000</v>
      </c>
      <c r="H108">
        <f>Lookup!M111</f>
        <v>2064000000</v>
      </c>
      <c r="I108">
        <f>Lookup!N111</f>
        <v>0</v>
      </c>
      <c r="J108">
        <f>Lookup!O111</f>
        <v>1857000000</v>
      </c>
      <c r="K108">
        <f>Lookup!P111</f>
        <v>1173000000</v>
      </c>
      <c r="L108">
        <f>Lookup!Q111</f>
        <v>262000000</v>
      </c>
      <c r="M108">
        <f>Lookup!R111</f>
        <v>1935000000</v>
      </c>
      <c r="N108">
        <f>Lookup!S111</f>
        <v>444000000</v>
      </c>
      <c r="O108">
        <f>Lookup!T111</f>
        <v>762000000</v>
      </c>
      <c r="P108">
        <f>Lookup!U111</f>
        <v>0</v>
      </c>
      <c r="Q108">
        <f>Lookup!V111</f>
        <v>1050000000</v>
      </c>
      <c r="R108">
        <f>Lookup!W111</f>
        <v>0</v>
      </c>
      <c r="S108">
        <f>Lookup!X111</f>
        <v>648000000</v>
      </c>
      <c r="T108">
        <f>Lookup!Y111</f>
        <v>0</v>
      </c>
      <c r="U108">
        <f>Lookup!Z111</f>
        <v>0</v>
      </c>
      <c r="V108">
        <f>Lookup!AA111</f>
        <v>0</v>
      </c>
      <c r="W108">
        <f>Lookup!AB111</f>
        <v>0</v>
      </c>
      <c r="X108">
        <f>Lookup!AC111</f>
        <v>0.13750000000000001</v>
      </c>
      <c r="Y108">
        <f>Lookup!AD111</f>
        <v>0.14749999999999999</v>
      </c>
      <c r="Z108" t="str">
        <f t="shared" ca="1" si="5"/>
        <v>KO_INC-ST_QRTLY.xlsx</v>
      </c>
      <c r="AA108" t="str">
        <f t="shared" ca="1" si="4"/>
        <v>KO_INC-ST_QR-001</v>
      </c>
      <c r="AB108" s="16">
        <f t="shared" ca="1" si="6"/>
        <v>46088.824799074071</v>
      </c>
    </row>
    <row r="109" spans="1:28" x14ac:dyDescent="0.25">
      <c r="A109" t="str">
        <f>Lookup!F112</f>
        <v>KO</v>
      </c>
      <c r="B109" s="14">
        <f ca="1">Lookup!G112</f>
        <v>46088</v>
      </c>
      <c r="C109">
        <f>Lookup!H112</f>
        <v>1999</v>
      </c>
      <c r="D109" t="str">
        <f>Lookup!I112</f>
        <v>Q1</v>
      </c>
      <c r="E109">
        <f>Lookup!J112</f>
        <v>4428000000</v>
      </c>
      <c r="F109">
        <f>Lookup!K112</f>
        <v>1299000000</v>
      </c>
      <c r="G109">
        <f>Lookup!L112</f>
        <v>3301000000</v>
      </c>
      <c r="H109">
        <f>Lookup!M112</f>
        <v>2141000000</v>
      </c>
      <c r="I109">
        <f>Lookup!N112</f>
        <v>0</v>
      </c>
      <c r="J109">
        <f>Lookup!O112</f>
        <v>2076000000</v>
      </c>
      <c r="K109">
        <f>Lookup!P112</f>
        <v>1243000000</v>
      </c>
      <c r="L109">
        <f>Lookup!Q112</f>
        <v>492000000</v>
      </c>
      <c r="M109">
        <f>Lookup!R112</f>
        <v>1431000000</v>
      </c>
      <c r="N109">
        <f>Lookup!S112</f>
        <v>342000000</v>
      </c>
      <c r="O109">
        <f>Lookup!T112</f>
        <v>967000000</v>
      </c>
      <c r="P109">
        <f>Lookup!U112</f>
        <v>0</v>
      </c>
      <c r="Q109">
        <f>Lookup!V112</f>
        <v>713000000</v>
      </c>
      <c r="R109">
        <f>Lookup!W112</f>
        <v>0</v>
      </c>
      <c r="S109">
        <f>Lookup!X112</f>
        <v>802000000</v>
      </c>
      <c r="T109">
        <f>Lookup!Y112</f>
        <v>0</v>
      </c>
      <c r="U109">
        <f>Lookup!Z112</f>
        <v>0</v>
      </c>
      <c r="V109">
        <f>Lookup!AA112</f>
        <v>0</v>
      </c>
      <c r="W109">
        <f>Lookup!AB112</f>
        <v>0</v>
      </c>
      <c r="X109">
        <f>Lookup!AC112</f>
        <v>0.14749999999999999</v>
      </c>
      <c r="Y109">
        <f>Lookup!AD112</f>
        <v>0.1</v>
      </c>
      <c r="Z109" t="str">
        <f t="shared" ca="1" si="5"/>
        <v>KO_INC-ST_QRTLY.xlsx</v>
      </c>
      <c r="AA109" t="str">
        <f t="shared" ca="1" si="4"/>
        <v>KO_INC-ST_QR-001</v>
      </c>
      <c r="AB109" s="16">
        <f t="shared" ca="1" si="6"/>
        <v>46088.824799074071</v>
      </c>
    </row>
    <row r="110" spans="1:28" x14ac:dyDescent="0.25">
      <c r="A110" t="str">
        <f>Lookup!F113</f>
        <v>KO</v>
      </c>
      <c r="B110" s="14">
        <f ca="1">Lookup!G113</f>
        <v>46088</v>
      </c>
      <c r="C110">
        <f>Lookup!H113</f>
        <v>1998</v>
      </c>
      <c r="D110" t="str">
        <f>Lookup!I113</f>
        <v>Q4</v>
      </c>
      <c r="E110">
        <f>Lookup!J113</f>
        <v>4458000000</v>
      </c>
      <c r="F110">
        <f>Lookup!K113</f>
        <v>1446000000</v>
      </c>
      <c r="G110">
        <f>Lookup!L113</f>
        <v>3652000000</v>
      </c>
      <c r="H110">
        <f>Lookup!M113</f>
        <v>1857000000</v>
      </c>
      <c r="I110">
        <f>Lookup!N113</f>
        <v>0</v>
      </c>
      <c r="J110">
        <f>Lookup!O113</f>
        <v>2052000000</v>
      </c>
      <c r="K110">
        <f>Lookup!P113</f>
        <v>1443000000</v>
      </c>
      <c r="L110">
        <f>Lookup!Q113</f>
        <v>289000000</v>
      </c>
      <c r="M110">
        <f>Lookup!R113</f>
        <v>1104000000</v>
      </c>
      <c r="N110">
        <f>Lookup!S113</f>
        <v>-30000000</v>
      </c>
      <c r="O110">
        <f>Lookup!T113</f>
        <v>1050000000</v>
      </c>
      <c r="P110">
        <f>Lookup!U113</f>
        <v>0</v>
      </c>
      <c r="Q110">
        <f>Lookup!V113</f>
        <v>648000000</v>
      </c>
      <c r="R110">
        <f>Lookup!W113</f>
        <v>0</v>
      </c>
      <c r="S110">
        <f>Lookup!X113</f>
        <v>898000000</v>
      </c>
      <c r="T110">
        <f>Lookup!Y113</f>
        <v>0</v>
      </c>
      <c r="U110">
        <f>Lookup!Z113</f>
        <v>0</v>
      </c>
      <c r="V110">
        <f>Lookup!AA113</f>
        <v>0</v>
      </c>
      <c r="W110">
        <f>Lookup!AB113</f>
        <v>0</v>
      </c>
      <c r="X110">
        <f>Lookup!AC113</f>
        <v>0.1</v>
      </c>
      <c r="Y110">
        <f>Lookup!AD113</f>
        <v>0.09</v>
      </c>
      <c r="Z110" t="str">
        <f t="shared" ca="1" si="5"/>
        <v>KO_INC-ST_QRTLY.xlsx</v>
      </c>
      <c r="AA110" t="str">
        <f t="shared" ca="1" si="4"/>
        <v>KO_INC-ST_QR-001</v>
      </c>
      <c r="AB110" s="16">
        <f t="shared" ca="1" si="6"/>
        <v>46088.824799074071</v>
      </c>
    </row>
    <row r="111" spans="1:28" x14ac:dyDescent="0.25">
      <c r="A111" t="str">
        <f>Lookup!F114</f>
        <v>KO</v>
      </c>
      <c r="B111" s="14">
        <f ca="1">Lookup!G114</f>
        <v>46088</v>
      </c>
      <c r="C111">
        <f>Lookup!H114</f>
        <v>1998</v>
      </c>
      <c r="D111" t="str">
        <f>Lookup!I114</f>
        <v>Q3</v>
      </c>
      <c r="E111">
        <f>Lookup!J114</f>
        <v>4747000000</v>
      </c>
      <c r="F111">
        <f>Lookup!K114</f>
        <v>1499000000</v>
      </c>
      <c r="G111">
        <f>Lookup!L114</f>
        <v>3139000000</v>
      </c>
      <c r="H111">
        <f>Lookup!M114</f>
        <v>2076000000</v>
      </c>
      <c r="I111">
        <f>Lookup!N114</f>
        <v>0</v>
      </c>
      <c r="J111">
        <f>Lookup!O114</f>
        <v>2023000000</v>
      </c>
      <c r="K111">
        <f>Lookup!P114</f>
        <v>1142000000</v>
      </c>
      <c r="L111">
        <f>Lookup!Q114</f>
        <v>58000000</v>
      </c>
      <c r="M111">
        <f>Lookup!R114</f>
        <v>937000000</v>
      </c>
      <c r="N111">
        <f>Lookup!S114</f>
        <v>472000000</v>
      </c>
      <c r="O111">
        <f>Lookup!T114</f>
        <v>713000000</v>
      </c>
      <c r="P111">
        <f>Lookup!U114</f>
        <v>0</v>
      </c>
      <c r="Q111">
        <f>Lookup!V114</f>
        <v>802000000</v>
      </c>
      <c r="R111">
        <f>Lookup!W114</f>
        <v>0</v>
      </c>
      <c r="S111">
        <f>Lookup!X114</f>
        <v>638000000</v>
      </c>
      <c r="T111">
        <f>Lookup!Y114</f>
        <v>0</v>
      </c>
      <c r="U111">
        <f>Lookup!Z114</f>
        <v>0</v>
      </c>
      <c r="V111">
        <f>Lookup!AA114</f>
        <v>0</v>
      </c>
      <c r="W111">
        <f>Lookup!AB114</f>
        <v>0</v>
      </c>
      <c r="X111">
        <f>Lookup!AC114</f>
        <v>0.09</v>
      </c>
      <c r="Y111">
        <f>Lookup!AD114</f>
        <v>0.11</v>
      </c>
      <c r="Z111" t="str">
        <f t="shared" ca="1" si="5"/>
        <v>KO_INC-ST_QRTLY.xlsx</v>
      </c>
      <c r="AA111" t="str">
        <f t="shared" ca="1" si="4"/>
        <v>KO_INC-ST_QR-001</v>
      </c>
      <c r="AB111" s="16">
        <f t="shared" ca="1" si="6"/>
        <v>46088.824799074071</v>
      </c>
    </row>
    <row r="112" spans="1:28" x14ac:dyDescent="0.25">
      <c r="A112" t="str">
        <f>Lookup!F115</f>
        <v>KO</v>
      </c>
      <c r="B112" s="14">
        <f ca="1">Lookup!G115</f>
        <v>46088</v>
      </c>
      <c r="C112">
        <f>Lookup!H115</f>
        <v>1998</v>
      </c>
      <c r="D112" t="str">
        <f>Lookup!I115</f>
        <v>Q2</v>
      </c>
      <c r="E112">
        <f>Lookup!J115</f>
        <v>5151000000</v>
      </c>
      <c r="F112">
        <f>Lookup!K115</f>
        <v>1318000000</v>
      </c>
      <c r="G112">
        <f>Lookup!L115</f>
        <v>3249000000</v>
      </c>
      <c r="H112">
        <f>Lookup!M115</f>
        <v>2052000000</v>
      </c>
      <c r="I112">
        <f>Lookup!N115</f>
        <v>0</v>
      </c>
      <c r="J112">
        <f>Lookup!O115</f>
        <v>1701000000</v>
      </c>
      <c r="K112">
        <f>Lookup!P115</f>
        <v>1079000000</v>
      </c>
      <c r="L112">
        <f>Lookup!Q115</f>
        <v>483000000</v>
      </c>
      <c r="M112">
        <f>Lookup!R115</f>
        <v>1522000000</v>
      </c>
      <c r="N112">
        <f>Lookup!S115</f>
        <v>320000000</v>
      </c>
      <c r="O112">
        <f>Lookup!T115</f>
        <v>648000000</v>
      </c>
      <c r="P112">
        <f>Lookup!U115</f>
        <v>0</v>
      </c>
      <c r="Q112">
        <f>Lookup!V115</f>
        <v>898000000</v>
      </c>
      <c r="R112">
        <f>Lookup!W115</f>
        <v>0</v>
      </c>
      <c r="S112">
        <f>Lookup!X115</f>
        <v>567000000</v>
      </c>
      <c r="T112">
        <f>Lookup!Y115</f>
        <v>0</v>
      </c>
      <c r="U112">
        <f>Lookup!Z115</f>
        <v>0</v>
      </c>
      <c r="V112">
        <f>Lookup!AA115</f>
        <v>0</v>
      </c>
      <c r="W112">
        <f>Lookup!AB115</f>
        <v>0</v>
      </c>
      <c r="X112">
        <f>Lookup!AC115</f>
        <v>0.11</v>
      </c>
      <c r="Y112">
        <f>Lookup!AD115</f>
        <v>0.13</v>
      </c>
      <c r="Z112" t="str">
        <f t="shared" ca="1" si="5"/>
        <v>KO_INC-ST_QRTLY.xlsx</v>
      </c>
      <c r="AA112" t="str">
        <f t="shared" ca="1" si="4"/>
        <v>KO_INC-ST_QR-001</v>
      </c>
      <c r="AB112" s="16">
        <f t="shared" ca="1" si="6"/>
        <v>46088.824799074071</v>
      </c>
    </row>
    <row r="113" spans="1:28" x14ac:dyDescent="0.25">
      <c r="A113" t="str">
        <f>Lookup!F116</f>
        <v>KO</v>
      </c>
      <c r="B113" s="14">
        <f ca="1">Lookup!G116</f>
        <v>46088</v>
      </c>
      <c r="C113">
        <f>Lookup!H116</f>
        <v>1998</v>
      </c>
      <c r="D113" t="str">
        <f>Lookup!I116</f>
        <v>Q1</v>
      </c>
      <c r="E113">
        <f>Lookup!J116</f>
        <v>4457000000</v>
      </c>
      <c r="F113">
        <f>Lookup!K116</f>
        <v>1452000000</v>
      </c>
      <c r="G113">
        <f>Lookup!L116</f>
        <v>3295000000</v>
      </c>
      <c r="H113">
        <f>Lookup!M116</f>
        <v>2023000000</v>
      </c>
      <c r="I113">
        <f>Lookup!N116</f>
        <v>0</v>
      </c>
      <c r="J113">
        <f>Lookup!O116</f>
        <v>1909000000</v>
      </c>
      <c r="K113">
        <f>Lookup!P116</f>
        <v>485000000</v>
      </c>
      <c r="L113">
        <f>Lookup!Q116</f>
        <v>140000000</v>
      </c>
      <c r="M113">
        <f>Lookup!R116</f>
        <v>1033000000</v>
      </c>
      <c r="N113">
        <f>Lookup!S116</f>
        <v>277000000</v>
      </c>
      <c r="O113">
        <f>Lookup!T116</f>
        <v>802000000</v>
      </c>
      <c r="P113">
        <f>Lookup!U116</f>
        <v>0</v>
      </c>
      <c r="Q113">
        <f>Lookup!V116</f>
        <v>638000000</v>
      </c>
      <c r="R113">
        <f>Lookup!W116</f>
        <v>0</v>
      </c>
      <c r="S113">
        <f>Lookup!X116</f>
        <v>708000000</v>
      </c>
      <c r="T113">
        <f>Lookup!Y116</f>
        <v>0</v>
      </c>
      <c r="U113">
        <f>Lookup!Z116</f>
        <v>0</v>
      </c>
      <c r="V113">
        <f>Lookup!AA116</f>
        <v>0</v>
      </c>
      <c r="W113">
        <f>Lookup!AB116</f>
        <v>0</v>
      </c>
      <c r="X113">
        <f>Lookup!AC116</f>
        <v>0.13</v>
      </c>
      <c r="Y113">
        <f>Lookup!AD116</f>
        <v>8.5000000000000006E-2</v>
      </c>
      <c r="Z113" t="str">
        <f t="shared" ca="1" si="5"/>
        <v>KO_INC-ST_QRTLY.xlsx</v>
      </c>
      <c r="AA113" t="str">
        <f t="shared" ca="1" si="4"/>
        <v>KO_INC-ST_QR-001</v>
      </c>
      <c r="AB113" s="16">
        <f t="shared" ca="1" si="6"/>
        <v>46088.824799074071</v>
      </c>
    </row>
    <row r="114" spans="1:28" x14ac:dyDescent="0.25">
      <c r="A114" t="str">
        <f>Lookup!F117</f>
        <v>KO</v>
      </c>
      <c r="B114" s="14">
        <f ca="1">Lookup!G117</f>
        <v>46088</v>
      </c>
      <c r="C114">
        <f>Lookup!H117</f>
        <v>1997</v>
      </c>
      <c r="D114" t="str">
        <f>Lookup!I117</f>
        <v>Q4</v>
      </c>
      <c r="E114">
        <f>Lookup!J117</f>
        <v>4701000000</v>
      </c>
      <c r="F114">
        <f>Lookup!K117</f>
        <v>1659000000</v>
      </c>
      <c r="G114">
        <f>Lookup!L117</f>
        <v>3466000000</v>
      </c>
      <c r="H114">
        <f>Lookup!M117</f>
        <v>1701000000</v>
      </c>
      <c r="I114">
        <f>Lookup!N117</f>
        <v>0</v>
      </c>
      <c r="J114">
        <f>Lookup!O117</f>
        <v>2388000000</v>
      </c>
      <c r="K114">
        <f>Lookup!P117</f>
        <v>1415000000</v>
      </c>
      <c r="L114">
        <f>Lookup!Q117</f>
        <v>0</v>
      </c>
      <c r="M114">
        <f>Lookup!R117</f>
        <v>925000000</v>
      </c>
      <c r="N114">
        <f>Lookup!S117</f>
        <v>366000000</v>
      </c>
      <c r="O114">
        <f>Lookup!T117</f>
        <v>898000000</v>
      </c>
      <c r="P114">
        <f>Lookup!U117</f>
        <v>0</v>
      </c>
      <c r="Q114">
        <f>Lookup!V117</f>
        <v>567000000</v>
      </c>
      <c r="R114">
        <f>Lookup!W117</f>
        <v>0</v>
      </c>
      <c r="S114">
        <f>Lookup!X117</f>
        <v>758000000</v>
      </c>
      <c r="T114">
        <f>Lookup!Y117</f>
        <v>0</v>
      </c>
      <c r="U114">
        <f>Lookup!Z117</f>
        <v>0</v>
      </c>
      <c r="V114">
        <f>Lookup!AA117</f>
        <v>0</v>
      </c>
      <c r="W114">
        <f>Lookup!AB117</f>
        <v>0</v>
      </c>
      <c r="X114">
        <f>Lookup!AC117</f>
        <v>8.5000000000000006E-2</v>
      </c>
      <c r="Y114">
        <f>Lookup!AD117</f>
        <v>7.4999999999999997E-2</v>
      </c>
      <c r="Z114" t="str">
        <f t="shared" ca="1" si="5"/>
        <v>KO_INC-ST_QRTLY.xlsx</v>
      </c>
      <c r="AA114" t="str">
        <f t="shared" ca="1" si="4"/>
        <v>KO_INC-ST_QR-001</v>
      </c>
      <c r="AB114" s="16">
        <f t="shared" ca="1" si="6"/>
        <v>46088.824799074071</v>
      </c>
    </row>
    <row r="115" spans="1:28" x14ac:dyDescent="0.25">
      <c r="A115" t="str">
        <f>Lookup!F118</f>
        <v>KO</v>
      </c>
      <c r="B115" s="14">
        <f ca="1">Lookup!G118</f>
        <v>46088</v>
      </c>
      <c r="C115">
        <f>Lookup!H118</f>
        <v>1997</v>
      </c>
      <c r="D115" t="str">
        <f>Lookup!I118</f>
        <v>Q3</v>
      </c>
      <c r="E115">
        <f>Lookup!J118</f>
        <v>4954000000</v>
      </c>
      <c r="F115">
        <f>Lookup!K118</f>
        <v>1609000000</v>
      </c>
      <c r="G115">
        <f>Lookup!L118</f>
        <v>2843000000</v>
      </c>
      <c r="H115">
        <f>Lookup!M118</f>
        <v>1909000000</v>
      </c>
      <c r="I115">
        <f>Lookup!N118</f>
        <v>0</v>
      </c>
      <c r="J115">
        <f>Lookup!O118</f>
        <v>1965000000</v>
      </c>
      <c r="K115">
        <f>Lookup!P118</f>
        <v>1033000000</v>
      </c>
      <c r="L115">
        <f>Lookup!Q118</f>
        <v>-24000000</v>
      </c>
      <c r="M115">
        <f>Lookup!R118</f>
        <v>1168000000</v>
      </c>
      <c r="N115">
        <f>Lookup!S118</f>
        <v>406000000</v>
      </c>
      <c r="O115">
        <f>Lookup!T118</f>
        <v>638000000</v>
      </c>
      <c r="P115">
        <f>Lookup!U118</f>
        <v>0</v>
      </c>
      <c r="Q115">
        <f>Lookup!V118</f>
        <v>708000000</v>
      </c>
      <c r="R115">
        <f>Lookup!W118</f>
        <v>0</v>
      </c>
      <c r="S115">
        <f>Lookup!X118</f>
        <v>521000000</v>
      </c>
      <c r="T115">
        <f>Lookup!Y118</f>
        <v>0</v>
      </c>
      <c r="U115">
        <f>Lookup!Z118</f>
        <v>0</v>
      </c>
      <c r="V115">
        <f>Lookup!AA118</f>
        <v>0</v>
      </c>
      <c r="W115">
        <f>Lookup!AB118</f>
        <v>0</v>
      </c>
      <c r="X115">
        <f>Lookup!AC118</f>
        <v>7.4999999999999997E-2</v>
      </c>
      <c r="Y115">
        <f>Lookup!AD118</f>
        <v>0.10249999999999999</v>
      </c>
      <c r="Z115" t="str">
        <f t="shared" ca="1" si="5"/>
        <v>KO_INC-ST_QRTLY.xlsx</v>
      </c>
      <c r="AA115" t="str">
        <f t="shared" ca="1" si="4"/>
        <v>KO_INC-ST_QR-001</v>
      </c>
      <c r="AB115" s="16">
        <f t="shared" ca="1" si="6"/>
        <v>46088.824799074071</v>
      </c>
    </row>
    <row r="116" spans="1:28" x14ac:dyDescent="0.25">
      <c r="A116" t="str">
        <f>Lookup!F119</f>
        <v>KO</v>
      </c>
      <c r="B116" s="14">
        <f ca="1">Lookup!G119</f>
        <v>46088</v>
      </c>
      <c r="C116">
        <f>Lookup!H119</f>
        <v>1997</v>
      </c>
      <c r="D116" t="str">
        <f>Lookup!I119</f>
        <v>Q2</v>
      </c>
      <c r="E116">
        <f>Lookup!J119</f>
        <v>5075000000</v>
      </c>
      <c r="F116">
        <f>Lookup!K119</f>
        <v>1295000000</v>
      </c>
      <c r="G116">
        <f>Lookup!L119</f>
        <v>2988000000</v>
      </c>
      <c r="H116">
        <f>Lookup!M119</f>
        <v>2388000000</v>
      </c>
      <c r="I116">
        <f>Lookup!N119</f>
        <v>0</v>
      </c>
      <c r="J116">
        <f>Lookup!O119</f>
        <v>1631000000</v>
      </c>
      <c r="K116">
        <f>Lookup!P119</f>
        <v>949000000</v>
      </c>
      <c r="L116">
        <f>Lookup!Q119</f>
        <v>162000000</v>
      </c>
      <c r="M116">
        <f>Lookup!R119</f>
        <v>1304000000</v>
      </c>
      <c r="N116">
        <f>Lookup!S119</f>
        <v>293000000</v>
      </c>
      <c r="O116">
        <f>Lookup!T119</f>
        <v>567000000</v>
      </c>
      <c r="P116">
        <f>Lookup!U119</f>
        <v>0</v>
      </c>
      <c r="Q116">
        <f>Lookup!V119</f>
        <v>758000000</v>
      </c>
      <c r="R116">
        <f>Lookup!W119</f>
        <v>0</v>
      </c>
      <c r="S116">
        <f>Lookup!X119</f>
        <v>473000000</v>
      </c>
      <c r="T116">
        <f>Lookup!Y119</f>
        <v>0</v>
      </c>
      <c r="U116">
        <f>Lookup!Z119</f>
        <v>0</v>
      </c>
      <c r="V116">
        <f>Lookup!AA119</f>
        <v>0</v>
      </c>
      <c r="W116">
        <f>Lookup!AB119</f>
        <v>0</v>
      </c>
      <c r="X116">
        <f>Lookup!AC119</f>
        <v>0.10249999999999999</v>
      </c>
      <c r="Y116">
        <f>Lookup!AD119</f>
        <v>0.1075</v>
      </c>
      <c r="Z116" t="str">
        <f t="shared" ca="1" si="5"/>
        <v>KO_INC-ST_QRTLY.xlsx</v>
      </c>
      <c r="AA116" t="str">
        <f t="shared" ca="1" si="4"/>
        <v>KO_INC-ST_QR-001</v>
      </c>
      <c r="AB116" s="16">
        <f t="shared" ca="1" si="6"/>
        <v>46088.824799074071</v>
      </c>
    </row>
    <row r="117" spans="1:28" x14ac:dyDescent="0.25">
      <c r="A117" t="str">
        <f>Lookup!F120</f>
        <v>KO</v>
      </c>
      <c r="B117" s="14">
        <f ca="1">Lookup!G120</f>
        <v>46088</v>
      </c>
      <c r="C117">
        <f>Lookup!H120</f>
        <v>1997</v>
      </c>
      <c r="D117" t="str">
        <f>Lookup!I120</f>
        <v>Q1</v>
      </c>
      <c r="E117">
        <f>Lookup!J120</f>
        <v>4138000000</v>
      </c>
      <c r="F117">
        <f>Lookup!K120</f>
        <v>1488000000</v>
      </c>
      <c r="G117">
        <f>Lookup!L120</f>
        <v>2873000000</v>
      </c>
      <c r="H117">
        <f>Lookup!M120</f>
        <v>1965000000</v>
      </c>
      <c r="I117">
        <f>Lookup!N120</f>
        <v>0</v>
      </c>
      <c r="J117">
        <f>Lookup!O120</f>
        <v>1714000000</v>
      </c>
      <c r="K117">
        <f>Lookup!P120</f>
        <v>1006000000</v>
      </c>
      <c r="L117">
        <f>Lookup!Q120</f>
        <v>46000000</v>
      </c>
      <c r="M117">
        <f>Lookup!R120</f>
        <v>931000000</v>
      </c>
      <c r="N117">
        <f>Lookup!S120</f>
        <v>261000000</v>
      </c>
      <c r="O117">
        <f>Lookup!T120</f>
        <v>708000000</v>
      </c>
      <c r="P117">
        <f>Lookup!U120</f>
        <v>0</v>
      </c>
      <c r="Q117">
        <f>Lookup!V120</f>
        <v>521000000</v>
      </c>
      <c r="R117">
        <f>Lookup!W120</f>
        <v>0</v>
      </c>
      <c r="S117">
        <f>Lookup!X120</f>
        <v>576000000</v>
      </c>
      <c r="T117">
        <f>Lookup!Y120</f>
        <v>0</v>
      </c>
      <c r="U117">
        <f>Lookup!Z120</f>
        <v>0</v>
      </c>
      <c r="V117">
        <f>Lookup!AA120</f>
        <v>0</v>
      </c>
      <c r="W117">
        <f>Lookup!AB120</f>
        <v>0</v>
      </c>
      <c r="X117">
        <f>Lookup!AC120</f>
        <v>0.11</v>
      </c>
      <c r="Y117">
        <f>Lookup!AD120</f>
        <v>3.2500000000000001E-2</v>
      </c>
      <c r="Z117" t="str">
        <f t="shared" ca="1" si="5"/>
        <v>KO_INC-ST_QRTLY.xlsx</v>
      </c>
      <c r="AA117" t="str">
        <f t="shared" ca="1" si="4"/>
        <v>KO_INC-ST_QR-001</v>
      </c>
      <c r="AB117" s="16">
        <f t="shared" ca="1" si="6"/>
        <v>46088.824799074071</v>
      </c>
    </row>
    <row r="118" spans="1:28" x14ac:dyDescent="0.25">
      <c r="A118" t="str">
        <f>Lookup!F121</f>
        <v>KO</v>
      </c>
      <c r="B118" s="14">
        <f ca="1">Lookup!G121</f>
        <v>46088</v>
      </c>
      <c r="C118">
        <f>Lookup!H121</f>
        <v>1996</v>
      </c>
      <c r="D118" t="str">
        <f>Lookup!I121</f>
        <v>Q4</v>
      </c>
      <c r="E118">
        <f>Lookup!J121</f>
        <v>4476000000</v>
      </c>
      <c r="F118">
        <f>Lookup!K121</f>
        <v>1814000000</v>
      </c>
      <c r="G118">
        <f>Lookup!L121</f>
        <v>3380000000</v>
      </c>
      <c r="H118">
        <f>Lookup!M121</f>
        <v>1631000000</v>
      </c>
      <c r="I118">
        <f>Lookup!N121</f>
        <v>0</v>
      </c>
      <c r="J118">
        <f>Lookup!O121</f>
        <v>1940000000</v>
      </c>
      <c r="K118">
        <f>Lookup!P121</f>
        <v>1258000000</v>
      </c>
      <c r="L118">
        <f>Lookup!Q121</f>
        <v>52000000</v>
      </c>
      <c r="M118">
        <f>Lookup!R121</f>
        <v>828000000</v>
      </c>
      <c r="N118">
        <f>Lookup!S121</f>
        <v>325000000</v>
      </c>
      <c r="O118">
        <f>Lookup!T121</f>
        <v>758000000</v>
      </c>
      <c r="P118">
        <f>Lookup!U121</f>
        <v>0</v>
      </c>
      <c r="Q118">
        <f>Lookup!V121</f>
        <v>473000000</v>
      </c>
      <c r="R118">
        <f>Lookup!W121</f>
        <v>0</v>
      </c>
      <c r="S118">
        <f>Lookup!X121</f>
        <v>678000000</v>
      </c>
      <c r="T118">
        <f>Lookup!Y121</f>
        <v>0</v>
      </c>
      <c r="U118">
        <f>Lookup!Z121</f>
        <v>0</v>
      </c>
      <c r="V118">
        <f>Lookup!AA121</f>
        <v>0</v>
      </c>
      <c r="W118">
        <f>Lookup!AB121</f>
        <v>0</v>
      </c>
      <c r="X118">
        <f>Lookup!AC121</f>
        <v>7.2499999999999995E-2</v>
      </c>
      <c r="Y118">
        <f>Lookup!AD121</f>
        <v>3.3700000000000001E-2</v>
      </c>
      <c r="Z118" t="str">
        <f t="shared" ca="1" si="5"/>
        <v>KO_INC-ST_QRTLY.xlsx</v>
      </c>
      <c r="AA118" t="str">
        <f t="shared" ca="1" si="4"/>
        <v>KO_INC-ST_QR-001</v>
      </c>
      <c r="AB118" s="16">
        <f t="shared" ca="1" si="6"/>
        <v>46088.824799074071</v>
      </c>
    </row>
    <row r="119" spans="1:28" x14ac:dyDescent="0.25">
      <c r="A119" t="str">
        <f>Lookup!F122</f>
        <v>KO</v>
      </c>
      <c r="B119" s="14">
        <f ca="1">Lookup!G122</f>
        <v>46088</v>
      </c>
      <c r="C119">
        <f>Lookup!H122</f>
        <v>1996</v>
      </c>
      <c r="D119" t="str">
        <f>Lookup!I122</f>
        <v>Q3</v>
      </c>
      <c r="E119">
        <f>Lookup!J122</f>
        <v>4687000000</v>
      </c>
      <c r="F119">
        <f>Lookup!K122</f>
        <v>1906000000</v>
      </c>
      <c r="G119">
        <f>Lookup!L122</f>
        <v>2664000000</v>
      </c>
      <c r="H119">
        <f>Lookup!M122</f>
        <v>1714000000</v>
      </c>
      <c r="I119">
        <f>Lookup!N122</f>
        <v>0</v>
      </c>
      <c r="J119">
        <f>Lookup!O122</f>
        <v>1802000000</v>
      </c>
      <c r="K119">
        <f>Lookup!P122</f>
        <v>879000000</v>
      </c>
      <c r="L119">
        <f>Lookup!Q122</f>
        <v>-38000000</v>
      </c>
      <c r="M119">
        <f>Lookup!R122</f>
        <v>1033000000</v>
      </c>
      <c r="N119">
        <f>Lookup!S122</f>
        <v>349000000</v>
      </c>
      <c r="O119">
        <f>Lookup!T122</f>
        <v>521000000</v>
      </c>
      <c r="P119">
        <f>Lookup!U122</f>
        <v>0</v>
      </c>
      <c r="Q119">
        <f>Lookup!V122</f>
        <v>576000000</v>
      </c>
      <c r="R119">
        <f>Lookup!W122</f>
        <v>0</v>
      </c>
      <c r="S119">
        <f>Lookup!X122</f>
        <v>442000000</v>
      </c>
      <c r="T119">
        <f>Lookup!Y122</f>
        <v>0</v>
      </c>
      <c r="U119">
        <f>Lookup!Z122</f>
        <v>0</v>
      </c>
      <c r="V119">
        <f>Lookup!AA122</f>
        <v>0</v>
      </c>
      <c r="W119">
        <f>Lookup!AB122</f>
        <v>0</v>
      </c>
      <c r="X119">
        <f>Lookup!AC122</f>
        <v>6.7400000000000002E-2</v>
      </c>
      <c r="Y119">
        <f>Lookup!AD122</f>
        <v>8.5800000000000001E-2</v>
      </c>
      <c r="Z119" t="str">
        <f t="shared" ca="1" si="5"/>
        <v>KO_INC-ST_QRTLY.xlsx</v>
      </c>
      <c r="AA119" t="str">
        <f t="shared" ca="1" si="4"/>
        <v>KO_INC-ST_QR-001</v>
      </c>
      <c r="AB119" s="16">
        <f t="shared" ca="1" si="6"/>
        <v>46088.824799074071</v>
      </c>
    </row>
    <row r="120" spans="1:28" x14ac:dyDescent="0.25">
      <c r="A120" t="str">
        <f>Lookup!F123</f>
        <v>KO</v>
      </c>
      <c r="B120" s="14">
        <f ca="1">Lookup!G123</f>
        <v>46088</v>
      </c>
      <c r="C120">
        <f>Lookup!H123</f>
        <v>1996</v>
      </c>
      <c r="D120" t="str">
        <f>Lookup!I123</f>
        <v>Q2</v>
      </c>
      <c r="E120">
        <f>Lookup!J123</f>
        <v>5286000000</v>
      </c>
      <c r="F120">
        <f>Lookup!K123</f>
        <v>1530000000</v>
      </c>
      <c r="G120">
        <f>Lookup!L123</f>
        <v>2663000000</v>
      </c>
      <c r="H120">
        <f>Lookup!M123</f>
        <v>1940000000</v>
      </c>
      <c r="I120">
        <f>Lookup!N123</f>
        <v>0</v>
      </c>
      <c r="J120">
        <f>Lookup!O123</f>
        <v>1530000000</v>
      </c>
      <c r="K120">
        <f>Lookup!P123</f>
        <v>866000000</v>
      </c>
      <c r="L120">
        <f>Lookup!Q123</f>
        <v>33000000</v>
      </c>
      <c r="M120">
        <f>Lookup!R123</f>
        <v>1107000000</v>
      </c>
      <c r="N120">
        <f>Lookup!S123</f>
        <v>239000000</v>
      </c>
      <c r="O120">
        <f>Lookup!T123</f>
        <v>466000000</v>
      </c>
      <c r="P120">
        <f>Lookup!U123</f>
        <v>0</v>
      </c>
      <c r="Q120">
        <f>Lookup!V123</f>
        <v>678000000</v>
      </c>
      <c r="R120">
        <f>Lookup!W123</f>
        <v>0</v>
      </c>
      <c r="S120">
        <f>Lookup!X123</f>
        <v>392579000</v>
      </c>
      <c r="T120">
        <f>Lookup!Y123</f>
        <v>0</v>
      </c>
      <c r="U120">
        <f>Lookup!Z123</f>
        <v>0</v>
      </c>
      <c r="V120">
        <f>Lookup!AA123</f>
        <v>0</v>
      </c>
      <c r="W120">
        <f>Lookup!AB123</f>
        <v>0</v>
      </c>
      <c r="X120">
        <f>Lookup!AC123</f>
        <v>8.5800000000000001E-2</v>
      </c>
      <c r="Y120">
        <f>Lookup!AD123</f>
        <v>9.0499999999999997E-2</v>
      </c>
      <c r="Z120" t="str">
        <f t="shared" ca="1" si="5"/>
        <v>KO_INC-ST_QRTLY.xlsx</v>
      </c>
      <c r="AA120" t="str">
        <f t="shared" ca="1" si="4"/>
        <v>KO_INC-ST_QR-001</v>
      </c>
      <c r="AB120" s="16">
        <f t="shared" ca="1" si="6"/>
        <v>46088.824799074071</v>
      </c>
    </row>
    <row r="121" spans="1:28" x14ac:dyDescent="0.25">
      <c r="A121" t="str">
        <f>Lookup!F124</f>
        <v>KO</v>
      </c>
      <c r="B121" s="14">
        <f ca="1">Lookup!G124</f>
        <v>46088</v>
      </c>
      <c r="C121">
        <f>Lookup!H124</f>
        <v>1996</v>
      </c>
      <c r="D121" t="str">
        <f>Lookup!I124</f>
        <v>Q1</v>
      </c>
      <c r="E121">
        <f>Lookup!J124</f>
        <v>4194000000</v>
      </c>
      <c r="F121">
        <f>Lookup!K124</f>
        <v>1670000000</v>
      </c>
      <c r="G121">
        <f>Lookup!L124</f>
        <v>2946000000</v>
      </c>
      <c r="H121">
        <f>Lookup!M124</f>
        <v>1802000000</v>
      </c>
      <c r="I121">
        <f>Lookup!N124</f>
        <v>0</v>
      </c>
      <c r="J121">
        <f>Lookup!O124</f>
        <v>1653000000</v>
      </c>
      <c r="K121">
        <f>Lookup!P124</f>
        <v>1000000000</v>
      </c>
      <c r="L121">
        <f>Lookup!Q124</f>
        <v>37000000</v>
      </c>
      <c r="M121">
        <f>Lookup!R124</f>
        <v>760000000</v>
      </c>
      <c r="N121">
        <f>Lookup!S124</f>
        <v>213000000</v>
      </c>
      <c r="O121">
        <f>Lookup!T124</f>
        <v>590000000</v>
      </c>
      <c r="P121">
        <f>Lookup!U124</f>
        <v>0</v>
      </c>
      <c r="Q121">
        <f>Lookup!V124</f>
        <v>442000000</v>
      </c>
      <c r="R121">
        <f>Lookup!W124</f>
        <v>-1998000000</v>
      </c>
      <c r="S121">
        <f>Lookup!X124</f>
        <v>540603000</v>
      </c>
      <c r="T121">
        <f>Lookup!Y124</f>
        <v>0</v>
      </c>
      <c r="U121">
        <f>Lookup!Z124</f>
        <v>0</v>
      </c>
      <c r="V121">
        <f>Lookup!AA124</f>
        <v>0</v>
      </c>
      <c r="W121">
        <f>Lookup!AB124</f>
        <v>0</v>
      </c>
      <c r="X121">
        <f>Lookup!AC124</f>
        <v>9.0499999999999997E-2</v>
      </c>
      <c r="Y121">
        <f>Lookup!AD124</f>
        <v>6.0100000000000001E-2</v>
      </c>
      <c r="Z121" t="str">
        <f t="shared" ca="1" si="5"/>
        <v>KO_INC-ST_QRTLY.xlsx</v>
      </c>
      <c r="AA121" t="str">
        <f t="shared" ca="1" si="4"/>
        <v>KO_INC-ST_QR-001</v>
      </c>
      <c r="AB121" s="16">
        <f t="shared" ca="1" si="6"/>
        <v>46088.824799074071</v>
      </c>
    </row>
    <row r="122" spans="1:28" x14ac:dyDescent="0.25">
      <c r="A122" t="str">
        <f>Lookup!F125</f>
        <v>KO</v>
      </c>
      <c r="B122" s="14">
        <f ca="1">Lookup!G125</f>
        <v>46088</v>
      </c>
      <c r="C122">
        <f>Lookup!H125</f>
        <v>1995</v>
      </c>
      <c r="D122" t="str">
        <f>Lookup!I125</f>
        <v>Q4</v>
      </c>
      <c r="E122">
        <f>Lookup!J125</f>
        <v>4333000000</v>
      </c>
      <c r="F122">
        <f>Lookup!K125</f>
        <v>1949000000</v>
      </c>
      <c r="G122">
        <f>Lookup!L125</f>
        <v>3060000000</v>
      </c>
      <c r="H122">
        <f>Lookup!M125</f>
        <v>1530000000</v>
      </c>
      <c r="I122">
        <f>Lookup!N125</f>
        <v>0</v>
      </c>
      <c r="J122">
        <f>Lookup!O125</f>
        <v>1701000000</v>
      </c>
      <c r="K122">
        <f>Lookup!P125</f>
        <v>1070000000</v>
      </c>
      <c r="L122">
        <f>Lookup!Q125</f>
        <v>-12000000</v>
      </c>
      <c r="M122">
        <f>Lookup!R125</f>
        <v>679000000</v>
      </c>
      <c r="N122">
        <f>Lookup!S125</f>
        <v>280000000</v>
      </c>
      <c r="O122">
        <f>Lookup!T125</f>
        <v>678000000</v>
      </c>
      <c r="P122">
        <f>Lookup!U125</f>
        <v>0</v>
      </c>
      <c r="Q122">
        <f>Lookup!V125</f>
        <v>392579000</v>
      </c>
      <c r="R122">
        <f>Lookup!W125</f>
        <v>-1998000000</v>
      </c>
      <c r="S122">
        <f>Lookup!X125</f>
        <v>565000000</v>
      </c>
      <c r="T122">
        <f>Lookup!Y125</f>
        <v>0</v>
      </c>
      <c r="U122">
        <f>Lookup!Z125</f>
        <v>0</v>
      </c>
      <c r="V122">
        <f>Lookup!AA125</f>
        <v>0</v>
      </c>
      <c r="W122">
        <f>Lookup!AB125</f>
        <v>0</v>
      </c>
      <c r="X122">
        <f>Lookup!AC125</f>
        <v>6.0100000000000001E-2</v>
      </c>
      <c r="Y122">
        <f>Lookup!AD125</f>
        <v>5.5100000000000003E-2</v>
      </c>
      <c r="Z122" t="str">
        <f t="shared" ca="1" si="5"/>
        <v>KO_INC-ST_QRTLY.xlsx</v>
      </c>
      <c r="AA122" t="str">
        <f t="shared" ca="1" si="4"/>
        <v>KO_INC-ST_QR-001</v>
      </c>
      <c r="AB122" s="16">
        <f t="shared" ca="1" si="6"/>
        <v>46088.824799074071</v>
      </c>
    </row>
    <row r="123" spans="1:28" x14ac:dyDescent="0.25">
      <c r="A123" t="str">
        <f>Lookup!F126</f>
        <v>KO</v>
      </c>
      <c r="B123" s="14">
        <f ca="1">Lookup!G126</f>
        <v>46088</v>
      </c>
      <c r="C123">
        <f>Lookup!H126</f>
        <v>1995</v>
      </c>
      <c r="D123" t="str">
        <f>Lookup!I126</f>
        <v>Q3</v>
      </c>
      <c r="E123">
        <f>Lookup!J126</f>
        <v>4895000000</v>
      </c>
      <c r="F123">
        <f>Lookup!K126</f>
        <v>1876000000</v>
      </c>
      <c r="G123">
        <f>Lookup!L126</f>
        <v>2409000000</v>
      </c>
      <c r="H123">
        <f>Lookup!M126</f>
        <v>1653000000</v>
      </c>
      <c r="I123">
        <f>Lookup!N126</f>
        <v>0</v>
      </c>
      <c r="J123">
        <f>Lookup!O126</f>
        <v>1605000000</v>
      </c>
      <c r="K123">
        <f>Lookup!P126</f>
        <v>772000000</v>
      </c>
      <c r="L123">
        <f>Lookup!Q126</f>
        <v>42000000</v>
      </c>
      <c r="M123">
        <f>Lookup!R126</f>
        <v>870000000</v>
      </c>
      <c r="N123">
        <f>Lookup!S126</f>
        <v>302000000</v>
      </c>
      <c r="O123">
        <f>Lookup!T126</f>
        <v>454000000</v>
      </c>
      <c r="P123">
        <f>Lookup!U126</f>
        <v>0</v>
      </c>
      <c r="Q123">
        <f>Lookup!V126</f>
        <v>540603000</v>
      </c>
      <c r="R123">
        <f>Lookup!W126</f>
        <v>0</v>
      </c>
      <c r="S123">
        <f>Lookup!X126</f>
        <v>167000000</v>
      </c>
      <c r="T123">
        <f>Lookup!Y126</f>
        <v>0</v>
      </c>
      <c r="U123">
        <f>Lookup!Z126</f>
        <v>0</v>
      </c>
      <c r="V123">
        <f>Lookup!AA126</f>
        <v>0</v>
      </c>
      <c r="W123">
        <f>Lookup!AB126</f>
        <v>0</v>
      </c>
      <c r="X123">
        <f>Lookup!AC126</f>
        <v>5.5100000000000003E-2</v>
      </c>
      <c r="Y123">
        <f>Lookup!AD126</f>
        <v>7.3800000000000004E-2</v>
      </c>
      <c r="Z123" t="str">
        <f t="shared" ca="1" si="5"/>
        <v>KO_INC-ST_QRTLY.xlsx</v>
      </c>
      <c r="AA123" t="str">
        <f t="shared" ca="1" si="4"/>
        <v>KO_INC-ST_QR-001</v>
      </c>
      <c r="AB123" s="16">
        <f t="shared" ca="1" si="6"/>
        <v>46088.824799074071</v>
      </c>
    </row>
    <row r="124" spans="1:28" x14ac:dyDescent="0.25">
      <c r="A124" t="str">
        <f>Lookup!F127</f>
        <v>KO</v>
      </c>
      <c r="B124" s="14">
        <f ca="1">Lookup!G127</f>
        <v>46088</v>
      </c>
      <c r="C124">
        <f>Lookup!H127</f>
        <v>1995</v>
      </c>
      <c r="D124" t="str">
        <f>Lookup!I127</f>
        <v>Q2</v>
      </c>
      <c r="E124">
        <f>Lookup!J127</f>
        <v>4936000000</v>
      </c>
      <c r="F124">
        <f>Lookup!K127</f>
        <v>1445000000</v>
      </c>
      <c r="G124">
        <f>Lookup!L127</f>
        <v>2519000000</v>
      </c>
      <c r="H124">
        <f>Lookup!M127</f>
        <v>1701000000</v>
      </c>
      <c r="I124">
        <f>Lookup!N127</f>
        <v>0</v>
      </c>
      <c r="J124">
        <f>Lookup!O127</f>
        <v>1338000000</v>
      </c>
      <c r="K124">
        <f>Lookup!P127</f>
        <v>637000000</v>
      </c>
      <c r="L124">
        <f>Lookup!Q127</f>
        <v>41000000</v>
      </c>
      <c r="M124">
        <f>Lookup!R127</f>
        <v>980000000</v>
      </c>
      <c r="N124">
        <f>Lookup!S127</f>
        <v>202000000</v>
      </c>
      <c r="O124">
        <f>Lookup!T127</f>
        <v>379121000</v>
      </c>
      <c r="P124">
        <f>Lookup!U127</f>
        <v>0</v>
      </c>
      <c r="Q124">
        <f>Lookup!V127</f>
        <v>565000000</v>
      </c>
      <c r="R124">
        <f>Lookup!W127</f>
        <v>-219000000</v>
      </c>
      <c r="S124">
        <f>Lookup!X127</f>
        <v>358383000</v>
      </c>
      <c r="T124">
        <f>Lookup!Y127</f>
        <v>0</v>
      </c>
      <c r="U124">
        <f>Lookup!Z127</f>
        <v>0</v>
      </c>
      <c r="V124">
        <f>Lookup!AA127</f>
        <v>0</v>
      </c>
      <c r="W124">
        <f>Lookup!AB127</f>
        <v>0</v>
      </c>
      <c r="X124">
        <f>Lookup!AC127</f>
        <v>7.3800000000000004E-2</v>
      </c>
      <c r="Y124">
        <f>Lookup!AD127</f>
        <v>7.6799999999999993E-2</v>
      </c>
      <c r="Z124" t="str">
        <f t="shared" ca="1" si="5"/>
        <v>KO_INC-ST_QRTLY.xlsx</v>
      </c>
      <c r="AA124" t="str">
        <f t="shared" ca="1" si="4"/>
        <v>KO_INC-ST_QR-001</v>
      </c>
      <c r="AB124" s="16">
        <f t="shared" ca="1" si="6"/>
        <v>46088.824799074071</v>
      </c>
    </row>
    <row r="125" spans="1:28" x14ac:dyDescent="0.25">
      <c r="A125" t="str">
        <f>Lookup!F128</f>
        <v>KO</v>
      </c>
      <c r="B125" s="14">
        <f ca="1">Lookup!G128</f>
        <v>46088</v>
      </c>
      <c r="C125">
        <f>Lookup!H128</f>
        <v>1995</v>
      </c>
      <c r="D125" t="str">
        <f>Lookup!I128</f>
        <v>Q1</v>
      </c>
      <c r="E125">
        <f>Lookup!J128</f>
        <v>3854000000</v>
      </c>
      <c r="F125">
        <f>Lookup!K128</f>
        <v>1498000000</v>
      </c>
      <c r="G125">
        <f>Lookup!L128</f>
        <v>2701000000</v>
      </c>
      <c r="H125">
        <f>Lookup!M128</f>
        <v>1605000000</v>
      </c>
      <c r="I125">
        <f>Lookup!N128</f>
        <v>0</v>
      </c>
      <c r="J125">
        <f>Lookup!O128</f>
        <v>1476000000</v>
      </c>
      <c r="K125">
        <f>Lookup!P128</f>
        <v>829000000</v>
      </c>
      <c r="L125">
        <f>Lookup!Q128</f>
        <v>21000000</v>
      </c>
      <c r="M125">
        <f>Lookup!R128</f>
        <v>656000000</v>
      </c>
      <c r="N125">
        <f>Lookup!S128</f>
        <v>173536000</v>
      </c>
      <c r="O125">
        <f>Lookup!T128</f>
        <v>540603000</v>
      </c>
      <c r="P125">
        <f>Lookup!U128</f>
        <v>0</v>
      </c>
      <c r="Q125">
        <f>Lookup!V128</f>
        <v>386000000</v>
      </c>
      <c r="R125">
        <f>Lookup!W128</f>
        <v>0</v>
      </c>
      <c r="S125">
        <f>Lookup!X128</f>
        <v>456313000</v>
      </c>
      <c r="T125">
        <f>Lookup!Y128</f>
        <v>0</v>
      </c>
      <c r="U125">
        <f>Lookup!Z128</f>
        <v>0</v>
      </c>
      <c r="V125">
        <f>Lookup!AA128</f>
        <v>0</v>
      </c>
      <c r="W125">
        <f>Lookup!AB128</f>
        <v>0</v>
      </c>
      <c r="X125">
        <f>Lookup!AC128</f>
        <v>7.6799999999999993E-2</v>
      </c>
      <c r="Y125">
        <f>Lookup!AD128</f>
        <v>5.3100000000000001E-2</v>
      </c>
      <c r="Z125" t="str">
        <f t="shared" ca="1" si="5"/>
        <v>KO_INC-ST_QRTLY.xlsx</v>
      </c>
      <c r="AA125" t="str">
        <f t="shared" ca="1" si="4"/>
        <v>KO_INC-ST_QR-001</v>
      </c>
      <c r="AB125" s="16">
        <f t="shared" ca="1" si="6"/>
        <v>46088.824799074071</v>
      </c>
    </row>
    <row r="126" spans="1:28" x14ac:dyDescent="0.25">
      <c r="A126" t="str">
        <f>Lookup!F129</f>
        <v>KO</v>
      </c>
      <c r="B126" s="14">
        <f ca="1">Lookup!G129</f>
        <v>46088</v>
      </c>
      <c r="C126">
        <f>Lookup!H129</f>
        <v>1994</v>
      </c>
      <c r="D126" t="str">
        <f>Lookup!I129</f>
        <v>Q4</v>
      </c>
      <c r="E126">
        <f>Lookup!J129</f>
        <v>4017000000</v>
      </c>
      <c r="F126">
        <f>Lookup!K129</f>
        <v>1760000000</v>
      </c>
      <c r="G126">
        <f>Lookup!L129</f>
        <v>2675000000</v>
      </c>
      <c r="H126">
        <f>Lookup!M129</f>
        <v>1338000000</v>
      </c>
      <c r="I126">
        <f>Lookup!N129</f>
        <v>0</v>
      </c>
      <c r="J126">
        <f>Lookup!O129</f>
        <v>1457000000</v>
      </c>
      <c r="K126">
        <f>Lookup!P129</f>
        <v>959000000</v>
      </c>
      <c r="L126">
        <f>Lookup!Q129</f>
        <v>-21000000</v>
      </c>
      <c r="M126">
        <f>Lookup!R129</f>
        <v>552657000</v>
      </c>
      <c r="N126">
        <f>Lookup!S129</f>
        <v>247448000</v>
      </c>
      <c r="O126">
        <f>Lookup!T129</f>
        <v>580991000</v>
      </c>
      <c r="P126">
        <f>Lookup!U129</f>
        <v>0</v>
      </c>
      <c r="Q126">
        <f>Lookup!V129</f>
        <v>358383000</v>
      </c>
      <c r="R126">
        <f>Lookup!W129</f>
        <v>0</v>
      </c>
      <c r="S126">
        <f>Lookup!X129</f>
        <v>482392000</v>
      </c>
      <c r="T126">
        <f>Lookup!Y129</f>
        <v>0</v>
      </c>
      <c r="U126">
        <f>Lookup!Z129</f>
        <v>0</v>
      </c>
      <c r="V126">
        <f>Lookup!AA129</f>
        <v>0</v>
      </c>
      <c r="W126">
        <f>Lookup!AB129</f>
        <v>0</v>
      </c>
      <c r="X126">
        <f>Lookup!AC129</f>
        <v>5.3100000000000001E-2</v>
      </c>
      <c r="Y126">
        <f>Lookup!AD129</f>
        <v>0.1404</v>
      </c>
      <c r="Z126" t="str">
        <f t="shared" ca="1" si="5"/>
        <v>KO_INC-ST_QRTLY.xlsx</v>
      </c>
      <c r="AA126" t="str">
        <f t="shared" ca="1" si="4"/>
        <v>KO_INC-ST_QR-001</v>
      </c>
      <c r="AB126" s="16">
        <f t="shared" ca="1" si="6"/>
        <v>46088.824799074071</v>
      </c>
    </row>
    <row r="127" spans="1:28" x14ac:dyDescent="0.25">
      <c r="A127" t="str">
        <f>Lookup!F130</f>
        <v>KO</v>
      </c>
      <c r="B127" s="14">
        <f ca="1">Lookup!G130</f>
        <v>46088</v>
      </c>
      <c r="C127">
        <f>Lookup!H130</f>
        <v>1994</v>
      </c>
      <c r="D127" t="str">
        <f>Lookup!I130</f>
        <v>Q3</v>
      </c>
      <c r="E127">
        <f>Lookup!J130</f>
        <v>4461000000</v>
      </c>
      <c r="F127">
        <f>Lookup!K130</f>
        <v>1667000000</v>
      </c>
      <c r="G127">
        <f>Lookup!L130</f>
        <v>2110000000</v>
      </c>
      <c r="H127">
        <f>Lookup!M130</f>
        <v>1476000000</v>
      </c>
      <c r="I127">
        <f>Lookup!N130</f>
        <v>0</v>
      </c>
      <c r="J127">
        <f>Lookup!O130</f>
        <v>1476000000</v>
      </c>
      <c r="K127">
        <f>Lookup!P130</f>
        <v>677000000</v>
      </c>
      <c r="L127">
        <f>Lookup!Q130</f>
        <v>-30566000</v>
      </c>
      <c r="M127">
        <f>Lookup!R130</f>
        <v>788051000</v>
      </c>
      <c r="N127">
        <f>Lookup!S130</f>
        <v>265934000.00000003</v>
      </c>
      <c r="O127">
        <f>Lookup!T130</f>
        <v>383100000</v>
      </c>
      <c r="P127">
        <f>Lookup!U130</f>
        <v>0</v>
      </c>
      <c r="Q127">
        <f>Lookup!V130</f>
        <v>456313000</v>
      </c>
      <c r="R127">
        <f>Lookup!W130</f>
        <v>0</v>
      </c>
      <c r="S127">
        <f>Lookup!X130</f>
        <v>320914000</v>
      </c>
      <c r="T127">
        <f>Lookup!Y130</f>
        <v>0</v>
      </c>
      <c r="U127">
        <f>Lookup!Z130</f>
        <v>0</v>
      </c>
      <c r="V127">
        <f>Lookup!AA130</f>
        <v>0</v>
      </c>
      <c r="W127">
        <f>Lookup!AB130</f>
        <v>0</v>
      </c>
      <c r="X127">
        <f>Lookup!AC130</f>
        <v>0.1404</v>
      </c>
      <c r="Y127">
        <f>Lookup!AD130</f>
        <v>6.6199999999999995E-2</v>
      </c>
      <c r="Z127" t="str">
        <f t="shared" ca="1" si="5"/>
        <v>KO_INC-ST_QRTLY.xlsx</v>
      </c>
      <c r="AA127" t="str">
        <f t="shared" ca="1" si="4"/>
        <v>KO_INC-ST_QR-001</v>
      </c>
      <c r="AB127" s="16">
        <f t="shared" ca="1" si="6"/>
        <v>46088.824799074071</v>
      </c>
    </row>
    <row r="128" spans="1:28" x14ac:dyDescent="0.25">
      <c r="A128" t="str">
        <f>Lookup!F131</f>
        <v>KO</v>
      </c>
      <c r="B128" s="14">
        <f ca="1">Lookup!G131</f>
        <v>46088</v>
      </c>
      <c r="C128">
        <f>Lookup!H131</f>
        <v>1994</v>
      </c>
      <c r="D128" t="str">
        <f>Lookup!I131</f>
        <v>Q2</v>
      </c>
      <c r="E128">
        <f>Lookup!J131</f>
        <v>4342000000</v>
      </c>
      <c r="F128">
        <f>Lookup!K131</f>
        <v>1242000000</v>
      </c>
      <c r="G128">
        <f>Lookup!L131</f>
        <v>2113000000</v>
      </c>
      <c r="H128">
        <f>Lookup!M131</f>
        <v>1457000000</v>
      </c>
      <c r="I128">
        <f>Lookup!N131</f>
        <v>0</v>
      </c>
      <c r="J128">
        <f>Lookup!O131</f>
        <v>1286000000</v>
      </c>
      <c r="K128">
        <f>Lookup!P131</f>
        <v>583222900</v>
      </c>
      <c r="L128">
        <f>Lookup!Q131</f>
        <v>17095000</v>
      </c>
      <c r="M128">
        <f>Lookup!R131</f>
        <v>846925000</v>
      </c>
      <c r="N128">
        <f>Lookup!S131</f>
        <v>175355000</v>
      </c>
      <c r="O128">
        <f>Lookup!T131</f>
        <v>358383000</v>
      </c>
      <c r="P128">
        <f>Lookup!U131</f>
        <v>0</v>
      </c>
      <c r="Q128">
        <f>Lookup!V131</f>
        <v>482392000</v>
      </c>
      <c r="R128">
        <f>Lookup!W131</f>
        <v>0</v>
      </c>
      <c r="S128">
        <f>Lookup!X131</f>
        <v>294335000</v>
      </c>
      <c r="T128">
        <f>Lookup!Y131</f>
        <v>0</v>
      </c>
      <c r="U128">
        <f>Lookup!Z131</f>
        <v>0</v>
      </c>
      <c r="V128">
        <f>Lookup!AA131</f>
        <v>0</v>
      </c>
      <c r="W128">
        <f>Lookup!AB131</f>
        <v>0</v>
      </c>
      <c r="X128">
        <f>Lookup!AC131</f>
        <v>6.6199999999999995E-2</v>
      </c>
      <c r="Y128">
        <f>Lookup!AD131</f>
        <v>6.2399999999999997E-2</v>
      </c>
      <c r="Z128" t="str">
        <f t="shared" ca="1" si="5"/>
        <v>KO_INC-ST_QRTLY.xlsx</v>
      </c>
      <c r="AA128" t="str">
        <f t="shared" ca="1" si="4"/>
        <v>KO_INC-ST_QR-001</v>
      </c>
      <c r="AB128" s="16">
        <f t="shared" ca="1" si="6"/>
        <v>46088.824799074071</v>
      </c>
    </row>
    <row r="129" spans="1:28" x14ac:dyDescent="0.25">
      <c r="A129" t="str">
        <f>Lookup!F132</f>
        <v>KO</v>
      </c>
      <c r="B129" s="14">
        <f ca="1">Lookup!G132</f>
        <v>46088</v>
      </c>
      <c r="C129">
        <f>Lookup!H132</f>
        <v>1994</v>
      </c>
      <c r="D129" t="str">
        <f>Lookup!I132</f>
        <v>Q1</v>
      </c>
      <c r="E129">
        <f>Lookup!J132</f>
        <v>3352000000</v>
      </c>
      <c r="F129">
        <f>Lookup!K132</f>
        <v>1260000000</v>
      </c>
      <c r="G129">
        <f>Lookup!L132</f>
        <v>2286000000</v>
      </c>
      <c r="H129">
        <f>Lookup!M132</f>
        <v>1476000000</v>
      </c>
      <c r="I129">
        <f>Lookup!N132</f>
        <v>0</v>
      </c>
      <c r="J129">
        <f>Lookup!O132</f>
        <v>1396917000</v>
      </c>
      <c r="K129">
        <f>Lookup!P132</f>
        <v>770956100</v>
      </c>
      <c r="L129">
        <f>Lookup!Q132</f>
        <v>10391000</v>
      </c>
      <c r="M129">
        <f>Lookup!R132</f>
        <v>558455000</v>
      </c>
      <c r="N129">
        <f>Lookup!S132</f>
        <v>188717000</v>
      </c>
      <c r="O129">
        <f>Lookup!T132</f>
        <v>456313000</v>
      </c>
      <c r="P129">
        <f>Lookup!U132</f>
        <v>0</v>
      </c>
      <c r="Q129">
        <f>Lookup!V132</f>
        <v>320914000</v>
      </c>
      <c r="R129">
        <f>Lookup!W132</f>
        <v>0</v>
      </c>
      <c r="S129">
        <f>Lookup!X132</f>
        <v>394172000</v>
      </c>
      <c r="T129">
        <f>Lookup!Y132</f>
        <v>0</v>
      </c>
      <c r="U129">
        <f>Lookup!Z132</f>
        <v>0</v>
      </c>
      <c r="V129">
        <f>Lookup!AA132</f>
        <v>0</v>
      </c>
      <c r="W129">
        <f>Lookup!AB132</f>
        <v>0</v>
      </c>
      <c r="X129">
        <f>Lookup!AC132</f>
        <v>6.2399999999999997E-2</v>
      </c>
      <c r="Y129">
        <f>Lookup!AD132</f>
        <v>4.6399999999999997E-2</v>
      </c>
      <c r="Z129" t="str">
        <f t="shared" ca="1" si="5"/>
        <v>KO_INC-ST_QRTLY.xlsx</v>
      </c>
      <c r="AA129" t="str">
        <f t="shared" ca="1" si="4"/>
        <v>KO_INC-ST_QR-001</v>
      </c>
      <c r="AB129" s="16">
        <f t="shared" ca="1" si="6"/>
        <v>46088.824799074071</v>
      </c>
    </row>
    <row r="130" spans="1:28" x14ac:dyDescent="0.25">
      <c r="A130" t="str">
        <f>Lookup!F133</f>
        <v>KO</v>
      </c>
      <c r="B130" s="14">
        <f ca="1">Lookup!G133</f>
        <v>46088</v>
      </c>
      <c r="C130">
        <f>Lookup!H133</f>
        <v>1993</v>
      </c>
      <c r="D130" t="str">
        <f>Lookup!I133</f>
        <v>Q4</v>
      </c>
      <c r="E130">
        <f>Lookup!J133</f>
        <v>3373000000</v>
      </c>
      <c r="F130">
        <f>Lookup!K133</f>
        <v>1343000000</v>
      </c>
      <c r="G130">
        <f>Lookup!L133</f>
        <v>2435000000</v>
      </c>
      <c r="H130">
        <f>Lookup!M133</f>
        <v>1286000000</v>
      </c>
      <c r="I130">
        <f>Lookup!N133</f>
        <v>0</v>
      </c>
      <c r="J130">
        <f>Lookup!O133</f>
        <v>1351203000</v>
      </c>
      <c r="K130">
        <f>Lookup!P133</f>
        <v>836534200</v>
      </c>
      <c r="L130">
        <f>Lookup!Q133</f>
        <v>-20923000</v>
      </c>
      <c r="M130">
        <f>Lookup!R133</f>
        <v>547100000</v>
      </c>
      <c r="N130">
        <f>Lookup!S133</f>
        <v>208866000</v>
      </c>
      <c r="O130">
        <f>Lookup!T133</f>
        <v>482392000</v>
      </c>
      <c r="P130">
        <f>Lookup!U133</f>
        <v>0</v>
      </c>
      <c r="Q130">
        <f>Lookup!V133</f>
        <v>294335000</v>
      </c>
      <c r="R130">
        <f>Lookup!W133</f>
        <v>0</v>
      </c>
      <c r="S130">
        <f>Lookup!X133</f>
        <v>409932000</v>
      </c>
      <c r="T130">
        <f>Lookup!Y133</f>
        <v>0</v>
      </c>
      <c r="U130">
        <f>Lookup!Z133</f>
        <v>0</v>
      </c>
      <c r="V130">
        <f>Lookup!AA133</f>
        <v>0</v>
      </c>
      <c r="W130">
        <f>Lookup!AB133</f>
        <v>0</v>
      </c>
      <c r="X130">
        <f>Lookup!AC133</f>
        <v>4.6399999999999997E-2</v>
      </c>
      <c r="Y130">
        <f>Lookup!AD133</f>
        <v>4.1500000000000002E-2</v>
      </c>
      <c r="Z130" t="str">
        <f t="shared" ca="1" si="5"/>
        <v>KO_INC-ST_QRTLY.xlsx</v>
      </c>
      <c r="AA130" t="str">
        <f t="shared" ca="1" si="4"/>
        <v>KO_INC-ST_QR-001</v>
      </c>
      <c r="AB130" s="16">
        <f t="shared" ca="1" si="6"/>
        <v>46088.824799074071</v>
      </c>
    </row>
    <row r="131" spans="1:28" x14ac:dyDescent="0.25">
      <c r="A131" t="str">
        <f>Lookup!F134</f>
        <v>KO</v>
      </c>
      <c r="B131" s="14">
        <f ca="1">Lookup!G134</f>
        <v>46088</v>
      </c>
      <c r="C131">
        <f>Lookup!H134</f>
        <v>1993</v>
      </c>
      <c r="D131" t="str">
        <f>Lookup!I134</f>
        <v>Q3</v>
      </c>
      <c r="E131">
        <f>Lookup!J134</f>
        <v>3629000000</v>
      </c>
      <c r="F131">
        <f>Lookup!K134</f>
        <v>1464000000</v>
      </c>
      <c r="G131">
        <f>Lookup!L134</f>
        <v>1963000000</v>
      </c>
      <c r="H131">
        <f>Lookup!M134</f>
        <v>1396917000</v>
      </c>
      <c r="I131">
        <f>Lookup!N134</f>
        <v>0</v>
      </c>
      <c r="J131">
        <f>Lookup!O134</f>
        <v>1340276000</v>
      </c>
      <c r="K131">
        <f>Lookup!P134</f>
        <v>579484900</v>
      </c>
      <c r="L131">
        <f>Lookup!Q134</f>
        <v>60022000</v>
      </c>
      <c r="M131">
        <f>Lookup!R134</f>
        <v>665179000</v>
      </c>
      <c r="N131">
        <f>Lookup!S134</f>
        <v>220803000</v>
      </c>
      <c r="O131">
        <f>Lookup!T134</f>
        <v>320914000</v>
      </c>
      <c r="P131">
        <f>Lookup!U134</f>
        <v>0</v>
      </c>
      <c r="Q131">
        <f>Lookup!V134</f>
        <v>394172000</v>
      </c>
      <c r="R131">
        <f>Lookup!W134</f>
        <v>0</v>
      </c>
      <c r="S131">
        <f>Lookup!X134</f>
        <v>283465000</v>
      </c>
      <c r="T131">
        <f>Lookup!Y134</f>
        <v>0</v>
      </c>
      <c r="U131">
        <f>Lookup!Z134</f>
        <v>0</v>
      </c>
      <c r="V131">
        <f>Lookup!AA134</f>
        <v>0</v>
      </c>
      <c r="W131">
        <f>Lookup!AB134</f>
        <v>0</v>
      </c>
      <c r="X131">
        <f>Lookup!AC134</f>
        <v>4.1500000000000002E-2</v>
      </c>
      <c r="Y131">
        <f>Lookup!AD134</f>
        <v>0</v>
      </c>
      <c r="Z131" t="str">
        <f t="shared" ca="1" si="5"/>
        <v>KO_INC-ST_QRTLY.xlsx</v>
      </c>
      <c r="AA131" t="str">
        <f t="shared" ref="AA131:AA158" ca="1" si="7">_xlfn.CONCAT(LEFT(Z131,12),"-001")</f>
        <v>KO_INC-ST_QR-001</v>
      </c>
      <c r="AB131" s="16">
        <f t="shared" ca="1" si="6"/>
        <v>46088.824799074071</v>
      </c>
    </row>
    <row r="132" spans="1:28" x14ac:dyDescent="0.25">
      <c r="A132" t="str">
        <f>Lookup!F135</f>
        <v>KO</v>
      </c>
      <c r="B132" s="14">
        <f ca="1">Lookup!G135</f>
        <v>46088</v>
      </c>
      <c r="C132">
        <f>Lookup!H135</f>
        <v>1993</v>
      </c>
      <c r="D132" t="str">
        <f>Lookup!I135</f>
        <v>Q2</v>
      </c>
      <c r="E132">
        <f>Lookup!J135</f>
        <v>3899000000</v>
      </c>
      <c r="F132">
        <f>Lookup!K135</f>
        <v>1093000000</v>
      </c>
      <c r="G132">
        <f>Lookup!L135</f>
        <v>1980140000</v>
      </c>
      <c r="H132">
        <f>Lookup!M135</f>
        <v>1351203000</v>
      </c>
      <c r="I132">
        <f>Lookup!N135</f>
        <v>0</v>
      </c>
      <c r="J132">
        <f>Lookup!O135</f>
        <v>1160996000</v>
      </c>
      <c r="K132">
        <f>Lookup!P135</f>
        <v>487078100</v>
      </c>
      <c r="L132">
        <f>Lookup!Q135</f>
        <v>20475000</v>
      </c>
      <c r="M132">
        <f>Lookup!R135</f>
        <v>703195000</v>
      </c>
      <c r="N132">
        <f>Lookup!S135</f>
        <v>146891000</v>
      </c>
      <c r="O132">
        <f>Lookup!T135</f>
        <v>294335000</v>
      </c>
      <c r="P132">
        <f>Lookup!U135</f>
        <v>0</v>
      </c>
      <c r="Q132">
        <f>Lookup!V135</f>
        <v>409932000</v>
      </c>
      <c r="R132">
        <f>Lookup!W135</f>
        <v>0</v>
      </c>
      <c r="S132">
        <f>Lookup!X135</f>
        <v>757229000</v>
      </c>
      <c r="T132">
        <f>Lookup!Y135</f>
        <v>0</v>
      </c>
      <c r="U132">
        <f>Lookup!Z135</f>
        <v>0</v>
      </c>
      <c r="V132">
        <f>Lookup!AA135</f>
        <v>0</v>
      </c>
      <c r="W132">
        <f>Lookup!AB135</f>
        <v>0</v>
      </c>
      <c r="X132">
        <f>Lookup!AC135</f>
        <v>0</v>
      </c>
      <c r="Y132">
        <f>Lookup!AD135</f>
        <v>51800</v>
      </c>
      <c r="Z132" t="str">
        <f t="shared" ref="Z132:Z158" ca="1" si="8">$Z$2</f>
        <v>KO_INC-ST_QRTLY.xlsx</v>
      </c>
      <c r="AA132" t="str">
        <f t="shared" ca="1" si="7"/>
        <v>KO_INC-ST_QR-001</v>
      </c>
      <c r="AB132" s="16">
        <f t="shared" ca="1" si="6"/>
        <v>46088.824799074071</v>
      </c>
    </row>
    <row r="133" spans="1:28" x14ac:dyDescent="0.25">
      <c r="A133" t="str">
        <f>Lookup!F136</f>
        <v>KO</v>
      </c>
      <c r="B133" s="14">
        <f ca="1">Lookup!G136</f>
        <v>46088</v>
      </c>
      <c r="C133">
        <f>Lookup!H136</f>
        <v>1993</v>
      </c>
      <c r="D133" t="str">
        <f>Lookup!I136</f>
        <v>Q1</v>
      </c>
      <c r="E133">
        <f>Lookup!J136</f>
        <v>3056000000</v>
      </c>
      <c r="F133">
        <f>Lookup!K136</f>
        <v>1263951000</v>
      </c>
      <c r="G133">
        <f>Lookup!L136</f>
        <v>2122159000</v>
      </c>
      <c r="H133">
        <f>Lookup!M136</f>
        <v>1340276000</v>
      </c>
      <c r="I133">
        <f>Lookup!N136</f>
        <v>0</v>
      </c>
      <c r="J133">
        <f>Lookup!O136</f>
        <v>1200601000</v>
      </c>
      <c r="K133">
        <f>Lookup!P136</f>
        <v>644703900</v>
      </c>
      <c r="L133">
        <f>Lookup!Q136</f>
        <v>9928000</v>
      </c>
      <c r="M133">
        <f>Lookup!R136</f>
        <v>467805000</v>
      </c>
      <c r="N133">
        <f>Lookup!S136</f>
        <v>134725000</v>
      </c>
      <c r="O133">
        <f>Lookup!T136</f>
        <v>394172000</v>
      </c>
      <c r="P133">
        <f>Lookup!U136</f>
        <v>0</v>
      </c>
      <c r="Q133">
        <f>Lookup!V136</f>
        <v>283465000</v>
      </c>
      <c r="R133">
        <f>Lookup!W136</f>
        <v>530986000</v>
      </c>
      <c r="S133">
        <f>Lookup!X136</f>
        <v>361268000</v>
      </c>
      <c r="T133">
        <f>Lookup!Y136</f>
        <v>0</v>
      </c>
      <c r="U133">
        <f>Lookup!Z136</f>
        <v>0</v>
      </c>
      <c r="V133">
        <f>Lookup!AA136</f>
        <v>0</v>
      </c>
      <c r="W133">
        <f>Lookup!AB136</f>
        <v>0</v>
      </c>
      <c r="X133">
        <f>Lookup!AC136</f>
        <v>51800</v>
      </c>
      <c r="Y133">
        <f>Lookup!AD136</f>
        <v>356200</v>
      </c>
      <c r="Z133" t="str">
        <f t="shared" ca="1" si="8"/>
        <v>KO_INC-ST_QRTLY.xlsx</v>
      </c>
      <c r="AA133" t="str">
        <f t="shared" ca="1" si="7"/>
        <v>KO_INC-ST_QR-001</v>
      </c>
      <c r="AB133" s="16">
        <f t="shared" ca="1" si="6"/>
        <v>46088.824799074071</v>
      </c>
    </row>
    <row r="134" spans="1:28" x14ac:dyDescent="0.25">
      <c r="A134" t="str">
        <f>Lookup!F137</f>
        <v>KO</v>
      </c>
      <c r="B134" s="14">
        <f ca="1">Lookup!G137</f>
        <v>46088</v>
      </c>
      <c r="C134">
        <f>Lookup!H137</f>
        <v>1992</v>
      </c>
      <c r="D134" t="str">
        <f>Lookup!I137</f>
        <v>Q4</v>
      </c>
      <c r="E134">
        <f>Lookup!J137</f>
        <v>3244091000</v>
      </c>
      <c r="F134">
        <f>Lookup!K137</f>
        <v>1385344000</v>
      </c>
      <c r="G134">
        <f>Lookup!L137</f>
        <v>2176810000</v>
      </c>
      <c r="H134">
        <f>Lookup!M137</f>
        <v>1160996000</v>
      </c>
      <c r="I134">
        <f>Lookup!N137</f>
        <v>0</v>
      </c>
      <c r="J134">
        <f>Lookup!O137</f>
        <v>1220156000</v>
      </c>
      <c r="K134">
        <f>Lookup!P137</f>
        <v>693266800</v>
      </c>
      <c r="L134">
        <f>Lookup!Q137</f>
        <v>-26191000</v>
      </c>
      <c r="M134">
        <f>Lookup!R137</f>
        <v>429060000</v>
      </c>
      <c r="N134">
        <f>Lookup!S137</f>
        <v>180422000</v>
      </c>
      <c r="O134">
        <f>Lookup!T137</f>
        <v>409932000</v>
      </c>
      <c r="P134">
        <f>Lookup!U137</f>
        <v>0</v>
      </c>
      <c r="Q134">
        <f>Lookup!V137</f>
        <v>226243000</v>
      </c>
      <c r="R134">
        <f>Lookup!W137</f>
        <v>0</v>
      </c>
      <c r="S134">
        <f>Lookup!X137</f>
        <v>345519000</v>
      </c>
      <c r="T134">
        <f>Lookup!Y137</f>
        <v>0</v>
      </c>
      <c r="U134">
        <f>Lookup!Z137</f>
        <v>0</v>
      </c>
      <c r="V134">
        <f>Lookup!AA137</f>
        <v>0</v>
      </c>
      <c r="W134">
        <f>Lookup!AB137</f>
        <v>0</v>
      </c>
      <c r="X134">
        <f>Lookup!AC137</f>
        <v>356200</v>
      </c>
      <c r="Y134">
        <f>Lookup!AD137</f>
        <v>32400</v>
      </c>
      <c r="Z134" t="str">
        <f t="shared" ca="1" si="8"/>
        <v>KO_INC-ST_QRTLY.xlsx</v>
      </c>
      <c r="AA134" t="str">
        <f t="shared" ca="1" si="7"/>
        <v>KO_INC-ST_QR-001</v>
      </c>
      <c r="AB134" s="16">
        <f t="shared" ca="1" si="6"/>
        <v>46088.824799074071</v>
      </c>
    </row>
    <row r="135" spans="1:28" x14ac:dyDescent="0.25">
      <c r="A135" t="str">
        <f>Lookup!F138</f>
        <v>KO</v>
      </c>
      <c r="B135" s="14">
        <f ca="1">Lookup!G138</f>
        <v>46088</v>
      </c>
      <c r="C135">
        <f>Lookup!H138</f>
        <v>1992</v>
      </c>
      <c r="D135" t="str">
        <f>Lookup!I138</f>
        <v>Q3</v>
      </c>
      <c r="E135">
        <f>Lookup!J138</f>
        <v>3507503000</v>
      </c>
      <c r="F135">
        <f>Lookup!K138</f>
        <v>1373563000</v>
      </c>
      <c r="G135">
        <f>Lookup!L138</f>
        <v>1740481000</v>
      </c>
      <c r="H135">
        <f>Lookup!M138</f>
        <v>1200601000</v>
      </c>
      <c r="I135">
        <f>Lookup!N138</f>
        <v>0</v>
      </c>
      <c r="J135">
        <f>Lookup!O138</f>
        <v>1160498000</v>
      </c>
      <c r="K135">
        <f>Lookup!P138</f>
        <v>493996100</v>
      </c>
      <c r="L135">
        <f>Lookup!Q138</f>
        <v>7591000</v>
      </c>
      <c r="M135">
        <f>Lookup!R138</f>
        <v>574594000</v>
      </c>
      <c r="N135">
        <f>Lookup!S138</f>
        <v>187637000</v>
      </c>
      <c r="O135">
        <f>Lookup!T138</f>
        <v>283465000</v>
      </c>
      <c r="P135">
        <f>Lookup!U138</f>
        <v>0</v>
      </c>
      <c r="Q135">
        <f>Lookup!V138</f>
        <v>361268000</v>
      </c>
      <c r="R135">
        <f>Lookup!W138</f>
        <v>0</v>
      </c>
      <c r="S135">
        <f>Lookup!X138</f>
        <v>259809000.00000003</v>
      </c>
      <c r="T135">
        <f>Lookup!Y138</f>
        <v>0</v>
      </c>
      <c r="U135">
        <f>Lookup!Z138</f>
        <v>0</v>
      </c>
      <c r="V135">
        <f>Lookup!AA138</f>
        <v>0</v>
      </c>
      <c r="W135">
        <f>Lookup!AB138</f>
        <v>0</v>
      </c>
      <c r="X135">
        <f>Lookup!AC138</f>
        <v>32400</v>
      </c>
      <c r="Y135">
        <f>Lookup!AD138</f>
        <v>45200</v>
      </c>
      <c r="Z135" t="str">
        <f t="shared" ca="1" si="8"/>
        <v>KO_INC-ST_QRTLY.xlsx</v>
      </c>
      <c r="AA135" t="str">
        <f t="shared" ca="1" si="7"/>
        <v>KO_INC-ST_QR-001</v>
      </c>
      <c r="AB135" s="16">
        <f t="shared" ca="1" si="6"/>
        <v>46088.824799074071</v>
      </c>
    </row>
    <row r="136" spans="1:28" x14ac:dyDescent="0.25">
      <c r="A136" t="str">
        <f>Lookup!F139</f>
        <v>KO</v>
      </c>
      <c r="B136" s="14">
        <f ca="1">Lookup!G139</f>
        <v>46088</v>
      </c>
      <c r="C136">
        <f>Lookup!H139</f>
        <v>1992</v>
      </c>
      <c r="D136" t="str">
        <f>Lookup!I139</f>
        <v>Q2</v>
      </c>
      <c r="E136">
        <f>Lookup!J139</f>
        <v>3550373000</v>
      </c>
      <c r="F136">
        <f>Lookup!K139</f>
        <v>1031519000</v>
      </c>
      <c r="G136">
        <f>Lookup!L139</f>
        <v>1687679000</v>
      </c>
      <c r="H136">
        <f>Lookup!M139</f>
        <v>1220156000</v>
      </c>
      <c r="I136">
        <f>Lookup!N139</f>
        <v>0</v>
      </c>
      <c r="J136">
        <f>Lookup!O139</f>
        <v>1022929000</v>
      </c>
      <c r="K136">
        <f>Lookup!P139</f>
        <v>421468000</v>
      </c>
      <c r="L136">
        <f>Lookup!Q139</f>
        <v>62164000</v>
      </c>
      <c r="M136">
        <f>Lookup!R139</f>
        <v>597569000</v>
      </c>
      <c r="N136">
        <f>Lookup!S139</f>
        <v>129747999.99999999</v>
      </c>
      <c r="O136">
        <f>Lookup!T139</f>
        <v>226243000</v>
      </c>
      <c r="P136">
        <f>Lookup!U139</f>
        <v>0</v>
      </c>
      <c r="Q136">
        <f>Lookup!V139</f>
        <v>345519000</v>
      </c>
      <c r="R136">
        <f>Lookup!W139</f>
        <v>0</v>
      </c>
      <c r="S136">
        <f>Lookup!X139</f>
        <v>235491000</v>
      </c>
      <c r="T136">
        <f>Lookup!Y139</f>
        <v>0</v>
      </c>
      <c r="U136">
        <f>Lookup!Z139</f>
        <v>0</v>
      </c>
      <c r="V136">
        <f>Lookup!AA139</f>
        <v>0</v>
      </c>
      <c r="W136">
        <f>Lookup!AB139</f>
        <v>0</v>
      </c>
      <c r="X136">
        <f>Lookup!AC139</f>
        <v>45200</v>
      </c>
      <c r="Y136">
        <f>Lookup!AD139</f>
        <v>44200</v>
      </c>
      <c r="Z136" t="str">
        <f t="shared" ca="1" si="8"/>
        <v>KO_INC-ST_QRTLY.xlsx</v>
      </c>
      <c r="AA136" t="str">
        <f t="shared" ca="1" si="7"/>
        <v>KO_INC-ST_QR-001</v>
      </c>
      <c r="AB136" s="16">
        <f t="shared" ca="1" si="6"/>
        <v>46088.824799074071</v>
      </c>
    </row>
    <row r="137" spans="1:28" x14ac:dyDescent="0.25">
      <c r="A137" t="str">
        <f>Lookup!F140</f>
        <v>KO</v>
      </c>
      <c r="B137" s="14">
        <f ca="1">Lookup!G140</f>
        <v>46088</v>
      </c>
      <c r="C137">
        <f>Lookup!H140</f>
        <v>1992</v>
      </c>
      <c r="D137" t="str">
        <f>Lookup!I140</f>
        <v>Q1</v>
      </c>
      <c r="E137">
        <f>Lookup!J140</f>
        <v>2772000000</v>
      </c>
      <c r="F137">
        <f>Lookup!K140</f>
        <v>1191322000</v>
      </c>
      <c r="G137">
        <f>Lookup!L140</f>
        <v>1864860000</v>
      </c>
      <c r="H137">
        <f>Lookup!M140</f>
        <v>1160498000</v>
      </c>
      <c r="I137">
        <f>Lookup!N140</f>
        <v>0</v>
      </c>
      <c r="J137">
        <f>Lookup!O140</f>
        <v>1059328000</v>
      </c>
      <c r="K137">
        <f>Lookup!P140</f>
        <v>512429900</v>
      </c>
      <c r="L137">
        <f>Lookup!Q140</f>
        <v>17887000</v>
      </c>
      <c r="M137">
        <f>Lookup!R140</f>
        <v>413213000</v>
      </c>
      <c r="N137">
        <f>Lookup!S140</f>
        <v>116602000</v>
      </c>
      <c r="O137">
        <f>Lookup!T140</f>
        <v>361268000</v>
      </c>
      <c r="P137">
        <f>Lookup!U140</f>
        <v>0</v>
      </c>
      <c r="Q137">
        <f>Lookup!V140</f>
        <v>259809000.00000003</v>
      </c>
      <c r="R137">
        <f>Lookup!W140</f>
        <v>0</v>
      </c>
      <c r="S137">
        <f>Lookup!X140</f>
        <v>295616000</v>
      </c>
      <c r="T137">
        <f>Lookup!Y140</f>
        <v>0</v>
      </c>
      <c r="U137">
        <f>Lookup!Z140</f>
        <v>0</v>
      </c>
      <c r="V137">
        <f>Lookup!AA140</f>
        <v>0</v>
      </c>
      <c r="W137">
        <f>Lookup!AB140</f>
        <v>0</v>
      </c>
      <c r="X137">
        <f>Lookup!AC140</f>
        <v>44200</v>
      </c>
      <c r="Y137">
        <f>Lookup!AD140</f>
        <v>30700</v>
      </c>
      <c r="Z137" t="str">
        <f t="shared" ca="1" si="8"/>
        <v>KO_INC-ST_QRTLY.xlsx</v>
      </c>
      <c r="AA137" t="str">
        <f t="shared" ca="1" si="7"/>
        <v>KO_INC-ST_QR-001</v>
      </c>
      <c r="AB137" s="16">
        <f t="shared" ca="1" si="6"/>
        <v>46088.824799074071</v>
      </c>
    </row>
    <row r="138" spans="1:28" x14ac:dyDescent="0.25">
      <c r="A138" t="str">
        <f>Lookup!F141</f>
        <v>KO</v>
      </c>
      <c r="B138" s="14">
        <f ca="1">Lookup!G141</f>
        <v>46088</v>
      </c>
      <c r="C138">
        <f>Lookup!H141</f>
        <v>1991</v>
      </c>
      <c r="D138" t="str">
        <f>Lookup!I141</f>
        <v>Q4</v>
      </c>
      <c r="E138">
        <f>Lookup!J141</f>
        <v>2879001000</v>
      </c>
      <c r="F138">
        <f>Lookup!K141</f>
        <v>1307256000</v>
      </c>
      <c r="G138">
        <f>Lookup!L141</f>
        <v>1853765000</v>
      </c>
      <c r="H138">
        <f>Lookup!M141</f>
        <v>1022929000</v>
      </c>
      <c r="I138">
        <f>Lookup!N141</f>
        <v>0</v>
      </c>
      <c r="J138">
        <f>Lookup!O141</f>
        <v>1113039000</v>
      </c>
      <c r="K138">
        <f>Lookup!P141</f>
        <v>579682100</v>
      </c>
      <c r="L138">
        <f>Lookup!Q141</f>
        <v>-24770000</v>
      </c>
      <c r="M138">
        <f>Lookup!R141</f>
        <v>342845000</v>
      </c>
      <c r="N138">
        <f>Lookup!S141</f>
        <v>170009000</v>
      </c>
      <c r="O138">
        <f>Lookup!T141</f>
        <v>345519000</v>
      </c>
      <c r="P138">
        <f>Lookup!U141</f>
        <v>0</v>
      </c>
      <c r="Q138">
        <f>Lookup!V141</f>
        <v>235491000</v>
      </c>
      <c r="R138">
        <f>Lookup!W141</f>
        <v>0</v>
      </c>
      <c r="S138">
        <f>Lookup!X141</f>
        <v>303058000</v>
      </c>
      <c r="T138">
        <f>Lookup!Y141</f>
        <v>0</v>
      </c>
      <c r="U138">
        <f>Lookup!Z141</f>
        <v>0</v>
      </c>
      <c r="V138">
        <f>Lookup!AA141</f>
        <v>0</v>
      </c>
      <c r="W138">
        <f>Lookup!AB141</f>
        <v>0</v>
      </c>
      <c r="X138">
        <f>Lookup!AC141</f>
        <v>30700</v>
      </c>
      <c r="Y138">
        <f>Lookup!AD141</f>
        <v>0</v>
      </c>
      <c r="Z138" t="str">
        <f t="shared" ca="1" si="8"/>
        <v>KO_INC-ST_QRTLY.xlsx</v>
      </c>
      <c r="AA138" t="str">
        <f t="shared" ca="1" si="7"/>
        <v>KO_INC-ST_QR-001</v>
      </c>
      <c r="AB138" s="16">
        <f t="shared" ref="AB138:AB158" ca="1" si="9">NOW()</f>
        <v>46088.824799074071</v>
      </c>
    </row>
    <row r="139" spans="1:28" x14ac:dyDescent="0.25">
      <c r="A139" t="str">
        <f>Lookup!F142</f>
        <v>KO</v>
      </c>
      <c r="B139" s="14">
        <f ca="1">Lookup!G142</f>
        <v>46088</v>
      </c>
      <c r="C139">
        <f>Lookup!H142</f>
        <v>1991</v>
      </c>
      <c r="D139" t="str">
        <f>Lookup!I142</f>
        <v>Q3</v>
      </c>
      <c r="E139">
        <f>Lookup!J142</f>
        <v>3172116000</v>
      </c>
      <c r="F139">
        <f>Lookup!K142</f>
        <v>1185758000</v>
      </c>
      <c r="G139">
        <f>Lookup!L142</f>
        <v>1516925000</v>
      </c>
      <c r="H139">
        <f>Lookup!M142</f>
        <v>1059328000</v>
      </c>
      <c r="I139">
        <f>Lookup!N142</f>
        <v>0</v>
      </c>
      <c r="J139">
        <f>Lookup!O142</f>
        <v>1059741000</v>
      </c>
      <c r="K139">
        <f>Lookup!P142</f>
        <v>437983200</v>
      </c>
      <c r="L139">
        <f>Lookup!Q142</f>
        <v>-38910000</v>
      </c>
      <c r="M139">
        <f>Lookup!R142</f>
        <v>531277000.00000006</v>
      </c>
      <c r="N139">
        <f>Lookup!S142</f>
        <v>162597000</v>
      </c>
      <c r="O139">
        <f>Lookup!T142</f>
        <v>259809000.00000003</v>
      </c>
      <c r="P139">
        <f>Lookup!U142</f>
        <v>0</v>
      </c>
      <c r="Q139">
        <f>Lookup!V142</f>
        <v>295616000</v>
      </c>
      <c r="R139">
        <f>Lookup!W142</f>
        <v>0</v>
      </c>
      <c r="S139">
        <f>Lookup!X142</f>
        <v>210538000</v>
      </c>
      <c r="T139">
        <f>Lookup!Y142</f>
        <v>0</v>
      </c>
      <c r="U139">
        <f>Lookup!Z142</f>
        <v>0</v>
      </c>
      <c r="V139">
        <f>Lookup!AA142</f>
        <v>0</v>
      </c>
      <c r="W139">
        <f>Lookup!AB142</f>
        <v>0</v>
      </c>
      <c r="X139">
        <f>Lookup!AC142</f>
        <v>0</v>
      </c>
      <c r="Y139">
        <f>Lookup!AD142</f>
        <v>0</v>
      </c>
      <c r="Z139" t="str">
        <f t="shared" ca="1" si="8"/>
        <v>KO_INC-ST_QRTLY.xlsx</v>
      </c>
      <c r="AA139" t="str">
        <f t="shared" ca="1" si="7"/>
        <v>KO_INC-ST_QR-001</v>
      </c>
      <c r="AB139" s="16">
        <f t="shared" ca="1" si="9"/>
        <v>46088.824799074071</v>
      </c>
    </row>
    <row r="140" spans="1:28" x14ac:dyDescent="0.25">
      <c r="A140" t="str">
        <f>Lookup!F143</f>
        <v>KO</v>
      </c>
      <c r="B140" s="14">
        <f ca="1">Lookup!G143</f>
        <v>46088</v>
      </c>
      <c r="C140">
        <f>Lookup!H143</f>
        <v>1991</v>
      </c>
      <c r="D140" t="str">
        <f>Lookup!I143</f>
        <v>Q2</v>
      </c>
      <c r="E140">
        <f>Lookup!J143</f>
        <v>3039523000</v>
      </c>
      <c r="F140">
        <f>Lookup!K143</f>
        <v>964049000</v>
      </c>
      <c r="G140">
        <f>Lookup!L143</f>
        <v>1480796000</v>
      </c>
      <c r="H140">
        <f>Lookup!M143</f>
        <v>1113039000</v>
      </c>
      <c r="I140">
        <f>Lookup!N143</f>
        <v>0</v>
      </c>
      <c r="J140">
        <f>Lookup!O143</f>
        <v>843828000</v>
      </c>
      <c r="K140">
        <f>Lookup!P143</f>
        <v>381755100</v>
      </c>
      <c r="L140">
        <f>Lookup!Q143</f>
        <v>72977000</v>
      </c>
      <c r="M140">
        <f>Lookup!R143</f>
        <v>508116000</v>
      </c>
      <c r="N140">
        <f>Lookup!S143</f>
        <v>122263000</v>
      </c>
      <c r="O140">
        <f>Lookup!T143</f>
        <v>235491000</v>
      </c>
      <c r="P140">
        <f>Lookup!U143</f>
        <v>0</v>
      </c>
      <c r="Q140">
        <f>Lookup!V143</f>
        <v>303058000</v>
      </c>
      <c r="R140">
        <f>Lookup!W143</f>
        <v>0</v>
      </c>
      <c r="S140">
        <f>Lookup!X143</f>
        <v>192955000</v>
      </c>
      <c r="T140">
        <f>Lookup!Y143</f>
        <v>0</v>
      </c>
      <c r="U140">
        <f>Lookup!Z143</f>
        <v>0</v>
      </c>
      <c r="V140">
        <f>Lookup!AA143</f>
        <v>0</v>
      </c>
      <c r="W140">
        <f>Lookup!AB143</f>
        <v>0</v>
      </c>
      <c r="X140">
        <f>Lookup!AC143</f>
        <v>0</v>
      </c>
      <c r="Y140">
        <f>Lookup!AD143</f>
        <v>0</v>
      </c>
      <c r="Z140" t="str">
        <f t="shared" ca="1" si="8"/>
        <v>KO_INC-ST_QRTLY.xlsx</v>
      </c>
      <c r="AA140" t="str">
        <f t="shared" ca="1" si="7"/>
        <v>KO_INC-ST_QR-001</v>
      </c>
      <c r="AB140" s="16">
        <f t="shared" ca="1" si="9"/>
        <v>46088.824799074071</v>
      </c>
    </row>
    <row r="141" spans="1:28" x14ac:dyDescent="0.25">
      <c r="A141" t="str">
        <f>Lookup!F144</f>
        <v>KO</v>
      </c>
      <c r="B141" s="14">
        <f ca="1">Lookup!G144</f>
        <v>46088</v>
      </c>
      <c r="C141">
        <f>Lookup!H144</f>
        <v>1991</v>
      </c>
      <c r="D141" t="str">
        <f>Lookup!I144</f>
        <v>Q1</v>
      </c>
      <c r="E141">
        <f>Lookup!J144</f>
        <v>2480974000</v>
      </c>
      <c r="F141">
        <f>Lookup!K144</f>
        <v>1075213000</v>
      </c>
      <c r="G141">
        <f>Lookup!L144</f>
        <v>1625469000</v>
      </c>
      <c r="H141">
        <f>Lookup!M144</f>
        <v>1059741000</v>
      </c>
      <c r="I141">
        <f>Lookup!N144</f>
        <v>0</v>
      </c>
      <c r="J141">
        <f>Lookup!O144</f>
        <v>849972000</v>
      </c>
      <c r="K141">
        <f>Lookup!P144</f>
        <v>458300000</v>
      </c>
      <c r="L141">
        <f>Lookup!Q144</f>
        <v>9341000</v>
      </c>
      <c r="M141">
        <f>Lookup!R144</f>
        <v>382072000</v>
      </c>
      <c r="N141">
        <f>Lookup!S144</f>
        <v>114809000</v>
      </c>
      <c r="O141">
        <f>Lookup!T144</f>
        <v>295616000</v>
      </c>
      <c r="P141">
        <f>Lookup!U144</f>
        <v>0</v>
      </c>
      <c r="Q141">
        <f>Lookup!V144</f>
        <v>210538000</v>
      </c>
      <c r="R141">
        <f>Lookup!W144</f>
        <v>0</v>
      </c>
      <c r="S141">
        <f>Lookup!X144</f>
        <v>271363000</v>
      </c>
      <c r="T141">
        <f>Lookup!Y144</f>
        <v>0</v>
      </c>
      <c r="U141">
        <f>Lookup!Z144</f>
        <v>0</v>
      </c>
      <c r="V141">
        <f>Lookup!AA144</f>
        <v>0</v>
      </c>
      <c r="W141">
        <f>Lookup!AB144</f>
        <v>0</v>
      </c>
      <c r="X141">
        <f>Lookup!AC144</f>
        <v>0</v>
      </c>
      <c r="Y141">
        <f>Lookup!AD144</f>
        <v>0</v>
      </c>
      <c r="Z141" t="str">
        <f t="shared" ca="1" si="8"/>
        <v>KO_INC-ST_QRTLY.xlsx</v>
      </c>
      <c r="AA141" t="str">
        <f t="shared" ca="1" si="7"/>
        <v>KO_INC-ST_QR-001</v>
      </c>
      <c r="AB141" s="16">
        <f t="shared" ca="1" si="9"/>
        <v>46088.824799074071</v>
      </c>
    </row>
    <row r="142" spans="1:28" x14ac:dyDescent="0.25">
      <c r="A142" t="str">
        <f>Lookup!F145</f>
        <v>KO</v>
      </c>
      <c r="B142" s="14">
        <f ca="1">Lookup!G145</f>
        <v>46088</v>
      </c>
      <c r="C142">
        <f>Lookup!H145</f>
        <v>1990</v>
      </c>
      <c r="D142" t="str">
        <f>Lookup!I145</f>
        <v>Q4</v>
      </c>
      <c r="E142">
        <f>Lookup!J145</f>
        <v>2556009000</v>
      </c>
      <c r="F142">
        <f>Lookup!K145</f>
        <v>1167285000</v>
      </c>
      <c r="G142">
        <f>Lookup!L145</f>
        <v>1639423000</v>
      </c>
      <c r="H142">
        <f>Lookup!M145</f>
        <v>843828000</v>
      </c>
      <c r="I142">
        <f>Lookup!N145</f>
        <v>0</v>
      </c>
      <c r="J142">
        <f>Lookup!O145</f>
        <v>848336000</v>
      </c>
      <c r="K142">
        <f>Lookup!P145</f>
        <v>498775100</v>
      </c>
      <c r="L142">
        <f>Lookup!Q145</f>
        <v>-4883000</v>
      </c>
      <c r="M142">
        <f>Lookup!R145</f>
        <v>350300000</v>
      </c>
      <c r="N142">
        <f>Lookup!S145</f>
        <v>154332000</v>
      </c>
      <c r="O142">
        <f>Lookup!T145</f>
        <v>303058000</v>
      </c>
      <c r="P142">
        <f>Lookup!U145</f>
        <v>0</v>
      </c>
      <c r="Q142">
        <f>Lookup!V145</f>
        <v>192955000</v>
      </c>
      <c r="R142">
        <f>Lookup!W145</f>
        <v>0</v>
      </c>
      <c r="S142">
        <f>Lookup!X145</f>
        <v>266370000</v>
      </c>
      <c r="T142">
        <f>Lookup!Y145</f>
        <v>0</v>
      </c>
      <c r="U142">
        <f>Lookup!Z145</f>
        <v>0</v>
      </c>
      <c r="V142">
        <f>Lookup!AA145</f>
        <v>0</v>
      </c>
      <c r="W142">
        <f>Lookup!AB145</f>
        <v>0</v>
      </c>
      <c r="X142">
        <f>Lookup!AC145</f>
        <v>0</v>
      </c>
      <c r="Y142">
        <f>Lookup!AD145</f>
        <v>0</v>
      </c>
      <c r="Z142" t="str">
        <f t="shared" ca="1" si="8"/>
        <v>KO_INC-ST_QRTLY.xlsx</v>
      </c>
      <c r="AA142" t="str">
        <f t="shared" ca="1" si="7"/>
        <v>KO_INC-ST_QR-001</v>
      </c>
      <c r="AB142" s="16">
        <f t="shared" ca="1" si="9"/>
        <v>46088.824799074071</v>
      </c>
    </row>
    <row r="143" spans="1:28" x14ac:dyDescent="0.25">
      <c r="A143" t="str">
        <f>Lookup!F146</f>
        <v>KO</v>
      </c>
      <c r="B143" s="14">
        <f ca="1">Lookup!G146</f>
        <v>46088</v>
      </c>
      <c r="C143">
        <f>Lookup!H146</f>
        <v>1990</v>
      </c>
      <c r="D143" t="str">
        <f>Lookup!I146</f>
        <v>Q3</v>
      </c>
      <c r="E143">
        <f>Lookup!J146</f>
        <v>2792754000</v>
      </c>
      <c r="F143">
        <f>Lookup!K146</f>
        <v>1099885000</v>
      </c>
      <c r="G143">
        <f>Lookup!L146</f>
        <v>1281811000</v>
      </c>
      <c r="H143">
        <f>Lookup!M146</f>
        <v>849972000</v>
      </c>
      <c r="I143">
        <f>Lookup!N146</f>
        <v>0</v>
      </c>
      <c r="J143">
        <f>Lookup!O146</f>
        <v>883935000</v>
      </c>
      <c r="K143">
        <f>Lookup!P146</f>
        <v>386955000</v>
      </c>
      <c r="L143">
        <f>Lookup!Q146</f>
        <v>9585000</v>
      </c>
      <c r="M143">
        <f>Lookup!R146</f>
        <v>449948000</v>
      </c>
      <c r="N143">
        <f>Lookup!S146</f>
        <v>161755000</v>
      </c>
      <c r="O143">
        <f>Lookup!T146</f>
        <v>210538000</v>
      </c>
      <c r="P143">
        <f>Lookup!U146</f>
        <v>0</v>
      </c>
      <c r="Q143">
        <f>Lookup!V146</f>
        <v>271363000</v>
      </c>
      <c r="R143">
        <f>Lookup!W146</f>
        <v>0</v>
      </c>
      <c r="S143">
        <f>Lookup!X146</f>
        <v>185448000</v>
      </c>
      <c r="T143">
        <f>Lookup!Y146</f>
        <v>0</v>
      </c>
      <c r="U143">
        <f>Lookup!Z146</f>
        <v>0</v>
      </c>
      <c r="V143">
        <f>Lookup!AA146</f>
        <v>0</v>
      </c>
      <c r="W143">
        <f>Lookup!AB146</f>
        <v>0</v>
      </c>
      <c r="X143">
        <f>Lookup!AC146</f>
        <v>0</v>
      </c>
      <c r="Y143">
        <f>Lookup!AD146</f>
        <v>0</v>
      </c>
      <c r="Z143" t="str">
        <f t="shared" ca="1" si="8"/>
        <v>KO_INC-ST_QRTLY.xlsx</v>
      </c>
      <c r="AA143" t="str">
        <f t="shared" ca="1" si="7"/>
        <v>KO_INC-ST_QR-001</v>
      </c>
      <c r="AB143" s="16">
        <f t="shared" ca="1" si="9"/>
        <v>46088.824799074071</v>
      </c>
    </row>
    <row r="144" spans="1:28" x14ac:dyDescent="0.25">
      <c r="A144" t="str">
        <f>Lookup!F147</f>
        <v>KO</v>
      </c>
      <c r="B144" s="14">
        <f ca="1">Lookup!G147</f>
        <v>46088</v>
      </c>
      <c r="C144">
        <f>Lookup!H147</f>
        <v>1990</v>
      </c>
      <c r="D144" t="str">
        <f>Lookup!I147</f>
        <v>Q2</v>
      </c>
      <c r="E144">
        <f>Lookup!J147</f>
        <v>2739308000</v>
      </c>
      <c r="F144">
        <f>Lookup!K147</f>
        <v>866467000</v>
      </c>
      <c r="G144">
        <f>Lookup!L147</f>
        <v>1231727000</v>
      </c>
      <c r="H144">
        <f>Lookup!M147</f>
        <v>848336000</v>
      </c>
      <c r="I144">
        <f>Lookup!N147</f>
        <v>0</v>
      </c>
      <c r="J144">
        <f>Lookup!O147</f>
        <v>765689000</v>
      </c>
      <c r="K144">
        <f>Lookup!P147</f>
        <v>340715000</v>
      </c>
      <c r="L144">
        <f>Lookup!Q147</f>
        <v>18521000</v>
      </c>
      <c r="M144">
        <f>Lookup!R147</f>
        <v>464813000</v>
      </c>
      <c r="N144">
        <f>Lookup!S147</f>
        <v>106538000</v>
      </c>
      <c r="O144">
        <f>Lookup!T147</f>
        <v>192955000</v>
      </c>
      <c r="P144">
        <f>Lookup!U147</f>
        <v>0</v>
      </c>
      <c r="Q144">
        <f>Lookup!V147</f>
        <v>266370000</v>
      </c>
      <c r="R144">
        <f>Lookup!W147</f>
        <v>0</v>
      </c>
      <c r="S144">
        <f>Lookup!X147</f>
        <v>0</v>
      </c>
      <c r="T144">
        <f>Lookup!Y147</f>
        <v>0</v>
      </c>
      <c r="U144">
        <f>Lookup!Z147</f>
        <v>0</v>
      </c>
      <c r="V144">
        <f>Lookup!AA147</f>
        <v>0</v>
      </c>
      <c r="W144">
        <f>Lookup!AB147</f>
        <v>0</v>
      </c>
      <c r="X144">
        <f>Lookup!AC147</f>
        <v>0</v>
      </c>
      <c r="Y144">
        <f>Lookup!AD147</f>
        <v>0</v>
      </c>
      <c r="Z144" t="str">
        <f t="shared" ca="1" si="8"/>
        <v>KO_INC-ST_QRTLY.xlsx</v>
      </c>
      <c r="AA144" t="str">
        <f t="shared" ca="1" si="7"/>
        <v>KO_INC-ST_QR-001</v>
      </c>
      <c r="AB144" s="16">
        <f t="shared" ca="1" si="9"/>
        <v>46088.824799074071</v>
      </c>
    </row>
    <row r="145" spans="1:28" x14ac:dyDescent="0.25">
      <c r="A145" t="str">
        <f>Lookup!F148</f>
        <v>KO</v>
      </c>
      <c r="B145" s="14">
        <f ca="1">Lookup!G148</f>
        <v>46088</v>
      </c>
      <c r="C145">
        <f>Lookup!H148</f>
        <v>1990</v>
      </c>
      <c r="D145" t="str">
        <f>Lookup!I148</f>
        <v>Q1</v>
      </c>
      <c r="E145">
        <f>Lookup!J148</f>
        <v>2148278000</v>
      </c>
      <c r="F145">
        <f>Lookup!K148</f>
        <v>1017185000</v>
      </c>
      <c r="G145">
        <f>Lookup!L148</f>
        <v>1306636000</v>
      </c>
      <c r="H145">
        <f>Lookup!M148</f>
        <v>883935000</v>
      </c>
      <c r="I145">
        <f>Lookup!N148</f>
        <v>0</v>
      </c>
      <c r="J145">
        <f>Lookup!O148</f>
        <v>773356000</v>
      </c>
      <c r="K145">
        <f>Lookup!P148</f>
        <v>431427000</v>
      </c>
      <c r="L145">
        <f>Lookup!Q148</f>
        <v>-644000</v>
      </c>
      <c r="M145">
        <f>Lookup!R148</f>
        <v>317076000</v>
      </c>
      <c r="N145">
        <f>Lookup!S148</f>
        <v>59560000</v>
      </c>
      <c r="O145">
        <f>Lookup!T148</f>
        <v>271363000</v>
      </c>
      <c r="P145">
        <f>Lookup!U148</f>
        <v>0</v>
      </c>
      <c r="Q145">
        <f>Lookup!V148</f>
        <v>185448000</v>
      </c>
      <c r="R145">
        <f>Lookup!W148</f>
        <v>0</v>
      </c>
      <c r="S145">
        <f>Lookup!X148</f>
        <v>0</v>
      </c>
      <c r="T145">
        <f>Lookup!Y148</f>
        <v>0</v>
      </c>
      <c r="U145">
        <f>Lookup!Z148</f>
        <v>0</v>
      </c>
      <c r="V145">
        <f>Lookup!AA148</f>
        <v>0</v>
      </c>
      <c r="W145">
        <f>Lookup!AB148</f>
        <v>0</v>
      </c>
      <c r="X145">
        <f>Lookup!AC148</f>
        <v>0</v>
      </c>
      <c r="Y145">
        <f>Lookup!AD148</f>
        <v>0</v>
      </c>
      <c r="Z145" t="str">
        <f t="shared" ca="1" si="8"/>
        <v>KO_INC-ST_QRTLY.xlsx</v>
      </c>
      <c r="AA145" t="str">
        <f t="shared" ca="1" si="7"/>
        <v>KO_INC-ST_QR-001</v>
      </c>
      <c r="AB145" s="16">
        <f t="shared" ca="1" si="9"/>
        <v>46088.824799074071</v>
      </c>
    </row>
    <row r="146" spans="1:28" x14ac:dyDescent="0.25">
      <c r="A146" t="str">
        <f>Lookup!F149</f>
        <v>KO</v>
      </c>
      <c r="B146" s="14">
        <f ca="1">Lookup!G149</f>
        <v>46088</v>
      </c>
      <c r="C146">
        <f>Lookup!H149</f>
        <v>1989</v>
      </c>
      <c r="D146" t="str">
        <f>Lookup!I149</f>
        <v>Q4</v>
      </c>
      <c r="E146">
        <f>Lookup!J149</f>
        <v>2248912000</v>
      </c>
      <c r="F146">
        <f>Lookup!K149</f>
        <v>995928000</v>
      </c>
      <c r="G146">
        <f>Lookup!L149</f>
        <v>1382710000</v>
      </c>
      <c r="H146">
        <f>Lookup!M149</f>
        <v>765689000</v>
      </c>
      <c r="I146">
        <f>Lookup!N149</f>
        <v>0</v>
      </c>
      <c r="J146">
        <f>Lookup!O149</f>
        <v>790416000</v>
      </c>
      <c r="K146">
        <f>Lookup!P149</f>
        <v>465457000</v>
      </c>
      <c r="L146">
        <f>Lookup!Q149</f>
        <v>-43626000</v>
      </c>
      <c r="M146">
        <f>Lookup!R149</f>
        <v>252515000</v>
      </c>
      <c r="N146">
        <f>Lookup!S149</f>
        <v>147923000</v>
      </c>
      <c r="O146">
        <f>Lookup!T149</f>
        <v>266370000</v>
      </c>
      <c r="P146">
        <f>Lookup!U149</f>
        <v>0</v>
      </c>
      <c r="Q146">
        <f>Lookup!V149</f>
        <v>0</v>
      </c>
      <c r="R146">
        <f>Lookup!W149</f>
        <v>0</v>
      </c>
      <c r="S146">
        <f>Lookup!X149</f>
        <v>0</v>
      </c>
      <c r="T146">
        <f>Lookup!Y149</f>
        <v>0</v>
      </c>
      <c r="U146">
        <f>Lookup!Z149</f>
        <v>0</v>
      </c>
      <c r="V146">
        <f>Lookup!AA149</f>
        <v>0</v>
      </c>
      <c r="W146">
        <f>Lookup!AB149</f>
        <v>0</v>
      </c>
      <c r="X146">
        <f>Lookup!AC149</f>
        <v>0</v>
      </c>
      <c r="Y146">
        <f>Lookup!AD149</f>
        <v>0</v>
      </c>
      <c r="Z146" t="str">
        <f t="shared" ca="1" si="8"/>
        <v>KO_INC-ST_QRTLY.xlsx</v>
      </c>
      <c r="AA146" t="str">
        <f t="shared" ca="1" si="7"/>
        <v>KO_INC-ST_QR-001</v>
      </c>
      <c r="AB146" s="16">
        <f t="shared" ca="1" si="9"/>
        <v>46088.824799074071</v>
      </c>
    </row>
    <row r="147" spans="1:28" x14ac:dyDescent="0.25">
      <c r="A147" t="str">
        <f>Lookup!F150</f>
        <v>KO</v>
      </c>
      <c r="B147" s="14">
        <f ca="1">Lookup!G150</f>
        <v>46088</v>
      </c>
      <c r="C147">
        <f>Lookup!H150</f>
        <v>1989</v>
      </c>
      <c r="D147" t="str">
        <f>Lookup!I150</f>
        <v>Q3</v>
      </c>
      <c r="E147">
        <f>Lookup!J150</f>
        <v>2302564000</v>
      </c>
      <c r="F147">
        <f>Lookup!K150</f>
        <v>1046412000</v>
      </c>
      <c r="G147">
        <f>Lookup!L150</f>
        <v>1152644000</v>
      </c>
      <c r="H147">
        <f>Lookup!M150</f>
        <v>773356000</v>
      </c>
      <c r="I147">
        <f>Lookup!N150</f>
        <v>0</v>
      </c>
      <c r="J147">
        <f>Lookup!O150</f>
        <v>827201000</v>
      </c>
      <c r="K147">
        <f>Lookup!P150</f>
        <v>360702000</v>
      </c>
      <c r="L147">
        <f>Lookup!Q150</f>
        <v>70268000</v>
      </c>
      <c r="M147">
        <f>Lookup!R150</f>
        <v>419286000</v>
      </c>
      <c r="N147">
        <f>Lookup!S150</f>
        <v>170300000</v>
      </c>
      <c r="O147">
        <f>Lookup!T150</f>
        <v>185448000</v>
      </c>
      <c r="P147">
        <f>Lookup!U150</f>
        <v>0</v>
      </c>
      <c r="Q147">
        <f>Lookup!V150</f>
        <v>0</v>
      </c>
      <c r="R147">
        <f>Lookup!W150</f>
        <v>0</v>
      </c>
      <c r="S147">
        <f>Lookup!X150</f>
        <v>0</v>
      </c>
      <c r="T147">
        <f>Lookup!Y150</f>
        <v>0</v>
      </c>
      <c r="U147">
        <f>Lookup!Z150</f>
        <v>0</v>
      </c>
      <c r="V147">
        <f>Lookup!AA150</f>
        <v>0</v>
      </c>
      <c r="W147">
        <f>Lookup!AB150</f>
        <v>0</v>
      </c>
      <c r="X147">
        <f>Lookup!AC150</f>
        <v>0</v>
      </c>
      <c r="Y147">
        <f>Lookup!AD150</f>
        <v>0</v>
      </c>
      <c r="Z147" t="str">
        <f t="shared" ca="1" si="8"/>
        <v>KO_INC-ST_QRTLY.xlsx</v>
      </c>
      <c r="AA147" t="str">
        <f t="shared" ca="1" si="7"/>
        <v>KO_INC-ST_QR-001</v>
      </c>
      <c r="AB147" s="16">
        <f t="shared" ca="1" si="9"/>
        <v>46088.824799074071</v>
      </c>
    </row>
    <row r="148" spans="1:28" x14ac:dyDescent="0.25">
      <c r="A148" t="str">
        <f>Lookup!F151</f>
        <v>KO</v>
      </c>
      <c r="B148" s="14">
        <f ca="1">Lookup!G151</f>
        <v>46088</v>
      </c>
      <c r="C148">
        <f>Lookup!H151</f>
        <v>1989</v>
      </c>
      <c r="D148" t="str">
        <f>Lookup!I151</f>
        <v>Q2</v>
      </c>
      <c r="E148">
        <f>Lookup!J151</f>
        <v>2429122000</v>
      </c>
      <c r="F148">
        <f>Lookup!K151</f>
        <v>832544000</v>
      </c>
      <c r="G148">
        <f>Lookup!L151</f>
        <v>1114071000</v>
      </c>
      <c r="H148">
        <f>Lookup!M151</f>
        <v>790416000</v>
      </c>
      <c r="I148">
        <f>Lookup!N151</f>
        <v>0</v>
      </c>
      <c r="J148">
        <f>Lookup!O151</f>
        <v>647085000</v>
      </c>
      <c r="K148">
        <f>Lookup!P151</f>
        <v>182247000</v>
      </c>
      <c r="L148">
        <f>Lookup!Q151</f>
        <v>25132000</v>
      </c>
      <c r="M148">
        <f>Lookup!R151</f>
        <v>436670000</v>
      </c>
      <c r="N148">
        <f>Lookup!S151</f>
        <v>118565000</v>
      </c>
      <c r="O148">
        <f>Lookup!T151</f>
        <v>0</v>
      </c>
      <c r="P148">
        <f>Lookup!U151</f>
        <v>0</v>
      </c>
      <c r="Q148">
        <f>Lookup!V151</f>
        <v>0</v>
      </c>
      <c r="R148">
        <f>Lookup!W151</f>
        <v>0</v>
      </c>
      <c r="S148">
        <f>Lookup!X151</f>
        <v>0</v>
      </c>
      <c r="T148">
        <f>Lookup!Y151</f>
        <v>0</v>
      </c>
      <c r="U148">
        <f>Lookup!Z151</f>
        <v>0</v>
      </c>
      <c r="V148">
        <f>Lookup!AA151</f>
        <v>0</v>
      </c>
      <c r="W148">
        <f>Lookup!AB151</f>
        <v>0</v>
      </c>
      <c r="X148">
        <f>Lookup!AC151</f>
        <v>0</v>
      </c>
      <c r="Y148">
        <f>Lookup!AD151</f>
        <v>0</v>
      </c>
      <c r="Z148" t="str">
        <f t="shared" ca="1" si="8"/>
        <v>KO_INC-ST_QRTLY.xlsx</v>
      </c>
      <c r="AA148" t="str">
        <f t="shared" ca="1" si="7"/>
        <v>KO_INC-ST_QR-001</v>
      </c>
      <c r="AB148" s="16">
        <f t="shared" ca="1" si="9"/>
        <v>46088.824799074071</v>
      </c>
    </row>
    <row r="149" spans="1:28" x14ac:dyDescent="0.25">
      <c r="A149" t="str">
        <f>Lookup!F152</f>
        <v>KO</v>
      </c>
      <c r="B149" s="14">
        <f ca="1">Lookup!G152</f>
        <v>46088</v>
      </c>
      <c r="C149">
        <f>Lookup!H152</f>
        <v>1989</v>
      </c>
      <c r="D149" t="str">
        <f>Lookup!I152</f>
        <v>Q1</v>
      </c>
      <c r="E149">
        <f>Lookup!J152</f>
        <v>1985188000</v>
      </c>
      <c r="F149">
        <f>Lookup!K152</f>
        <v>912758000</v>
      </c>
      <c r="G149">
        <f>Lookup!L152</f>
        <v>1221843000</v>
      </c>
      <c r="H149">
        <f>Lookup!M152</f>
        <v>827201000</v>
      </c>
      <c r="I149">
        <f>Lookup!N152</f>
        <v>0</v>
      </c>
      <c r="J149">
        <f>Lookup!O152</f>
        <v>469902000</v>
      </c>
      <c r="K149">
        <f>Lookup!P152</f>
        <v>394154100</v>
      </c>
      <c r="L149">
        <f>Lookup!Q152</f>
        <v>13396000</v>
      </c>
      <c r="M149">
        <f>Lookup!R152</f>
        <v>304013000</v>
      </c>
      <c r="N149">
        <f>Lookup!S152</f>
        <v>0</v>
      </c>
      <c r="O149">
        <f>Lookup!T152</f>
        <v>0</v>
      </c>
      <c r="P149">
        <f>Lookup!U152</f>
        <v>0</v>
      </c>
      <c r="Q149">
        <f>Lookup!V152</f>
        <v>0</v>
      </c>
      <c r="R149">
        <f>Lookup!W152</f>
        <v>0</v>
      </c>
      <c r="S149">
        <f>Lookup!X152</f>
        <v>0</v>
      </c>
      <c r="T149">
        <f>Lookup!Y152</f>
        <v>0</v>
      </c>
      <c r="U149">
        <f>Lookup!Z152</f>
        <v>0</v>
      </c>
      <c r="V149">
        <f>Lookup!AA152</f>
        <v>0</v>
      </c>
      <c r="W149">
        <f>Lookup!AB152</f>
        <v>0</v>
      </c>
      <c r="X149">
        <f>Lookup!AC152</f>
        <v>0</v>
      </c>
      <c r="Y149">
        <f>Lookup!AD152</f>
        <v>0</v>
      </c>
      <c r="Z149" t="str">
        <f t="shared" ca="1" si="8"/>
        <v>KO_INC-ST_QRTLY.xlsx</v>
      </c>
      <c r="AA149" t="str">
        <f t="shared" ca="1" si="7"/>
        <v>KO_INC-ST_QR-001</v>
      </c>
      <c r="AB149" s="16">
        <f t="shared" ca="1" si="9"/>
        <v>46088.824799074071</v>
      </c>
    </row>
    <row r="150" spans="1:28" x14ac:dyDescent="0.25">
      <c r="A150" t="str">
        <f>Lookup!F153</f>
        <v>KO</v>
      </c>
      <c r="B150" s="14">
        <f ca="1">Lookup!G153</f>
        <v>46088</v>
      </c>
      <c r="C150">
        <f>Lookup!H153</f>
        <v>1988</v>
      </c>
      <c r="D150" t="str">
        <f>Lookup!I153</f>
        <v>Q4</v>
      </c>
      <c r="E150">
        <f>Lookup!J153</f>
        <v>2026829000</v>
      </c>
      <c r="F150">
        <f>Lookup!K153</f>
        <v>906477000</v>
      </c>
      <c r="G150">
        <f>Lookup!L153</f>
        <v>1292658000</v>
      </c>
      <c r="H150">
        <f>Lookup!M153</f>
        <v>647085000</v>
      </c>
      <c r="I150">
        <f>Lookup!N153</f>
        <v>0</v>
      </c>
      <c r="J150">
        <f>Lookup!O153</f>
        <v>837039000</v>
      </c>
      <c r="K150">
        <f>Lookup!P153</f>
        <v>423273900</v>
      </c>
      <c r="L150">
        <f>Lookup!Q153</f>
        <v>-20102000</v>
      </c>
      <c r="M150">
        <f>Lookup!R153</f>
        <v>0</v>
      </c>
      <c r="N150">
        <f>Lookup!S153</f>
        <v>0</v>
      </c>
      <c r="O150">
        <f>Lookup!T153</f>
        <v>0</v>
      </c>
      <c r="P150">
        <f>Lookup!U153</f>
        <v>0</v>
      </c>
      <c r="Q150">
        <f>Lookup!V153</f>
        <v>0</v>
      </c>
      <c r="R150">
        <f>Lookup!W153</f>
        <v>0</v>
      </c>
      <c r="S150">
        <f>Lookup!X153</f>
        <v>0</v>
      </c>
      <c r="T150">
        <f>Lookup!Y153</f>
        <v>0</v>
      </c>
      <c r="U150">
        <f>Lookup!Z153</f>
        <v>0</v>
      </c>
      <c r="V150">
        <f>Lookup!AA153</f>
        <v>0</v>
      </c>
      <c r="W150">
        <f>Lookup!AB153</f>
        <v>0</v>
      </c>
      <c r="X150">
        <f>Lookup!AC153</f>
        <v>0</v>
      </c>
      <c r="Y150">
        <f>Lookup!AD153</f>
        <v>0</v>
      </c>
      <c r="Z150" t="str">
        <f t="shared" ca="1" si="8"/>
        <v>KO_INC-ST_QRTLY.xlsx</v>
      </c>
      <c r="AA150" t="str">
        <f t="shared" ca="1" si="7"/>
        <v>KO_INC-ST_QR-001</v>
      </c>
      <c r="AB150" s="16">
        <f t="shared" ca="1" si="9"/>
        <v>46088.824799074071</v>
      </c>
    </row>
    <row r="151" spans="1:28" x14ac:dyDescent="0.25">
      <c r="A151" t="str">
        <f>Lookup!F154</f>
        <v>KO</v>
      </c>
      <c r="B151" s="14">
        <f ca="1">Lookup!G154</f>
        <v>46088</v>
      </c>
      <c r="C151">
        <f>Lookup!H154</f>
        <v>1988</v>
      </c>
      <c r="D151" t="str">
        <f>Lookup!I154</f>
        <v>Q3</v>
      </c>
      <c r="E151">
        <f>Lookup!J154</f>
        <v>2128320000.0000002</v>
      </c>
      <c r="F151">
        <f>Lookup!K154</f>
        <v>1020974000</v>
      </c>
      <c r="G151">
        <f>Lookup!L154</f>
        <v>1007787000</v>
      </c>
      <c r="H151">
        <f>Lookup!M154</f>
        <v>469902000</v>
      </c>
      <c r="I151">
        <f>Lookup!N154</f>
        <v>0</v>
      </c>
      <c r="J151">
        <f>Lookup!O154</f>
        <v>790695000</v>
      </c>
      <c r="K151">
        <f>Lookup!P154</f>
        <v>324115000</v>
      </c>
      <c r="L151">
        <f>Lookup!Q154</f>
        <v>0</v>
      </c>
      <c r="M151">
        <f>Lookup!R154</f>
        <v>0</v>
      </c>
      <c r="N151">
        <f>Lookup!S154</f>
        <v>0</v>
      </c>
      <c r="O151">
        <f>Lookup!T154</f>
        <v>0</v>
      </c>
      <c r="P151">
        <f>Lookup!U154</f>
        <v>0</v>
      </c>
      <c r="Q151">
        <f>Lookup!V154</f>
        <v>0</v>
      </c>
      <c r="R151">
        <f>Lookup!W154</f>
        <v>0</v>
      </c>
      <c r="S151">
        <f>Lookup!X154</f>
        <v>0</v>
      </c>
      <c r="T151">
        <f>Lookup!Y154</f>
        <v>0</v>
      </c>
      <c r="U151">
        <f>Lookup!Z154</f>
        <v>0</v>
      </c>
      <c r="V151">
        <f>Lookup!AA154</f>
        <v>0</v>
      </c>
      <c r="W151">
        <f>Lookup!AB154</f>
        <v>0</v>
      </c>
      <c r="X151">
        <f>Lookup!AC154</f>
        <v>0</v>
      </c>
      <c r="Y151">
        <f>Lookup!AD154</f>
        <v>0</v>
      </c>
      <c r="Z151" t="str">
        <f t="shared" ca="1" si="8"/>
        <v>KO_INC-ST_QRTLY.xlsx</v>
      </c>
      <c r="AA151" t="str">
        <f t="shared" ca="1" si="7"/>
        <v>KO_INC-ST_QR-001</v>
      </c>
      <c r="AB151" s="16">
        <f t="shared" ca="1" si="9"/>
        <v>46088.824799074071</v>
      </c>
    </row>
    <row r="152" spans="1:28" x14ac:dyDescent="0.25">
      <c r="A152" t="str">
        <f>Lookup!F155</f>
        <v>KO</v>
      </c>
      <c r="B152" s="14">
        <f ca="1">Lookup!G155</f>
        <v>46088</v>
      </c>
      <c r="C152">
        <f>Lookup!H155</f>
        <v>1988</v>
      </c>
      <c r="D152" t="str">
        <f>Lookup!I155</f>
        <v>Q2</v>
      </c>
      <c r="E152">
        <f>Lookup!J155</f>
        <v>2313632000</v>
      </c>
      <c r="F152">
        <f>Lookup!K155</f>
        <v>861263000</v>
      </c>
      <c r="G152">
        <f>Lookup!L155</f>
        <v>652149000</v>
      </c>
      <c r="H152">
        <f>Lookup!M155</f>
        <v>837039000</v>
      </c>
      <c r="I152">
        <f>Lookup!N155</f>
        <v>0</v>
      </c>
      <c r="J152">
        <f>Lookup!O155</f>
        <v>603756000</v>
      </c>
      <c r="K152">
        <f>Lookup!P155</f>
        <v>0</v>
      </c>
      <c r="L152">
        <f>Lookup!Q155</f>
        <v>0</v>
      </c>
      <c r="M152">
        <f>Lookup!R155</f>
        <v>0</v>
      </c>
      <c r="N152">
        <f>Lookup!S155</f>
        <v>0</v>
      </c>
      <c r="O152">
        <f>Lookup!T155</f>
        <v>0</v>
      </c>
      <c r="P152">
        <f>Lookup!U155</f>
        <v>0</v>
      </c>
      <c r="Q152">
        <f>Lookup!V155</f>
        <v>0</v>
      </c>
      <c r="R152">
        <f>Lookup!W155</f>
        <v>0</v>
      </c>
      <c r="S152">
        <f>Lookup!X155</f>
        <v>0</v>
      </c>
      <c r="T152">
        <f>Lookup!Y155</f>
        <v>0</v>
      </c>
      <c r="U152">
        <f>Lookup!Z155</f>
        <v>0</v>
      </c>
      <c r="V152">
        <f>Lookup!AA155</f>
        <v>0</v>
      </c>
      <c r="W152">
        <f>Lookup!AB155</f>
        <v>0</v>
      </c>
      <c r="X152">
        <f>Lookup!AC155</f>
        <v>0</v>
      </c>
      <c r="Y152">
        <f>Lookup!AD155</f>
        <v>0</v>
      </c>
      <c r="Z152" t="str">
        <f t="shared" ca="1" si="8"/>
        <v>KO_INC-ST_QRTLY.xlsx</v>
      </c>
      <c r="AA152" t="str">
        <f t="shared" ca="1" si="7"/>
        <v>KO_INC-ST_QR-001</v>
      </c>
      <c r="AB152" s="16">
        <f t="shared" ca="1" si="9"/>
        <v>46088.824799074071</v>
      </c>
    </row>
    <row r="153" spans="1:28" x14ac:dyDescent="0.25">
      <c r="A153" t="str">
        <f>Lookup!F156</f>
        <v>KO</v>
      </c>
      <c r="B153" s="14">
        <f ca="1">Lookup!G156</f>
        <v>46088</v>
      </c>
      <c r="C153">
        <f>Lookup!H156</f>
        <v>1988</v>
      </c>
      <c r="D153" t="str">
        <f>Lookup!I156</f>
        <v>Q1</v>
      </c>
      <c r="E153">
        <f>Lookup!J156</f>
        <v>1869050000</v>
      </c>
      <c r="F153">
        <f>Lookup!K156</f>
        <v>191775000</v>
      </c>
      <c r="G153">
        <f>Lookup!L156</f>
        <v>1231193000</v>
      </c>
      <c r="H153">
        <f>Lookup!M156</f>
        <v>790695000</v>
      </c>
      <c r="I153">
        <f>Lookup!N156</f>
        <v>0</v>
      </c>
      <c r="J153">
        <f>Lookup!O156</f>
        <v>0</v>
      </c>
      <c r="K153">
        <f>Lookup!P156</f>
        <v>0</v>
      </c>
      <c r="L153">
        <f>Lookup!Q156</f>
        <v>0</v>
      </c>
      <c r="M153">
        <f>Lookup!R156</f>
        <v>0</v>
      </c>
      <c r="N153">
        <f>Lookup!S156</f>
        <v>0</v>
      </c>
      <c r="O153">
        <f>Lookup!T156</f>
        <v>0</v>
      </c>
      <c r="P153">
        <f>Lookup!U156</f>
        <v>0</v>
      </c>
      <c r="Q153">
        <f>Lookup!V156</f>
        <v>0</v>
      </c>
      <c r="R153">
        <f>Lookup!W156</f>
        <v>0</v>
      </c>
      <c r="S153">
        <f>Lookup!X156</f>
        <v>0</v>
      </c>
      <c r="T153">
        <f>Lookup!Y156</f>
        <v>0</v>
      </c>
      <c r="U153">
        <f>Lookup!Z156</f>
        <v>0</v>
      </c>
      <c r="V153">
        <f>Lookup!AA156</f>
        <v>0</v>
      </c>
      <c r="W153">
        <f>Lookup!AB156</f>
        <v>0</v>
      </c>
      <c r="X153">
        <f>Lookup!AC156</f>
        <v>0</v>
      </c>
      <c r="Y153">
        <f>Lookup!AD156</f>
        <v>0</v>
      </c>
      <c r="Z153" t="str">
        <f t="shared" ca="1" si="8"/>
        <v>KO_INC-ST_QRTLY.xlsx</v>
      </c>
      <c r="AA153" t="str">
        <f t="shared" ca="1" si="7"/>
        <v>KO_INC-ST_QR-001</v>
      </c>
      <c r="AB153" s="16">
        <f t="shared" ca="1" si="9"/>
        <v>46088.824799074071</v>
      </c>
    </row>
    <row r="154" spans="1:28" x14ac:dyDescent="0.25">
      <c r="A154" t="str">
        <f>Lookup!F157</f>
        <v>KO</v>
      </c>
      <c r="B154" s="14">
        <f ca="1">Lookup!G157</f>
        <v>46088</v>
      </c>
      <c r="C154">
        <f>Lookup!H157</f>
        <v>1987</v>
      </c>
      <c r="D154" t="str">
        <f>Lookup!I157</f>
        <v>Q4</v>
      </c>
      <c r="E154">
        <f>Lookup!J157</f>
        <v>843924000</v>
      </c>
      <c r="F154">
        <f>Lookup!K157</f>
        <v>1251933000</v>
      </c>
      <c r="G154">
        <f>Lookup!L157</f>
        <v>1213969000</v>
      </c>
      <c r="H154">
        <f>Lookup!M157</f>
        <v>603756000</v>
      </c>
      <c r="I154">
        <f>Lookup!N157</f>
        <v>0</v>
      </c>
      <c r="J154">
        <f>Lookup!O157</f>
        <v>0</v>
      </c>
      <c r="K154">
        <f>Lookup!P157</f>
        <v>0</v>
      </c>
      <c r="L154">
        <f>Lookup!Q157</f>
        <v>0</v>
      </c>
      <c r="M154">
        <f>Lookup!R157</f>
        <v>0</v>
      </c>
      <c r="N154">
        <f>Lookup!S157</f>
        <v>0</v>
      </c>
      <c r="O154">
        <f>Lookup!T157</f>
        <v>0</v>
      </c>
      <c r="P154">
        <f>Lookup!U157</f>
        <v>0</v>
      </c>
      <c r="Q154">
        <f>Lookup!V157</f>
        <v>0</v>
      </c>
      <c r="R154">
        <f>Lookup!W157</f>
        <v>0</v>
      </c>
      <c r="S154">
        <f>Lookup!X157</f>
        <v>0</v>
      </c>
      <c r="T154">
        <f>Lookup!Y157</f>
        <v>0</v>
      </c>
      <c r="U154">
        <f>Lookup!Z157</f>
        <v>0</v>
      </c>
      <c r="V154">
        <f>Lookup!AA157</f>
        <v>0</v>
      </c>
      <c r="W154">
        <f>Lookup!AB157</f>
        <v>0</v>
      </c>
      <c r="X154">
        <f>Lookup!AC157</f>
        <v>0</v>
      </c>
      <c r="Y154">
        <f>Lookup!AD157</f>
        <v>0</v>
      </c>
      <c r="Z154" t="str">
        <f t="shared" ca="1" si="8"/>
        <v>KO_INC-ST_QRTLY.xlsx</v>
      </c>
      <c r="AA154" t="str">
        <f t="shared" ca="1" si="7"/>
        <v>KO_INC-ST_QR-001</v>
      </c>
      <c r="AB154" s="16">
        <f t="shared" ca="1" si="9"/>
        <v>46088.824799074071</v>
      </c>
    </row>
    <row r="155" spans="1:28" x14ac:dyDescent="0.25">
      <c r="A155" t="str">
        <f>Lookup!F158</f>
        <v>KO</v>
      </c>
      <c r="B155" s="14">
        <f ca="1">Lookup!G158</f>
        <v>46088</v>
      </c>
      <c r="C155">
        <f>Lookup!H158</f>
        <v>1987</v>
      </c>
      <c r="D155" t="str">
        <f>Lookup!I158</f>
        <v>Q3</v>
      </c>
      <c r="E155">
        <f>Lookup!J158</f>
        <v>2483126000</v>
      </c>
      <c r="F155">
        <f>Lookup!K158</f>
        <v>1221200000</v>
      </c>
      <c r="G155">
        <f>Lookup!L158</f>
        <v>927871000</v>
      </c>
      <c r="H155">
        <f>Lookup!M158</f>
        <v>0</v>
      </c>
      <c r="I155">
        <f>Lookup!N158</f>
        <v>0</v>
      </c>
      <c r="J155">
        <f>Lookup!O158</f>
        <v>0</v>
      </c>
      <c r="K155">
        <f>Lookup!P158</f>
        <v>0</v>
      </c>
      <c r="L155">
        <f>Lookup!Q158</f>
        <v>0</v>
      </c>
      <c r="M155">
        <f>Lookup!R158</f>
        <v>0</v>
      </c>
      <c r="N155">
        <f>Lookup!S158</f>
        <v>0</v>
      </c>
      <c r="O155">
        <f>Lookup!T158</f>
        <v>0</v>
      </c>
      <c r="P155">
        <f>Lookup!U158</f>
        <v>0</v>
      </c>
      <c r="Q155">
        <f>Lookup!V158</f>
        <v>0</v>
      </c>
      <c r="R155">
        <f>Lookup!W158</f>
        <v>0</v>
      </c>
      <c r="S155">
        <f>Lookup!X158</f>
        <v>0</v>
      </c>
      <c r="T155">
        <f>Lookup!Y158</f>
        <v>0</v>
      </c>
      <c r="U155">
        <f>Lookup!Z158</f>
        <v>0</v>
      </c>
      <c r="V155">
        <f>Lookup!AA158</f>
        <v>0</v>
      </c>
      <c r="W155">
        <f>Lookup!AB158</f>
        <v>0</v>
      </c>
      <c r="X155">
        <f>Lookup!AC158</f>
        <v>0</v>
      </c>
      <c r="Y155">
        <f>Lookup!AD158</f>
        <v>0</v>
      </c>
      <c r="Z155" t="str">
        <f t="shared" ca="1" si="8"/>
        <v>KO_INC-ST_QRTLY.xlsx</v>
      </c>
      <c r="AA155" t="str">
        <f t="shared" ca="1" si="7"/>
        <v>KO_INC-ST_QR-001</v>
      </c>
      <c r="AB155" s="16">
        <f t="shared" ca="1" si="9"/>
        <v>46088.824799074071</v>
      </c>
    </row>
    <row r="156" spans="1:28" x14ac:dyDescent="0.25">
      <c r="A156" t="str">
        <f>Lookup!F159</f>
        <v>KO</v>
      </c>
      <c r="B156" s="14">
        <f ca="1">Lookup!G159</f>
        <v>46088</v>
      </c>
      <c r="C156">
        <f>Lookup!H159</f>
        <v>1987</v>
      </c>
      <c r="D156" t="str">
        <f>Lookup!I159</f>
        <v>Q2</v>
      </c>
      <c r="E156">
        <f>Lookup!J159</f>
        <v>2435169000</v>
      </c>
      <c r="F156">
        <f>Lookup!K159</f>
        <v>968251000</v>
      </c>
      <c r="G156">
        <f>Lookup!L159</f>
        <v>0</v>
      </c>
      <c r="H156">
        <f>Lookup!M159</f>
        <v>0</v>
      </c>
      <c r="I156">
        <f>Lookup!N159</f>
        <v>0</v>
      </c>
      <c r="J156">
        <f>Lookup!O159</f>
        <v>0</v>
      </c>
      <c r="K156">
        <f>Lookup!P159</f>
        <v>0</v>
      </c>
      <c r="L156">
        <f>Lookup!Q159</f>
        <v>0</v>
      </c>
      <c r="M156">
        <f>Lookup!R159</f>
        <v>0</v>
      </c>
      <c r="N156">
        <f>Lookup!S159</f>
        <v>0</v>
      </c>
      <c r="O156">
        <f>Lookup!T159</f>
        <v>0</v>
      </c>
      <c r="P156">
        <f>Lookup!U159</f>
        <v>0</v>
      </c>
      <c r="Q156">
        <f>Lookup!V159</f>
        <v>0</v>
      </c>
      <c r="R156">
        <f>Lookup!W159</f>
        <v>0</v>
      </c>
      <c r="S156">
        <f>Lookup!X159</f>
        <v>0</v>
      </c>
      <c r="T156">
        <f>Lookup!Y159</f>
        <v>0</v>
      </c>
      <c r="U156">
        <f>Lookup!Z159</f>
        <v>0</v>
      </c>
      <c r="V156">
        <f>Lookup!AA159</f>
        <v>0</v>
      </c>
      <c r="W156">
        <f>Lookup!AB159</f>
        <v>0</v>
      </c>
      <c r="X156">
        <f>Lookup!AC159</f>
        <v>0</v>
      </c>
      <c r="Y156">
        <f>Lookup!AD159</f>
        <v>0</v>
      </c>
      <c r="Z156" t="str">
        <f t="shared" ca="1" si="8"/>
        <v>KO_INC-ST_QRTLY.xlsx</v>
      </c>
      <c r="AA156" t="str">
        <f t="shared" ca="1" si="7"/>
        <v>KO_INC-ST_QR-001</v>
      </c>
      <c r="AB156" s="16">
        <f t="shared" ca="1" si="9"/>
        <v>46088.824799074071</v>
      </c>
    </row>
    <row r="157" spans="1:28" x14ac:dyDescent="0.25">
      <c r="A157" t="str">
        <f>Lookup!F160</f>
        <v>KO</v>
      </c>
      <c r="B157" s="14">
        <f ca="1">Lookup!G160</f>
        <v>46088</v>
      </c>
      <c r="C157">
        <f>Lookup!H160</f>
        <v>1987</v>
      </c>
      <c r="D157" t="str">
        <f>Lookup!I160</f>
        <v>Q1</v>
      </c>
      <c r="E157">
        <f>Lookup!J160</f>
        <v>1896122000</v>
      </c>
      <c r="F157">
        <f>Lookup!K160</f>
        <v>0</v>
      </c>
      <c r="G157">
        <f>Lookup!L160</f>
        <v>0</v>
      </c>
      <c r="H157">
        <f>Lookup!M160</f>
        <v>0</v>
      </c>
      <c r="I157">
        <f>Lookup!N160</f>
        <v>0</v>
      </c>
      <c r="J157">
        <f>Lookup!O160</f>
        <v>0</v>
      </c>
      <c r="K157">
        <f>Lookup!P160</f>
        <v>0</v>
      </c>
      <c r="L157">
        <f>Lookup!Q160</f>
        <v>0</v>
      </c>
      <c r="M157">
        <f>Lookup!R160</f>
        <v>0</v>
      </c>
      <c r="N157">
        <f>Lookup!S160</f>
        <v>0</v>
      </c>
      <c r="O157">
        <f>Lookup!T160</f>
        <v>0</v>
      </c>
      <c r="P157">
        <f>Lookup!U160</f>
        <v>0</v>
      </c>
      <c r="Q157">
        <f>Lookup!V160</f>
        <v>0</v>
      </c>
      <c r="R157">
        <f>Lookup!W160</f>
        <v>0</v>
      </c>
      <c r="S157">
        <f>Lookup!X160</f>
        <v>0</v>
      </c>
      <c r="T157">
        <f>Lookup!Y160</f>
        <v>0</v>
      </c>
      <c r="U157">
        <f>Lookup!Z160</f>
        <v>0</v>
      </c>
      <c r="V157">
        <f>Lookup!AA160</f>
        <v>0</v>
      </c>
      <c r="W157">
        <f>Lookup!AB160</f>
        <v>0</v>
      </c>
      <c r="X157">
        <f>Lookup!AC160</f>
        <v>0</v>
      </c>
      <c r="Y157">
        <f>Lookup!AD160</f>
        <v>0</v>
      </c>
      <c r="Z157" t="str">
        <f t="shared" ca="1" si="8"/>
        <v>KO_INC-ST_QRTLY.xlsx</v>
      </c>
      <c r="AA157" t="str">
        <f t="shared" ca="1" si="7"/>
        <v>KO_INC-ST_QR-001</v>
      </c>
      <c r="AB157" s="16">
        <f t="shared" ca="1" si="9"/>
        <v>46088.824799074071</v>
      </c>
    </row>
    <row r="158" spans="1:28" x14ac:dyDescent="0.25">
      <c r="A158" t="str">
        <f>Lookup!F161</f>
        <v>KO</v>
      </c>
      <c r="B158" s="14">
        <f ca="1">Lookup!G161</f>
        <v>46088</v>
      </c>
      <c r="C158">
        <f>Lookup!H161</f>
        <v>1986</v>
      </c>
      <c r="D158" t="str">
        <f>Lookup!I161</f>
        <v>Q4</v>
      </c>
      <c r="E158">
        <f>Lookup!J161</f>
        <v>0</v>
      </c>
      <c r="F158">
        <f>Lookup!K161</f>
        <v>0</v>
      </c>
      <c r="G158">
        <f>Lookup!L161</f>
        <v>0</v>
      </c>
      <c r="H158">
        <f>Lookup!M161</f>
        <v>0</v>
      </c>
      <c r="I158">
        <f>Lookup!N161</f>
        <v>0</v>
      </c>
      <c r="J158">
        <f>Lookup!O161</f>
        <v>0</v>
      </c>
      <c r="K158">
        <f>Lookup!P161</f>
        <v>0</v>
      </c>
      <c r="L158">
        <f>Lookup!Q161</f>
        <v>0</v>
      </c>
      <c r="M158">
        <f>Lookup!R161</f>
        <v>0</v>
      </c>
      <c r="N158">
        <f>Lookup!S161</f>
        <v>0</v>
      </c>
      <c r="O158">
        <f>Lookup!T161</f>
        <v>0</v>
      </c>
      <c r="P158">
        <f>Lookup!U161</f>
        <v>0</v>
      </c>
      <c r="Q158">
        <f>Lookup!V161</f>
        <v>0</v>
      </c>
      <c r="R158">
        <f>Lookup!W161</f>
        <v>0</v>
      </c>
      <c r="S158">
        <f>Lookup!X161</f>
        <v>0</v>
      </c>
      <c r="T158">
        <f>Lookup!Y161</f>
        <v>0</v>
      </c>
      <c r="U158">
        <f>Lookup!Z161</f>
        <v>0</v>
      </c>
      <c r="V158">
        <f>Lookup!AA161</f>
        <v>0</v>
      </c>
      <c r="W158">
        <f>Lookup!AB161</f>
        <v>0</v>
      </c>
      <c r="X158">
        <f>Lookup!AC161</f>
        <v>0</v>
      </c>
      <c r="Y158">
        <f>Lookup!AD161</f>
        <v>0</v>
      </c>
      <c r="Z158" t="str">
        <f t="shared" ca="1" si="8"/>
        <v>KO_INC-ST_QRTLY.xlsx</v>
      </c>
      <c r="AA158" t="str">
        <f t="shared" ca="1" si="7"/>
        <v>KO_INC-ST_QR-001</v>
      </c>
      <c r="AB158" s="16">
        <f t="shared" ca="1" si="9"/>
        <v>46088.824799074071</v>
      </c>
    </row>
    <row r="159" spans="1:28" x14ac:dyDescent="0.25">
      <c r="B159" s="14"/>
    </row>
    <row r="160" spans="1:28" x14ac:dyDescent="0.25">
      <c r="B160" s="14"/>
    </row>
    <row r="161" spans="2:2" x14ac:dyDescent="0.25">
      <c r="B161" s="14"/>
    </row>
    <row r="162" spans="2:2" x14ac:dyDescent="0.25">
      <c r="B162" s="14"/>
    </row>
    <row r="163" spans="2:2" x14ac:dyDescent="0.25">
      <c r="B163" s="14"/>
    </row>
    <row r="164" spans="2:2" x14ac:dyDescent="0.25">
      <c r="B164" s="14"/>
    </row>
    <row r="165" spans="2:2" x14ac:dyDescent="0.25">
      <c r="B165" s="14"/>
    </row>
    <row r="166" spans="2:2" x14ac:dyDescent="0.25">
      <c r="B166" s="14"/>
    </row>
    <row r="167" spans="2:2" x14ac:dyDescent="0.25">
      <c r="B167" s="14"/>
    </row>
    <row r="168" spans="2:2" x14ac:dyDescent="0.25">
      <c r="B168" s="14"/>
    </row>
    <row r="169" spans="2:2" x14ac:dyDescent="0.25">
      <c r="B169" s="14"/>
    </row>
    <row r="170" spans="2:2" x14ac:dyDescent="0.25">
      <c r="B170" s="14"/>
    </row>
    <row r="171" spans="2:2" x14ac:dyDescent="0.25">
      <c r="B171" s="14"/>
    </row>
    <row r="172" spans="2:2" x14ac:dyDescent="0.25">
      <c r="B172" s="14"/>
    </row>
    <row r="173" spans="2:2" x14ac:dyDescent="0.25">
      <c r="B173" s="14"/>
    </row>
    <row r="174" spans="2:2" x14ac:dyDescent="0.25">
      <c r="B174" s="14"/>
    </row>
    <row r="175" spans="2:2" x14ac:dyDescent="0.25">
      <c r="B175" s="14"/>
    </row>
    <row r="176" spans="2:2" x14ac:dyDescent="0.25">
      <c r="B176" s="14"/>
    </row>
    <row r="177" spans="2:2" x14ac:dyDescent="0.25">
      <c r="B177" s="14"/>
    </row>
    <row r="178" spans="2:2" x14ac:dyDescent="0.25">
      <c r="B178" s="14"/>
    </row>
    <row r="179" spans="2:2" x14ac:dyDescent="0.25">
      <c r="B179" s="14"/>
    </row>
    <row r="180" spans="2:2" x14ac:dyDescent="0.25">
      <c r="B180" s="14"/>
    </row>
    <row r="181" spans="2:2" x14ac:dyDescent="0.25">
      <c r="B181" s="14"/>
    </row>
    <row r="182" spans="2:2" x14ac:dyDescent="0.25">
      <c r="B182" s="14"/>
    </row>
    <row r="183" spans="2:2" x14ac:dyDescent="0.25">
      <c r="B183" s="14"/>
    </row>
    <row r="184" spans="2:2" x14ac:dyDescent="0.25">
      <c r="B184" s="14"/>
    </row>
    <row r="185" spans="2:2" x14ac:dyDescent="0.25">
      <c r="B185" s="14"/>
    </row>
    <row r="186" spans="2:2" x14ac:dyDescent="0.25">
      <c r="B186" s="14"/>
    </row>
    <row r="187" spans="2:2" x14ac:dyDescent="0.25">
      <c r="B187" s="14"/>
    </row>
    <row r="188" spans="2:2" x14ac:dyDescent="0.25">
      <c r="B188" s="14"/>
    </row>
    <row r="189" spans="2:2" x14ac:dyDescent="0.25">
      <c r="B189" s="14"/>
    </row>
    <row r="190" spans="2:2" x14ac:dyDescent="0.25">
      <c r="B190" s="14"/>
    </row>
    <row r="191" spans="2:2" x14ac:dyDescent="0.25">
      <c r="B191" s="14"/>
    </row>
    <row r="192" spans="2:2" x14ac:dyDescent="0.25">
      <c r="B192" s="14"/>
    </row>
    <row r="193" spans="2:2" x14ac:dyDescent="0.25">
      <c r="B193" s="14"/>
    </row>
    <row r="194" spans="2:2" x14ac:dyDescent="0.25">
      <c r="B194" s="14"/>
    </row>
    <row r="195" spans="2:2" x14ac:dyDescent="0.25">
      <c r="B195" s="14"/>
    </row>
    <row r="196" spans="2:2" x14ac:dyDescent="0.25">
      <c r="B196" s="14"/>
    </row>
    <row r="197" spans="2:2" x14ac:dyDescent="0.25">
      <c r="B197" s="14"/>
    </row>
    <row r="198" spans="2:2" x14ac:dyDescent="0.25">
      <c r="B198" s="14"/>
    </row>
    <row r="199" spans="2:2" x14ac:dyDescent="0.25">
      <c r="B199" s="14"/>
    </row>
    <row r="200" spans="2:2" x14ac:dyDescent="0.25">
      <c r="B200" s="14"/>
    </row>
    <row r="201" spans="2:2" x14ac:dyDescent="0.25">
      <c r="B201" s="14"/>
    </row>
    <row r="202" spans="2:2" x14ac:dyDescent="0.25">
      <c r="B202" s="14"/>
    </row>
    <row r="203" spans="2:2" x14ac:dyDescent="0.25">
      <c r="B203" s="14"/>
    </row>
    <row r="204" spans="2:2" x14ac:dyDescent="0.25">
      <c r="B204" s="14"/>
    </row>
    <row r="205" spans="2:2" x14ac:dyDescent="0.25">
      <c r="B205" s="14"/>
    </row>
    <row r="206" spans="2:2" x14ac:dyDescent="0.25">
      <c r="B206" s="14"/>
    </row>
    <row r="207" spans="2:2" x14ac:dyDescent="0.25">
      <c r="B207" s="14"/>
    </row>
    <row r="208" spans="2:2" x14ac:dyDescent="0.25">
      <c r="B208" s="14"/>
    </row>
    <row r="209" spans="2:2" x14ac:dyDescent="0.25">
      <c r="B209" s="14"/>
    </row>
    <row r="210" spans="2:2" x14ac:dyDescent="0.25">
      <c r="B210" s="14"/>
    </row>
    <row r="211" spans="2:2" x14ac:dyDescent="0.25">
      <c r="B211" s="14"/>
    </row>
    <row r="212" spans="2:2" x14ac:dyDescent="0.25">
      <c r="B212" s="14"/>
    </row>
    <row r="213" spans="2:2" x14ac:dyDescent="0.25">
      <c r="B213" s="14"/>
    </row>
    <row r="214" spans="2:2" x14ac:dyDescent="0.25">
      <c r="B214" s="14"/>
    </row>
    <row r="215" spans="2:2" x14ac:dyDescent="0.25">
      <c r="B215" s="14"/>
    </row>
    <row r="216" spans="2:2" x14ac:dyDescent="0.25">
      <c r="B216" s="14"/>
    </row>
    <row r="217" spans="2:2" x14ac:dyDescent="0.25">
      <c r="B217" s="14"/>
    </row>
    <row r="218" spans="2:2" x14ac:dyDescent="0.25">
      <c r="B218" s="14"/>
    </row>
    <row r="219" spans="2:2" x14ac:dyDescent="0.25">
      <c r="B219" s="14"/>
    </row>
    <row r="220" spans="2:2" x14ac:dyDescent="0.25">
      <c r="B220" s="14"/>
    </row>
    <row r="221" spans="2:2" x14ac:dyDescent="0.25">
      <c r="B221" s="14"/>
    </row>
    <row r="222" spans="2:2" x14ac:dyDescent="0.25">
      <c r="B222" s="14"/>
    </row>
    <row r="223" spans="2:2" x14ac:dyDescent="0.25">
      <c r="B223" s="14"/>
    </row>
    <row r="224" spans="2:2" x14ac:dyDescent="0.25">
      <c r="B224" s="14"/>
    </row>
    <row r="225" spans="2:2" x14ac:dyDescent="0.25">
      <c r="B225" s="14"/>
    </row>
    <row r="226" spans="2:2" x14ac:dyDescent="0.25">
      <c r="B226" s="14"/>
    </row>
    <row r="227" spans="2:2" x14ac:dyDescent="0.25">
      <c r="B227" s="14"/>
    </row>
    <row r="228" spans="2:2" x14ac:dyDescent="0.25">
      <c r="B228" s="14"/>
    </row>
    <row r="229" spans="2:2" x14ac:dyDescent="0.25">
      <c r="B229" s="14"/>
    </row>
    <row r="230" spans="2:2" x14ac:dyDescent="0.25">
      <c r="B230" s="14"/>
    </row>
    <row r="231" spans="2:2" x14ac:dyDescent="0.25">
      <c r="B231" s="14"/>
    </row>
    <row r="232" spans="2:2" x14ac:dyDescent="0.25">
      <c r="B232" s="14"/>
    </row>
    <row r="233" spans="2:2" x14ac:dyDescent="0.25">
      <c r="B233" s="14"/>
    </row>
    <row r="234" spans="2:2" x14ac:dyDescent="0.25">
      <c r="B234" s="14"/>
    </row>
    <row r="235" spans="2:2" x14ac:dyDescent="0.25">
      <c r="B235" s="14"/>
    </row>
    <row r="236" spans="2:2" x14ac:dyDescent="0.25">
      <c r="B236" s="14"/>
    </row>
    <row r="237" spans="2:2" x14ac:dyDescent="0.25">
      <c r="B237" s="14"/>
    </row>
    <row r="238" spans="2:2" x14ac:dyDescent="0.25">
      <c r="B238" s="14"/>
    </row>
    <row r="239" spans="2:2" x14ac:dyDescent="0.25">
      <c r="B239" s="14"/>
    </row>
    <row r="240" spans="2:2" x14ac:dyDescent="0.25">
      <c r="B240" s="14"/>
    </row>
    <row r="241" spans="2:2" x14ac:dyDescent="0.25">
      <c r="B241" s="14"/>
    </row>
    <row r="242" spans="2:2" x14ac:dyDescent="0.25">
      <c r="B242" s="14"/>
    </row>
    <row r="243" spans="2:2" x14ac:dyDescent="0.25">
      <c r="B243" s="14"/>
    </row>
    <row r="244" spans="2:2" x14ac:dyDescent="0.25">
      <c r="B244" s="14"/>
    </row>
    <row r="245" spans="2:2" x14ac:dyDescent="0.25">
      <c r="B245" s="14"/>
    </row>
    <row r="246" spans="2:2" x14ac:dyDescent="0.25">
      <c r="B246" s="14"/>
    </row>
    <row r="247" spans="2:2" x14ac:dyDescent="0.25">
      <c r="B247" s="14"/>
    </row>
    <row r="248" spans="2:2" x14ac:dyDescent="0.25">
      <c r="B248" s="14"/>
    </row>
    <row r="249" spans="2:2" x14ac:dyDescent="0.25">
      <c r="B249" s="14"/>
    </row>
    <row r="250" spans="2:2" x14ac:dyDescent="0.25">
      <c r="B250" s="14"/>
    </row>
    <row r="251" spans="2:2" x14ac:dyDescent="0.25">
      <c r="B251" s="14"/>
    </row>
    <row r="252" spans="2:2" x14ac:dyDescent="0.25">
      <c r="B252" s="14"/>
    </row>
    <row r="253" spans="2:2" x14ac:dyDescent="0.25">
      <c r="B253" s="14"/>
    </row>
    <row r="254" spans="2:2" x14ac:dyDescent="0.25">
      <c r="B254" s="14"/>
    </row>
    <row r="255" spans="2:2" x14ac:dyDescent="0.25">
      <c r="B255" s="14"/>
    </row>
    <row r="256" spans="2:2" x14ac:dyDescent="0.25">
      <c r="B256" s="14"/>
    </row>
    <row r="257" spans="2:2" x14ac:dyDescent="0.25">
      <c r="B257" s="14"/>
    </row>
    <row r="258" spans="2:2" x14ac:dyDescent="0.25">
      <c r="B258" s="14"/>
    </row>
    <row r="259" spans="2:2" x14ac:dyDescent="0.25">
      <c r="B259" s="14"/>
    </row>
    <row r="260" spans="2:2" x14ac:dyDescent="0.25">
      <c r="B260" s="14"/>
    </row>
    <row r="261" spans="2:2" x14ac:dyDescent="0.25">
      <c r="B261" s="14"/>
    </row>
    <row r="262" spans="2:2" x14ac:dyDescent="0.25">
      <c r="B262" s="14"/>
    </row>
    <row r="263" spans="2:2" x14ac:dyDescent="0.25">
      <c r="B263" s="14"/>
    </row>
    <row r="264" spans="2:2" x14ac:dyDescent="0.25">
      <c r="B264" s="14"/>
    </row>
    <row r="265" spans="2:2" x14ac:dyDescent="0.25">
      <c r="B265" s="14"/>
    </row>
    <row r="266" spans="2:2" x14ac:dyDescent="0.25">
      <c r="B266" s="14"/>
    </row>
    <row r="267" spans="2:2" x14ac:dyDescent="0.25">
      <c r="B267" s="14"/>
    </row>
    <row r="268" spans="2:2" x14ac:dyDescent="0.25">
      <c r="B268" s="14"/>
    </row>
    <row r="269" spans="2:2" x14ac:dyDescent="0.25">
      <c r="B269" s="14"/>
    </row>
    <row r="270" spans="2:2" x14ac:dyDescent="0.25">
      <c r="B270" s="14"/>
    </row>
    <row r="271" spans="2:2" x14ac:dyDescent="0.25">
      <c r="B271" s="14"/>
    </row>
    <row r="272" spans="2:2" x14ac:dyDescent="0.25">
      <c r="B272" s="14"/>
    </row>
    <row r="273" spans="2:2" x14ac:dyDescent="0.25">
      <c r="B273" s="14"/>
    </row>
    <row r="274" spans="2:2" x14ac:dyDescent="0.25">
      <c r="B274" s="14"/>
    </row>
    <row r="275" spans="2:2" x14ac:dyDescent="0.25">
      <c r="B275" s="14"/>
    </row>
    <row r="276" spans="2:2" x14ac:dyDescent="0.25">
      <c r="B276" s="14"/>
    </row>
    <row r="277" spans="2:2" x14ac:dyDescent="0.25">
      <c r="B277" s="14"/>
    </row>
    <row r="278" spans="2:2" x14ac:dyDescent="0.25">
      <c r="B278" s="14"/>
    </row>
    <row r="279" spans="2:2" x14ac:dyDescent="0.25">
      <c r="B279" s="14"/>
    </row>
    <row r="280" spans="2:2" x14ac:dyDescent="0.25">
      <c r="B280" s="14"/>
    </row>
    <row r="281" spans="2:2" x14ac:dyDescent="0.25">
      <c r="B281" s="14"/>
    </row>
    <row r="282" spans="2:2" x14ac:dyDescent="0.25">
      <c r="B282" s="14"/>
    </row>
    <row r="283" spans="2:2" x14ac:dyDescent="0.25">
      <c r="B283" s="14"/>
    </row>
    <row r="284" spans="2:2" x14ac:dyDescent="0.25">
      <c r="B284" s="14"/>
    </row>
    <row r="285" spans="2:2" x14ac:dyDescent="0.25">
      <c r="B285" s="14"/>
    </row>
    <row r="286" spans="2:2" x14ac:dyDescent="0.25">
      <c r="B286" s="14"/>
    </row>
    <row r="287" spans="2:2" x14ac:dyDescent="0.25">
      <c r="B287" s="14"/>
    </row>
    <row r="288" spans="2:2" x14ac:dyDescent="0.25">
      <c r="B288" s="14"/>
    </row>
    <row r="289" spans="2:2" x14ac:dyDescent="0.25">
      <c r="B289" s="14"/>
    </row>
    <row r="290" spans="2:2" x14ac:dyDescent="0.25">
      <c r="B290" s="14"/>
    </row>
    <row r="291" spans="2:2" x14ac:dyDescent="0.25">
      <c r="B291" s="14"/>
    </row>
    <row r="292" spans="2:2" x14ac:dyDescent="0.25">
      <c r="B292" s="14"/>
    </row>
    <row r="293" spans="2:2" x14ac:dyDescent="0.25">
      <c r="B293" s="14"/>
    </row>
    <row r="294" spans="2:2" x14ac:dyDescent="0.25">
      <c r="B294" s="14"/>
    </row>
    <row r="295" spans="2:2" x14ac:dyDescent="0.25">
      <c r="B295" s="14"/>
    </row>
    <row r="296" spans="2:2" x14ac:dyDescent="0.25">
      <c r="B296" s="14"/>
    </row>
    <row r="297" spans="2:2" x14ac:dyDescent="0.25">
      <c r="B297" s="14"/>
    </row>
    <row r="298" spans="2:2" x14ac:dyDescent="0.25">
      <c r="B298" s="14"/>
    </row>
    <row r="299" spans="2:2" x14ac:dyDescent="0.25">
      <c r="B299" s="14"/>
    </row>
    <row r="300" spans="2:2" x14ac:dyDescent="0.25">
      <c r="B300" s="14"/>
    </row>
    <row r="301" spans="2:2" x14ac:dyDescent="0.25">
      <c r="B301" s="14"/>
    </row>
    <row r="302" spans="2:2" x14ac:dyDescent="0.25">
      <c r="B302" s="14"/>
    </row>
    <row r="303" spans="2:2" x14ac:dyDescent="0.25">
      <c r="B303" s="14"/>
    </row>
    <row r="304" spans="2:2" x14ac:dyDescent="0.25">
      <c r="B304" s="14"/>
    </row>
    <row r="305" spans="2:2" x14ac:dyDescent="0.25">
      <c r="B305" s="14"/>
    </row>
    <row r="306" spans="2:2" x14ac:dyDescent="0.25">
      <c r="B306" s="14"/>
    </row>
    <row r="307" spans="2:2" x14ac:dyDescent="0.25">
      <c r="B307" s="14"/>
    </row>
    <row r="308" spans="2:2" x14ac:dyDescent="0.25">
      <c r="B308" s="14"/>
    </row>
    <row r="309" spans="2:2" x14ac:dyDescent="0.25">
      <c r="B309" s="14"/>
    </row>
    <row r="310" spans="2:2" x14ac:dyDescent="0.25">
      <c r="B310" s="14"/>
    </row>
    <row r="311" spans="2:2" x14ac:dyDescent="0.25">
      <c r="B311" s="14"/>
    </row>
    <row r="312" spans="2:2" x14ac:dyDescent="0.25">
      <c r="B312" s="14"/>
    </row>
    <row r="313" spans="2:2" x14ac:dyDescent="0.25">
      <c r="B313" s="14"/>
    </row>
    <row r="314" spans="2:2" x14ac:dyDescent="0.25">
      <c r="B314" s="14"/>
    </row>
    <row r="315" spans="2:2" x14ac:dyDescent="0.25">
      <c r="B315" s="14"/>
    </row>
    <row r="316" spans="2:2" x14ac:dyDescent="0.25">
      <c r="B316" s="14"/>
    </row>
    <row r="317" spans="2:2" x14ac:dyDescent="0.25">
      <c r="B317" s="14"/>
    </row>
    <row r="318" spans="2:2" x14ac:dyDescent="0.25">
      <c r="B318" s="14"/>
    </row>
    <row r="319" spans="2:2" x14ac:dyDescent="0.25">
      <c r="B319" s="14"/>
    </row>
    <row r="320" spans="2:2" x14ac:dyDescent="0.25">
      <c r="B320" s="14"/>
    </row>
    <row r="321" spans="2:2" x14ac:dyDescent="0.25">
      <c r="B321" s="14"/>
    </row>
    <row r="322" spans="2:2" x14ac:dyDescent="0.25">
      <c r="B322" s="14"/>
    </row>
    <row r="323" spans="2:2" x14ac:dyDescent="0.25">
      <c r="B323" s="14"/>
    </row>
    <row r="324" spans="2:2" x14ac:dyDescent="0.25">
      <c r="B324" s="14"/>
    </row>
    <row r="325" spans="2:2" x14ac:dyDescent="0.25">
      <c r="B325" s="14"/>
    </row>
    <row r="326" spans="2:2" x14ac:dyDescent="0.25">
      <c r="B326" s="14"/>
    </row>
    <row r="327" spans="2:2" x14ac:dyDescent="0.25">
      <c r="B327" s="14"/>
    </row>
    <row r="328" spans="2:2" x14ac:dyDescent="0.25">
      <c r="B328" s="14"/>
    </row>
    <row r="329" spans="2:2" x14ac:dyDescent="0.25">
      <c r="B329" s="14"/>
    </row>
    <row r="330" spans="2:2" x14ac:dyDescent="0.25">
      <c r="B330" s="14"/>
    </row>
    <row r="331" spans="2:2" x14ac:dyDescent="0.25">
      <c r="B331" s="14"/>
    </row>
    <row r="332" spans="2:2" x14ac:dyDescent="0.25">
      <c r="B332" s="14"/>
    </row>
    <row r="333" spans="2:2" x14ac:dyDescent="0.25">
      <c r="B333" s="14"/>
    </row>
    <row r="334" spans="2:2" x14ac:dyDescent="0.25">
      <c r="B334" s="14"/>
    </row>
    <row r="335" spans="2:2" x14ac:dyDescent="0.25">
      <c r="B335" s="14"/>
    </row>
    <row r="336" spans="2:2" x14ac:dyDescent="0.25">
      <c r="B336" s="14"/>
    </row>
    <row r="337" spans="2:2" x14ac:dyDescent="0.25">
      <c r="B337" s="14"/>
    </row>
    <row r="338" spans="2:2" x14ac:dyDescent="0.25">
      <c r="B338" s="14"/>
    </row>
    <row r="339" spans="2:2" x14ac:dyDescent="0.25">
      <c r="B339" s="14"/>
    </row>
    <row r="340" spans="2:2" x14ac:dyDescent="0.25">
      <c r="B340" s="14"/>
    </row>
    <row r="341" spans="2:2" x14ac:dyDescent="0.25">
      <c r="B341" s="14"/>
    </row>
    <row r="342" spans="2:2" x14ac:dyDescent="0.25">
      <c r="B342" s="14"/>
    </row>
    <row r="343" spans="2:2" x14ac:dyDescent="0.25">
      <c r="B343" s="14"/>
    </row>
    <row r="344" spans="2:2" x14ac:dyDescent="0.25">
      <c r="B344" s="14"/>
    </row>
    <row r="345" spans="2:2" x14ac:dyDescent="0.25">
      <c r="B345" s="14"/>
    </row>
    <row r="346" spans="2:2" x14ac:dyDescent="0.25">
      <c r="B346" s="14"/>
    </row>
    <row r="347" spans="2:2" x14ac:dyDescent="0.25">
      <c r="B347" s="14"/>
    </row>
    <row r="348" spans="2:2" x14ac:dyDescent="0.25">
      <c r="B348" s="14"/>
    </row>
    <row r="349" spans="2:2" x14ac:dyDescent="0.25">
      <c r="B349" s="14"/>
    </row>
    <row r="350" spans="2:2" x14ac:dyDescent="0.25">
      <c r="B350" s="14"/>
    </row>
    <row r="351" spans="2:2" x14ac:dyDescent="0.25">
      <c r="B351" s="14"/>
    </row>
    <row r="352" spans="2:2" x14ac:dyDescent="0.25">
      <c r="B352" s="14"/>
    </row>
    <row r="353" spans="2:2" x14ac:dyDescent="0.25">
      <c r="B353" s="14"/>
    </row>
    <row r="354" spans="2:2" x14ac:dyDescent="0.25">
      <c r="B354" s="14"/>
    </row>
    <row r="355" spans="2:2" x14ac:dyDescent="0.25">
      <c r="B355" s="14"/>
    </row>
    <row r="356" spans="2:2" x14ac:dyDescent="0.25">
      <c r="B356" s="14"/>
    </row>
    <row r="357" spans="2:2" x14ac:dyDescent="0.25">
      <c r="B357" s="14"/>
    </row>
    <row r="358" spans="2:2" x14ac:dyDescent="0.25">
      <c r="B358" s="14"/>
    </row>
    <row r="359" spans="2:2" x14ac:dyDescent="0.25">
      <c r="B359" s="14"/>
    </row>
    <row r="360" spans="2:2" x14ac:dyDescent="0.25">
      <c r="B360" s="14"/>
    </row>
    <row r="361" spans="2:2" x14ac:dyDescent="0.25">
      <c r="B361" s="14"/>
    </row>
    <row r="362" spans="2:2" x14ac:dyDescent="0.25">
      <c r="B362" s="14"/>
    </row>
    <row r="363" spans="2:2" x14ac:dyDescent="0.25">
      <c r="B363" s="14"/>
    </row>
    <row r="364" spans="2:2" x14ac:dyDescent="0.25">
      <c r="B364" s="14"/>
    </row>
    <row r="365" spans="2:2" x14ac:dyDescent="0.25">
      <c r="B365" s="14"/>
    </row>
    <row r="366" spans="2:2" x14ac:dyDescent="0.25">
      <c r="B366" s="14"/>
    </row>
    <row r="367" spans="2:2" x14ac:dyDescent="0.25">
      <c r="B367" s="14"/>
    </row>
    <row r="368" spans="2:2" x14ac:dyDescent="0.25">
      <c r="B368" s="14"/>
    </row>
    <row r="369" spans="2:2" x14ac:dyDescent="0.25">
      <c r="B369" s="14"/>
    </row>
    <row r="370" spans="2:2" x14ac:dyDescent="0.25">
      <c r="B370" s="14"/>
    </row>
    <row r="371" spans="2:2" x14ac:dyDescent="0.25">
      <c r="B371" s="14"/>
    </row>
    <row r="372" spans="2:2" x14ac:dyDescent="0.25">
      <c r="B372" s="14"/>
    </row>
    <row r="373" spans="2:2" x14ac:dyDescent="0.25">
      <c r="B373" s="14"/>
    </row>
    <row r="374" spans="2:2" x14ac:dyDescent="0.25">
      <c r="B374" s="14"/>
    </row>
    <row r="375" spans="2:2" x14ac:dyDescent="0.25">
      <c r="B375" s="14"/>
    </row>
    <row r="376" spans="2:2" x14ac:dyDescent="0.25">
      <c r="B376" s="14"/>
    </row>
    <row r="377" spans="2:2" x14ac:dyDescent="0.25">
      <c r="B377" s="14"/>
    </row>
    <row r="378" spans="2:2" x14ac:dyDescent="0.25">
      <c r="B378" s="14"/>
    </row>
    <row r="379" spans="2:2" x14ac:dyDescent="0.25">
      <c r="B379" s="14"/>
    </row>
    <row r="380" spans="2:2" x14ac:dyDescent="0.25">
      <c r="B380" s="14"/>
    </row>
    <row r="381" spans="2:2" x14ac:dyDescent="0.25">
      <c r="B381" s="14"/>
    </row>
    <row r="382" spans="2:2" x14ac:dyDescent="0.25">
      <c r="B382" s="14"/>
    </row>
    <row r="383" spans="2:2" x14ac:dyDescent="0.25">
      <c r="B383" s="14"/>
    </row>
    <row r="384" spans="2:2" x14ac:dyDescent="0.25">
      <c r="B384" s="14"/>
    </row>
    <row r="385" spans="2:2" x14ac:dyDescent="0.25">
      <c r="B385" s="14"/>
    </row>
    <row r="386" spans="2:2" x14ac:dyDescent="0.25">
      <c r="B386" s="14"/>
    </row>
    <row r="387" spans="2:2" x14ac:dyDescent="0.25">
      <c r="B387" s="14"/>
    </row>
    <row r="388" spans="2:2" x14ac:dyDescent="0.25">
      <c r="B388" s="14"/>
    </row>
    <row r="389" spans="2:2" x14ac:dyDescent="0.25">
      <c r="B389" s="14"/>
    </row>
    <row r="390" spans="2:2" x14ac:dyDescent="0.25">
      <c r="B390" s="14"/>
    </row>
    <row r="391" spans="2:2" x14ac:dyDescent="0.25">
      <c r="B391" s="14"/>
    </row>
    <row r="392" spans="2:2" x14ac:dyDescent="0.25">
      <c r="B392" s="14"/>
    </row>
    <row r="393" spans="2:2" x14ac:dyDescent="0.25">
      <c r="B393" s="14"/>
    </row>
    <row r="394" spans="2:2" x14ac:dyDescent="0.25">
      <c r="B394" s="14"/>
    </row>
    <row r="395" spans="2:2" x14ac:dyDescent="0.25">
      <c r="B395" s="14"/>
    </row>
    <row r="396" spans="2:2" x14ac:dyDescent="0.25">
      <c r="B396" s="14"/>
    </row>
    <row r="397" spans="2:2" x14ac:dyDescent="0.25">
      <c r="B397" s="14"/>
    </row>
    <row r="398" spans="2:2" x14ac:dyDescent="0.25">
      <c r="B398" s="14"/>
    </row>
    <row r="399" spans="2:2" x14ac:dyDescent="0.25">
      <c r="B399" s="14"/>
    </row>
    <row r="400" spans="2:2" x14ac:dyDescent="0.25">
      <c r="B400" s="14"/>
    </row>
    <row r="401" spans="2:2" x14ac:dyDescent="0.25">
      <c r="B401" s="14"/>
    </row>
    <row r="402" spans="2:2" x14ac:dyDescent="0.25">
      <c r="B402" s="14"/>
    </row>
    <row r="403" spans="2:2" x14ac:dyDescent="0.25">
      <c r="B403" s="14"/>
    </row>
    <row r="404" spans="2:2" x14ac:dyDescent="0.25">
      <c r="B404" s="14"/>
    </row>
    <row r="405" spans="2:2" x14ac:dyDescent="0.25">
      <c r="B405" s="14"/>
    </row>
    <row r="406" spans="2:2" x14ac:dyDescent="0.25">
      <c r="B406" s="14"/>
    </row>
    <row r="407" spans="2:2" x14ac:dyDescent="0.25">
      <c r="B407" s="14"/>
    </row>
    <row r="408" spans="2:2" x14ac:dyDescent="0.25">
      <c r="B408" s="14"/>
    </row>
    <row r="409" spans="2:2" x14ac:dyDescent="0.25">
      <c r="B409" s="14"/>
    </row>
    <row r="410" spans="2:2" x14ac:dyDescent="0.25">
      <c r="B410" s="14"/>
    </row>
    <row r="411" spans="2:2" x14ac:dyDescent="0.25">
      <c r="B411" s="14"/>
    </row>
    <row r="412" spans="2:2" x14ac:dyDescent="0.25">
      <c r="B412" s="14"/>
    </row>
    <row r="413" spans="2:2" x14ac:dyDescent="0.25">
      <c r="B413" s="14"/>
    </row>
    <row r="414" spans="2:2" x14ac:dyDescent="0.25">
      <c r="B414" s="14"/>
    </row>
    <row r="415" spans="2:2" x14ac:dyDescent="0.25">
      <c r="B415" s="14"/>
    </row>
    <row r="416" spans="2:2" x14ac:dyDescent="0.25">
      <c r="B416" s="14"/>
    </row>
    <row r="417" spans="2:2" x14ac:dyDescent="0.25">
      <c r="B417" s="14"/>
    </row>
    <row r="418" spans="2:2" x14ac:dyDescent="0.25">
      <c r="B418" s="14"/>
    </row>
    <row r="419" spans="2:2" x14ac:dyDescent="0.25">
      <c r="B419" s="14"/>
    </row>
    <row r="420" spans="2:2" x14ac:dyDescent="0.25">
      <c r="B420" s="14"/>
    </row>
    <row r="421" spans="2:2" x14ac:dyDescent="0.25">
      <c r="B421" s="14"/>
    </row>
    <row r="422" spans="2:2" x14ac:dyDescent="0.25">
      <c r="B422" s="14"/>
    </row>
    <row r="423" spans="2:2" x14ac:dyDescent="0.25">
      <c r="B423" s="14"/>
    </row>
    <row r="424" spans="2:2" x14ac:dyDescent="0.25">
      <c r="B424" s="14"/>
    </row>
    <row r="425" spans="2:2" x14ac:dyDescent="0.25">
      <c r="B425" s="14"/>
    </row>
    <row r="426" spans="2:2" x14ac:dyDescent="0.25">
      <c r="B426" s="14"/>
    </row>
    <row r="427" spans="2:2" x14ac:dyDescent="0.25">
      <c r="B427" s="14"/>
    </row>
    <row r="428" spans="2:2" x14ac:dyDescent="0.25">
      <c r="B428" s="14"/>
    </row>
    <row r="429" spans="2:2" x14ac:dyDescent="0.25">
      <c r="B429" s="14"/>
    </row>
    <row r="430" spans="2:2" x14ac:dyDescent="0.25">
      <c r="B430" s="14"/>
    </row>
    <row r="431" spans="2:2" x14ac:dyDescent="0.25">
      <c r="B431" s="14"/>
    </row>
    <row r="432" spans="2:2" x14ac:dyDescent="0.25">
      <c r="B432" s="14"/>
    </row>
    <row r="433" spans="2:2" x14ac:dyDescent="0.25">
      <c r="B433" s="14"/>
    </row>
    <row r="434" spans="2:2" x14ac:dyDescent="0.25">
      <c r="B434" s="14"/>
    </row>
    <row r="435" spans="2:2" x14ac:dyDescent="0.25">
      <c r="B435" s="14"/>
    </row>
    <row r="436" spans="2:2" x14ac:dyDescent="0.25">
      <c r="B436" s="14"/>
    </row>
    <row r="437" spans="2:2" x14ac:dyDescent="0.25">
      <c r="B437" s="14"/>
    </row>
    <row r="438" spans="2:2" x14ac:dyDescent="0.25">
      <c r="B438" s="14"/>
    </row>
    <row r="439" spans="2:2" x14ac:dyDescent="0.25">
      <c r="B439" s="14"/>
    </row>
    <row r="440" spans="2:2" x14ac:dyDescent="0.25">
      <c r="B440" s="14"/>
    </row>
    <row r="441" spans="2:2" x14ac:dyDescent="0.25">
      <c r="B441" s="14"/>
    </row>
    <row r="442" spans="2:2" x14ac:dyDescent="0.25">
      <c r="B442" s="14"/>
    </row>
    <row r="443" spans="2:2" x14ac:dyDescent="0.25">
      <c r="B443" s="14"/>
    </row>
    <row r="444" spans="2:2" x14ac:dyDescent="0.25">
      <c r="B444" s="14"/>
    </row>
    <row r="445" spans="2:2" x14ac:dyDescent="0.25">
      <c r="B445" s="14"/>
    </row>
    <row r="446" spans="2:2" x14ac:dyDescent="0.25">
      <c r="B446" s="14"/>
    </row>
    <row r="447" spans="2:2" x14ac:dyDescent="0.25">
      <c r="B447" s="14"/>
    </row>
    <row r="448" spans="2:2" x14ac:dyDescent="0.25">
      <c r="B448" s="14"/>
    </row>
    <row r="449" spans="2:2" x14ac:dyDescent="0.25">
      <c r="B449" s="14"/>
    </row>
    <row r="450" spans="2:2" x14ac:dyDescent="0.25">
      <c r="B450" s="14"/>
    </row>
    <row r="451" spans="2:2" x14ac:dyDescent="0.25">
      <c r="B451" s="14"/>
    </row>
    <row r="452" spans="2:2" x14ac:dyDescent="0.25">
      <c r="B452" s="14"/>
    </row>
    <row r="453" spans="2:2" x14ac:dyDescent="0.25">
      <c r="B453" s="14"/>
    </row>
    <row r="454" spans="2:2" x14ac:dyDescent="0.25">
      <c r="B454" s="14"/>
    </row>
    <row r="455" spans="2:2" x14ac:dyDescent="0.25">
      <c r="B455" s="14"/>
    </row>
    <row r="456" spans="2:2" x14ac:dyDescent="0.25">
      <c r="B456" s="14"/>
    </row>
    <row r="457" spans="2:2" x14ac:dyDescent="0.25">
      <c r="B457" s="14"/>
    </row>
    <row r="458" spans="2:2" x14ac:dyDescent="0.25">
      <c r="B458" s="14"/>
    </row>
    <row r="459" spans="2:2" x14ac:dyDescent="0.25">
      <c r="B459" s="14"/>
    </row>
    <row r="460" spans="2:2" x14ac:dyDescent="0.25">
      <c r="B460" s="14"/>
    </row>
    <row r="461" spans="2:2" x14ac:dyDescent="0.25">
      <c r="B461" s="14"/>
    </row>
    <row r="462" spans="2:2" x14ac:dyDescent="0.25">
      <c r="B462" s="14"/>
    </row>
    <row r="463" spans="2:2" x14ac:dyDescent="0.25">
      <c r="B463" s="14"/>
    </row>
    <row r="464" spans="2:2" x14ac:dyDescent="0.25">
      <c r="B464" s="14"/>
    </row>
    <row r="465" spans="2:2" x14ac:dyDescent="0.25">
      <c r="B465" s="14"/>
    </row>
    <row r="466" spans="2:2" x14ac:dyDescent="0.25">
      <c r="B466" s="14"/>
    </row>
    <row r="467" spans="2:2" x14ac:dyDescent="0.25">
      <c r="B467" s="14"/>
    </row>
    <row r="468" spans="2:2" x14ac:dyDescent="0.25">
      <c r="B468" s="14"/>
    </row>
    <row r="469" spans="2:2" x14ac:dyDescent="0.25">
      <c r="B469" s="14"/>
    </row>
    <row r="470" spans="2:2" x14ac:dyDescent="0.25">
      <c r="B470" s="14"/>
    </row>
    <row r="471" spans="2:2" x14ac:dyDescent="0.25">
      <c r="B471" s="14"/>
    </row>
    <row r="472" spans="2:2" x14ac:dyDescent="0.25">
      <c r="B472" s="14"/>
    </row>
    <row r="473" spans="2:2" x14ac:dyDescent="0.25">
      <c r="B473" s="14"/>
    </row>
    <row r="474" spans="2:2" x14ac:dyDescent="0.25">
      <c r="B474" s="14"/>
    </row>
    <row r="475" spans="2:2" x14ac:dyDescent="0.25">
      <c r="B475" s="14"/>
    </row>
    <row r="476" spans="2:2" x14ac:dyDescent="0.25">
      <c r="B476" s="14"/>
    </row>
    <row r="477" spans="2:2" x14ac:dyDescent="0.25">
      <c r="B477" s="14"/>
    </row>
    <row r="478" spans="2:2" x14ac:dyDescent="0.25">
      <c r="B478" s="14"/>
    </row>
    <row r="479" spans="2:2" x14ac:dyDescent="0.25">
      <c r="B479" s="14"/>
    </row>
    <row r="480" spans="2:2" x14ac:dyDescent="0.25">
      <c r="B480" s="14"/>
    </row>
    <row r="481" spans="2:2" x14ac:dyDescent="0.25">
      <c r="B481" s="14"/>
    </row>
    <row r="482" spans="2:2" x14ac:dyDescent="0.25">
      <c r="B482" s="14"/>
    </row>
    <row r="483" spans="2:2" x14ac:dyDescent="0.25">
      <c r="B483" s="14"/>
    </row>
    <row r="484" spans="2:2" x14ac:dyDescent="0.25">
      <c r="B484" s="14"/>
    </row>
    <row r="485" spans="2:2" x14ac:dyDescent="0.25">
      <c r="B485" s="14"/>
    </row>
    <row r="486" spans="2:2" x14ac:dyDescent="0.25">
      <c r="B486" s="14"/>
    </row>
    <row r="487" spans="2:2" x14ac:dyDescent="0.25">
      <c r="B487" s="14"/>
    </row>
    <row r="488" spans="2:2" x14ac:dyDescent="0.25">
      <c r="B488" s="14"/>
    </row>
    <row r="489" spans="2:2" x14ac:dyDescent="0.25">
      <c r="B489" s="14"/>
    </row>
    <row r="490" spans="2:2" x14ac:dyDescent="0.25">
      <c r="B490" s="14"/>
    </row>
    <row r="491" spans="2:2" x14ac:dyDescent="0.25">
      <c r="B491" s="14"/>
    </row>
    <row r="492" spans="2:2" x14ac:dyDescent="0.25">
      <c r="B492" s="14"/>
    </row>
    <row r="493" spans="2:2" x14ac:dyDescent="0.25">
      <c r="B493" s="14"/>
    </row>
    <row r="494" spans="2:2" x14ac:dyDescent="0.25">
      <c r="B494" s="14"/>
    </row>
    <row r="495" spans="2:2" x14ac:dyDescent="0.25">
      <c r="B495" s="14"/>
    </row>
    <row r="496" spans="2:2" x14ac:dyDescent="0.25">
      <c r="B496" s="14"/>
    </row>
    <row r="497" spans="2:2" x14ac:dyDescent="0.25">
      <c r="B497" s="14"/>
    </row>
    <row r="498" spans="2:2" x14ac:dyDescent="0.25">
      <c r="B498" s="14"/>
    </row>
    <row r="499" spans="2:2" x14ac:dyDescent="0.25">
      <c r="B499" s="14"/>
    </row>
    <row r="500" spans="2:2" x14ac:dyDescent="0.25">
      <c r="B500" s="14"/>
    </row>
    <row r="501" spans="2:2" x14ac:dyDescent="0.25">
      <c r="B501" s="14"/>
    </row>
    <row r="502" spans="2:2" x14ac:dyDescent="0.25">
      <c r="B502" s="14"/>
    </row>
    <row r="503" spans="2:2" x14ac:dyDescent="0.25">
      <c r="B503" s="14"/>
    </row>
    <row r="504" spans="2:2" x14ac:dyDescent="0.25">
      <c r="B504" s="14"/>
    </row>
    <row r="505" spans="2:2" x14ac:dyDescent="0.25">
      <c r="B505" s="14"/>
    </row>
    <row r="506" spans="2:2" x14ac:dyDescent="0.25">
      <c r="B506" s="14"/>
    </row>
    <row r="507" spans="2:2" x14ac:dyDescent="0.25">
      <c r="B507" s="14"/>
    </row>
    <row r="508" spans="2:2" x14ac:dyDescent="0.25">
      <c r="B508" s="14"/>
    </row>
    <row r="509" spans="2:2" x14ac:dyDescent="0.25">
      <c r="B509" s="14"/>
    </row>
    <row r="510" spans="2:2" x14ac:dyDescent="0.25">
      <c r="B510" s="14"/>
    </row>
    <row r="511" spans="2:2" x14ac:dyDescent="0.25">
      <c r="B511" s="14"/>
    </row>
    <row r="512" spans="2:2" x14ac:dyDescent="0.25">
      <c r="B512" s="14"/>
    </row>
    <row r="513" spans="2:2" x14ac:dyDescent="0.25">
      <c r="B513" s="14"/>
    </row>
    <row r="514" spans="2:2" x14ac:dyDescent="0.25">
      <c r="B514" s="14"/>
    </row>
    <row r="515" spans="2:2" x14ac:dyDescent="0.25">
      <c r="B515" s="14"/>
    </row>
    <row r="516" spans="2:2" x14ac:dyDescent="0.25">
      <c r="B516" s="14"/>
    </row>
    <row r="517" spans="2:2" x14ac:dyDescent="0.25">
      <c r="B517" s="14"/>
    </row>
    <row r="518" spans="2:2" x14ac:dyDescent="0.25">
      <c r="B518" s="14"/>
    </row>
    <row r="519" spans="2:2" x14ac:dyDescent="0.25">
      <c r="B519" s="14"/>
    </row>
    <row r="520" spans="2:2" x14ac:dyDescent="0.25">
      <c r="B520" s="14"/>
    </row>
    <row r="521" spans="2:2" x14ac:dyDescent="0.25">
      <c r="B521" s="14"/>
    </row>
    <row r="522" spans="2:2" x14ac:dyDescent="0.25">
      <c r="B522" s="14"/>
    </row>
    <row r="523" spans="2:2" x14ac:dyDescent="0.25">
      <c r="B523" s="14"/>
    </row>
    <row r="524" spans="2:2" x14ac:dyDescent="0.25">
      <c r="B524" s="14"/>
    </row>
    <row r="525" spans="2:2" x14ac:dyDescent="0.25">
      <c r="B525" s="14"/>
    </row>
    <row r="526" spans="2:2" x14ac:dyDescent="0.25">
      <c r="B526" s="14"/>
    </row>
    <row r="527" spans="2:2" x14ac:dyDescent="0.25">
      <c r="B527" s="14"/>
    </row>
    <row r="528" spans="2:2" x14ac:dyDescent="0.25">
      <c r="B528" s="14"/>
    </row>
    <row r="529" spans="2:2" x14ac:dyDescent="0.25">
      <c r="B529" s="14"/>
    </row>
    <row r="530" spans="2:2" x14ac:dyDescent="0.25">
      <c r="B530" s="14"/>
    </row>
    <row r="531" spans="2:2" x14ac:dyDescent="0.25">
      <c r="B531" s="14"/>
    </row>
    <row r="532" spans="2:2" x14ac:dyDescent="0.25">
      <c r="B532" s="14"/>
    </row>
    <row r="533" spans="2:2" x14ac:dyDescent="0.25">
      <c r="B533" s="14"/>
    </row>
    <row r="534" spans="2:2" x14ac:dyDescent="0.25">
      <c r="B534" s="14"/>
    </row>
    <row r="535" spans="2:2" x14ac:dyDescent="0.25">
      <c r="B535" s="14"/>
    </row>
    <row r="536" spans="2:2" x14ac:dyDescent="0.25">
      <c r="B536" s="14"/>
    </row>
    <row r="537" spans="2:2" x14ac:dyDescent="0.25">
      <c r="B537" s="14"/>
    </row>
    <row r="538" spans="2:2" x14ac:dyDescent="0.25">
      <c r="B538" s="14"/>
    </row>
    <row r="539" spans="2:2" x14ac:dyDescent="0.25">
      <c r="B539" s="14"/>
    </row>
    <row r="540" spans="2:2" x14ac:dyDescent="0.25">
      <c r="B540" s="14"/>
    </row>
    <row r="541" spans="2:2" x14ac:dyDescent="0.25">
      <c r="B541" s="14"/>
    </row>
    <row r="542" spans="2:2" x14ac:dyDescent="0.25">
      <c r="B542" s="14"/>
    </row>
    <row r="543" spans="2:2" x14ac:dyDescent="0.25">
      <c r="B543" s="14"/>
    </row>
    <row r="544" spans="2:2" x14ac:dyDescent="0.25">
      <c r="B544" s="14"/>
    </row>
    <row r="545" spans="2:2" x14ac:dyDescent="0.25">
      <c r="B545" s="14"/>
    </row>
    <row r="546" spans="2:2" x14ac:dyDescent="0.25">
      <c r="B546" s="14"/>
    </row>
    <row r="547" spans="2:2" x14ac:dyDescent="0.25">
      <c r="B547" s="14"/>
    </row>
    <row r="548" spans="2:2" x14ac:dyDescent="0.25">
      <c r="B548" s="14"/>
    </row>
    <row r="549" spans="2:2" x14ac:dyDescent="0.25">
      <c r="B549" s="14"/>
    </row>
    <row r="550" spans="2:2" x14ac:dyDescent="0.25">
      <c r="B550" s="14"/>
    </row>
    <row r="551" spans="2:2" x14ac:dyDescent="0.25">
      <c r="B551" s="14"/>
    </row>
    <row r="552" spans="2:2" x14ac:dyDescent="0.25">
      <c r="B552" s="14"/>
    </row>
    <row r="553" spans="2:2" x14ac:dyDescent="0.25">
      <c r="B553" s="14"/>
    </row>
    <row r="554" spans="2:2" x14ac:dyDescent="0.25">
      <c r="B554" s="14"/>
    </row>
    <row r="555" spans="2:2" x14ac:dyDescent="0.25">
      <c r="B555" s="14"/>
    </row>
    <row r="556" spans="2:2" x14ac:dyDescent="0.25">
      <c r="B556" s="14"/>
    </row>
    <row r="557" spans="2:2" x14ac:dyDescent="0.25">
      <c r="B557" s="14"/>
    </row>
    <row r="558" spans="2:2" x14ac:dyDescent="0.25">
      <c r="B558" s="14"/>
    </row>
    <row r="559" spans="2:2" x14ac:dyDescent="0.25">
      <c r="B559" s="14"/>
    </row>
    <row r="560" spans="2:2" x14ac:dyDescent="0.25">
      <c r="B560" s="14"/>
    </row>
    <row r="561" spans="2:2" x14ac:dyDescent="0.25">
      <c r="B561" s="14"/>
    </row>
    <row r="562" spans="2:2" x14ac:dyDescent="0.25">
      <c r="B562" s="14"/>
    </row>
    <row r="563" spans="2:2" x14ac:dyDescent="0.25">
      <c r="B563" s="14"/>
    </row>
    <row r="564" spans="2:2" x14ac:dyDescent="0.25">
      <c r="B564" s="14"/>
    </row>
    <row r="565" spans="2:2" x14ac:dyDescent="0.25">
      <c r="B565" s="14"/>
    </row>
    <row r="566" spans="2:2" x14ac:dyDescent="0.25">
      <c r="B566" s="14"/>
    </row>
    <row r="567" spans="2:2" x14ac:dyDescent="0.25">
      <c r="B567" s="14"/>
    </row>
    <row r="568" spans="2:2" x14ac:dyDescent="0.25">
      <c r="B568" s="14"/>
    </row>
    <row r="569" spans="2:2" x14ac:dyDescent="0.25">
      <c r="B569" s="14"/>
    </row>
    <row r="570" spans="2:2" x14ac:dyDescent="0.25">
      <c r="B570" s="14"/>
    </row>
    <row r="571" spans="2:2" x14ac:dyDescent="0.25">
      <c r="B571" s="14"/>
    </row>
    <row r="572" spans="2:2" x14ac:dyDescent="0.25">
      <c r="B572" s="14"/>
    </row>
    <row r="573" spans="2:2" x14ac:dyDescent="0.25">
      <c r="B573" s="14"/>
    </row>
    <row r="574" spans="2:2" x14ac:dyDescent="0.25">
      <c r="B574" s="14"/>
    </row>
    <row r="575" spans="2:2" x14ac:dyDescent="0.25">
      <c r="B575" s="14"/>
    </row>
    <row r="576" spans="2:2" x14ac:dyDescent="0.25">
      <c r="B576" s="14"/>
    </row>
    <row r="577" spans="2:2" x14ac:dyDescent="0.25">
      <c r="B577" s="14"/>
    </row>
    <row r="578" spans="2:2" x14ac:dyDescent="0.25">
      <c r="B578" s="14"/>
    </row>
    <row r="579" spans="2:2" x14ac:dyDescent="0.25">
      <c r="B579" s="14"/>
    </row>
    <row r="580" spans="2:2" x14ac:dyDescent="0.25">
      <c r="B580" s="14"/>
    </row>
    <row r="581" spans="2:2" x14ac:dyDescent="0.25">
      <c r="B581" s="14"/>
    </row>
    <row r="582" spans="2:2" x14ac:dyDescent="0.25">
      <c r="B582" s="14"/>
    </row>
    <row r="583" spans="2:2" x14ac:dyDescent="0.25">
      <c r="B583" s="14"/>
    </row>
    <row r="584" spans="2:2" x14ac:dyDescent="0.25">
      <c r="B584" s="14"/>
    </row>
    <row r="585" spans="2:2" x14ac:dyDescent="0.25">
      <c r="B585" s="14"/>
    </row>
    <row r="586" spans="2:2" x14ac:dyDescent="0.25">
      <c r="B586" s="14"/>
    </row>
    <row r="587" spans="2:2" x14ac:dyDescent="0.25">
      <c r="B587" s="14"/>
    </row>
    <row r="588" spans="2:2" x14ac:dyDescent="0.25">
      <c r="B588" s="14"/>
    </row>
    <row r="589" spans="2:2" x14ac:dyDescent="0.25">
      <c r="B589" s="14"/>
    </row>
    <row r="590" spans="2:2" x14ac:dyDescent="0.25">
      <c r="B590" s="14"/>
    </row>
    <row r="591" spans="2:2" x14ac:dyDescent="0.25">
      <c r="B591" s="14"/>
    </row>
    <row r="592" spans="2:2" x14ac:dyDescent="0.25">
      <c r="B592" s="14"/>
    </row>
    <row r="593" spans="2:2" x14ac:dyDescent="0.25">
      <c r="B593" s="14"/>
    </row>
    <row r="594" spans="2:2" x14ac:dyDescent="0.25">
      <c r="B594" s="14"/>
    </row>
    <row r="595" spans="2:2" x14ac:dyDescent="0.25">
      <c r="B595" s="14"/>
    </row>
    <row r="596" spans="2:2" x14ac:dyDescent="0.25">
      <c r="B596" s="14"/>
    </row>
    <row r="597" spans="2:2" x14ac:dyDescent="0.25">
      <c r="B597" s="14"/>
    </row>
    <row r="598" spans="2:2" x14ac:dyDescent="0.25">
      <c r="B598" s="14"/>
    </row>
    <row r="599" spans="2:2" x14ac:dyDescent="0.25">
      <c r="B599" s="14"/>
    </row>
    <row r="600" spans="2:2" x14ac:dyDescent="0.25">
      <c r="B600" s="14"/>
    </row>
    <row r="601" spans="2:2" x14ac:dyDescent="0.25">
      <c r="B601" s="14"/>
    </row>
    <row r="602" spans="2:2" x14ac:dyDescent="0.25">
      <c r="B602" s="14"/>
    </row>
    <row r="603" spans="2:2" x14ac:dyDescent="0.25">
      <c r="B603" s="14"/>
    </row>
    <row r="604" spans="2:2" x14ac:dyDescent="0.25">
      <c r="B604" s="14"/>
    </row>
    <row r="605" spans="2:2" x14ac:dyDescent="0.25">
      <c r="B605" s="14"/>
    </row>
    <row r="606" spans="2:2" x14ac:dyDescent="0.25">
      <c r="B606" s="14"/>
    </row>
    <row r="607" spans="2:2" x14ac:dyDescent="0.25">
      <c r="B607" s="14"/>
    </row>
    <row r="608" spans="2:2" x14ac:dyDescent="0.25">
      <c r="B608" s="14"/>
    </row>
    <row r="609" spans="2:2" x14ac:dyDescent="0.25">
      <c r="B609" s="14"/>
    </row>
    <row r="610" spans="2:2" x14ac:dyDescent="0.25">
      <c r="B610" s="14"/>
    </row>
    <row r="611" spans="2:2" x14ac:dyDescent="0.25">
      <c r="B611" s="14"/>
    </row>
    <row r="612" spans="2:2" x14ac:dyDescent="0.25">
      <c r="B612" s="14"/>
    </row>
    <row r="613" spans="2:2" x14ac:dyDescent="0.25">
      <c r="B613" s="14"/>
    </row>
    <row r="614" spans="2:2" x14ac:dyDescent="0.25">
      <c r="B614" s="14"/>
    </row>
    <row r="615" spans="2:2" x14ac:dyDescent="0.25">
      <c r="B615" s="14"/>
    </row>
    <row r="616" spans="2:2" x14ac:dyDescent="0.25">
      <c r="B616" s="14"/>
    </row>
    <row r="617" spans="2:2" x14ac:dyDescent="0.25">
      <c r="B617" s="14"/>
    </row>
    <row r="618" spans="2:2" x14ac:dyDescent="0.25">
      <c r="B618" s="14"/>
    </row>
    <row r="619" spans="2:2" x14ac:dyDescent="0.25">
      <c r="B619" s="14"/>
    </row>
    <row r="620" spans="2:2" x14ac:dyDescent="0.25">
      <c r="B620" s="14"/>
    </row>
    <row r="621" spans="2:2" x14ac:dyDescent="0.25">
      <c r="B621" s="14"/>
    </row>
    <row r="622" spans="2:2" x14ac:dyDescent="0.25">
      <c r="B622" s="14"/>
    </row>
    <row r="623" spans="2:2" x14ac:dyDescent="0.25">
      <c r="B623" s="14"/>
    </row>
    <row r="624" spans="2:2" x14ac:dyDescent="0.25">
      <c r="B624" s="14"/>
    </row>
    <row r="625" spans="2:2" x14ac:dyDescent="0.25">
      <c r="B625" s="14"/>
    </row>
    <row r="626" spans="2:2" x14ac:dyDescent="0.25">
      <c r="B626" s="14"/>
    </row>
    <row r="627" spans="2:2" x14ac:dyDescent="0.25">
      <c r="B627" s="14"/>
    </row>
    <row r="628" spans="2:2" x14ac:dyDescent="0.25">
      <c r="B628" s="14"/>
    </row>
    <row r="629" spans="2:2" x14ac:dyDescent="0.25">
      <c r="B629" s="14"/>
    </row>
    <row r="630" spans="2:2" x14ac:dyDescent="0.25">
      <c r="B630" s="14"/>
    </row>
    <row r="631" spans="2:2" x14ac:dyDescent="0.25">
      <c r="B631" s="14"/>
    </row>
    <row r="632" spans="2:2" x14ac:dyDescent="0.25">
      <c r="B632" s="14"/>
    </row>
    <row r="633" spans="2:2" x14ac:dyDescent="0.25">
      <c r="B633" s="14"/>
    </row>
    <row r="634" spans="2:2" x14ac:dyDescent="0.25">
      <c r="B634" s="14"/>
    </row>
    <row r="635" spans="2:2" x14ac:dyDescent="0.25">
      <c r="B635" s="14"/>
    </row>
    <row r="636" spans="2:2" x14ac:dyDescent="0.25">
      <c r="B636" s="14"/>
    </row>
    <row r="637" spans="2:2" x14ac:dyDescent="0.25">
      <c r="B637" s="14"/>
    </row>
    <row r="638" spans="2:2" x14ac:dyDescent="0.25">
      <c r="B638" s="14"/>
    </row>
    <row r="639" spans="2:2" x14ac:dyDescent="0.25">
      <c r="B639" s="14"/>
    </row>
    <row r="640" spans="2:2" x14ac:dyDescent="0.25">
      <c r="B640" s="14"/>
    </row>
    <row r="641" spans="2:2" x14ac:dyDescent="0.25">
      <c r="B641" s="14"/>
    </row>
    <row r="642" spans="2:2" x14ac:dyDescent="0.25">
      <c r="B642" s="14"/>
    </row>
    <row r="643" spans="2:2" x14ac:dyDescent="0.25">
      <c r="B643" s="14"/>
    </row>
    <row r="644" spans="2:2" x14ac:dyDescent="0.25">
      <c r="B644" s="14"/>
    </row>
    <row r="645" spans="2:2" x14ac:dyDescent="0.25">
      <c r="B645" s="14"/>
    </row>
    <row r="646" spans="2:2" x14ac:dyDescent="0.25">
      <c r="B646" s="14"/>
    </row>
    <row r="647" spans="2:2" x14ac:dyDescent="0.25">
      <c r="B647" s="14"/>
    </row>
    <row r="648" spans="2:2" x14ac:dyDescent="0.25">
      <c r="B648" s="14"/>
    </row>
    <row r="649" spans="2:2" x14ac:dyDescent="0.25">
      <c r="B649" s="14"/>
    </row>
    <row r="650" spans="2:2" x14ac:dyDescent="0.25">
      <c r="B650" s="14"/>
    </row>
    <row r="651" spans="2:2" x14ac:dyDescent="0.25">
      <c r="B651" s="14"/>
    </row>
    <row r="652" spans="2:2" x14ac:dyDescent="0.25">
      <c r="B652" s="14"/>
    </row>
    <row r="653" spans="2:2" x14ac:dyDescent="0.25">
      <c r="B653" s="14"/>
    </row>
    <row r="654" spans="2:2" x14ac:dyDescent="0.25">
      <c r="B654" s="14"/>
    </row>
    <row r="655" spans="2:2" x14ac:dyDescent="0.25">
      <c r="B655" s="14"/>
    </row>
    <row r="656" spans="2:2" x14ac:dyDescent="0.25">
      <c r="B656" s="14"/>
    </row>
    <row r="657" spans="2:2" x14ac:dyDescent="0.25">
      <c r="B657" s="14"/>
    </row>
    <row r="658" spans="2:2" x14ac:dyDescent="0.25">
      <c r="B658" s="14"/>
    </row>
    <row r="659" spans="2:2" x14ac:dyDescent="0.25">
      <c r="B659" s="14"/>
    </row>
    <row r="660" spans="2:2" x14ac:dyDescent="0.25">
      <c r="B660" s="14"/>
    </row>
    <row r="661" spans="2:2" x14ac:dyDescent="0.25">
      <c r="B661" s="14"/>
    </row>
    <row r="662" spans="2:2" x14ac:dyDescent="0.25">
      <c r="B662" s="14"/>
    </row>
    <row r="663" spans="2:2" x14ac:dyDescent="0.25">
      <c r="B663" s="14"/>
    </row>
    <row r="664" spans="2:2" x14ac:dyDescent="0.25">
      <c r="B664" s="14"/>
    </row>
    <row r="665" spans="2:2" x14ac:dyDescent="0.25">
      <c r="B665" s="14"/>
    </row>
    <row r="666" spans="2:2" x14ac:dyDescent="0.25">
      <c r="B666" s="14"/>
    </row>
    <row r="667" spans="2:2" x14ac:dyDescent="0.25">
      <c r="B667" s="14"/>
    </row>
    <row r="668" spans="2:2" x14ac:dyDescent="0.25">
      <c r="B668" s="14"/>
    </row>
    <row r="669" spans="2:2" x14ac:dyDescent="0.25">
      <c r="B669" s="14"/>
    </row>
    <row r="670" spans="2:2" x14ac:dyDescent="0.25">
      <c r="B670" s="14"/>
    </row>
    <row r="671" spans="2:2" x14ac:dyDescent="0.25">
      <c r="B671" s="14"/>
    </row>
    <row r="672" spans="2:2" x14ac:dyDescent="0.25">
      <c r="B672" s="14"/>
    </row>
    <row r="673" spans="2:2" x14ac:dyDescent="0.25">
      <c r="B673" s="14"/>
    </row>
    <row r="674" spans="2:2" x14ac:dyDescent="0.25">
      <c r="B674" s="14"/>
    </row>
    <row r="675" spans="2:2" x14ac:dyDescent="0.25">
      <c r="B675" s="14"/>
    </row>
    <row r="676" spans="2:2" x14ac:dyDescent="0.25">
      <c r="B676" s="14"/>
    </row>
    <row r="677" spans="2:2" x14ac:dyDescent="0.25">
      <c r="B677" s="14"/>
    </row>
    <row r="678" spans="2:2" x14ac:dyDescent="0.25">
      <c r="B678" s="14"/>
    </row>
    <row r="679" spans="2:2" x14ac:dyDescent="0.25">
      <c r="B679" s="14"/>
    </row>
    <row r="680" spans="2:2" x14ac:dyDescent="0.25">
      <c r="B680" s="14"/>
    </row>
    <row r="681" spans="2:2" x14ac:dyDescent="0.25">
      <c r="B681" s="14"/>
    </row>
    <row r="682" spans="2:2" x14ac:dyDescent="0.25">
      <c r="B682" s="14"/>
    </row>
    <row r="683" spans="2:2" x14ac:dyDescent="0.25">
      <c r="B683" s="14"/>
    </row>
    <row r="684" spans="2:2" x14ac:dyDescent="0.25">
      <c r="B684" s="14"/>
    </row>
    <row r="685" spans="2:2" x14ac:dyDescent="0.25">
      <c r="B685" s="14"/>
    </row>
    <row r="686" spans="2:2" x14ac:dyDescent="0.25">
      <c r="B686" s="14"/>
    </row>
    <row r="687" spans="2:2" x14ac:dyDescent="0.25">
      <c r="B687" s="14"/>
    </row>
    <row r="688" spans="2:2" x14ac:dyDescent="0.25">
      <c r="B688" s="14"/>
    </row>
    <row r="689" spans="2:2" x14ac:dyDescent="0.25">
      <c r="B689" s="14"/>
    </row>
    <row r="690" spans="2:2" x14ac:dyDescent="0.25">
      <c r="B690" s="14"/>
    </row>
    <row r="691" spans="2:2" x14ac:dyDescent="0.25">
      <c r="B691" s="14"/>
    </row>
    <row r="692" spans="2:2" x14ac:dyDescent="0.25">
      <c r="B692" s="14"/>
    </row>
    <row r="693" spans="2:2" x14ac:dyDescent="0.25">
      <c r="B693" s="14"/>
    </row>
    <row r="694" spans="2:2" x14ac:dyDescent="0.25">
      <c r="B694" s="14"/>
    </row>
    <row r="695" spans="2:2" x14ac:dyDescent="0.25">
      <c r="B695" s="14"/>
    </row>
    <row r="696" spans="2:2" x14ac:dyDescent="0.25">
      <c r="B696" s="14"/>
    </row>
    <row r="697" spans="2:2" x14ac:dyDescent="0.25">
      <c r="B697" s="14"/>
    </row>
    <row r="698" spans="2:2" x14ac:dyDescent="0.25">
      <c r="B698" s="14"/>
    </row>
    <row r="699" spans="2:2" x14ac:dyDescent="0.25">
      <c r="B699" s="14"/>
    </row>
    <row r="700" spans="2:2" x14ac:dyDescent="0.25">
      <c r="B700" s="14"/>
    </row>
    <row r="701" spans="2:2" x14ac:dyDescent="0.25">
      <c r="B701" s="14"/>
    </row>
    <row r="702" spans="2:2" x14ac:dyDescent="0.25">
      <c r="B702" s="14"/>
    </row>
    <row r="703" spans="2:2" x14ac:dyDescent="0.25">
      <c r="B703" s="14"/>
    </row>
    <row r="704" spans="2:2" x14ac:dyDescent="0.25">
      <c r="B704" s="14"/>
    </row>
    <row r="705" spans="2:2" x14ac:dyDescent="0.25">
      <c r="B705" s="14"/>
    </row>
    <row r="706" spans="2:2" x14ac:dyDescent="0.25">
      <c r="B706" s="14"/>
    </row>
    <row r="707" spans="2:2" x14ac:dyDescent="0.25">
      <c r="B707" s="14"/>
    </row>
    <row r="708" spans="2:2" x14ac:dyDescent="0.25">
      <c r="B708" s="14"/>
    </row>
    <row r="709" spans="2:2" x14ac:dyDescent="0.25">
      <c r="B709" s="14"/>
    </row>
    <row r="710" spans="2:2" x14ac:dyDescent="0.25">
      <c r="B710" s="14"/>
    </row>
    <row r="711" spans="2:2" x14ac:dyDescent="0.25">
      <c r="B711" s="14"/>
    </row>
    <row r="712" spans="2:2" x14ac:dyDescent="0.25">
      <c r="B712" s="14"/>
    </row>
    <row r="713" spans="2:2" x14ac:dyDescent="0.25">
      <c r="B713" s="14"/>
    </row>
    <row r="714" spans="2:2" x14ac:dyDescent="0.25">
      <c r="B714" s="14"/>
    </row>
    <row r="715" spans="2:2" x14ac:dyDescent="0.25">
      <c r="B715" s="14"/>
    </row>
    <row r="716" spans="2:2" x14ac:dyDescent="0.25">
      <c r="B716" s="14"/>
    </row>
    <row r="717" spans="2:2" x14ac:dyDescent="0.25">
      <c r="B717" s="14"/>
    </row>
    <row r="718" spans="2:2" x14ac:dyDescent="0.25">
      <c r="B718" s="14"/>
    </row>
    <row r="719" spans="2:2" x14ac:dyDescent="0.25">
      <c r="B719" s="14"/>
    </row>
    <row r="720" spans="2:2" x14ac:dyDescent="0.25">
      <c r="B720" s="14"/>
    </row>
    <row r="721" spans="2:2" x14ac:dyDescent="0.25">
      <c r="B721" s="14"/>
    </row>
    <row r="722" spans="2:2" x14ac:dyDescent="0.25">
      <c r="B722" s="14"/>
    </row>
    <row r="723" spans="2:2" x14ac:dyDescent="0.25">
      <c r="B723" s="14"/>
    </row>
    <row r="724" spans="2:2" x14ac:dyDescent="0.25">
      <c r="B724" s="14"/>
    </row>
    <row r="725" spans="2:2" x14ac:dyDescent="0.25">
      <c r="B725" s="14"/>
    </row>
    <row r="726" spans="2:2" x14ac:dyDescent="0.25">
      <c r="B726" s="14"/>
    </row>
    <row r="727" spans="2:2" x14ac:dyDescent="0.25">
      <c r="B727" s="14"/>
    </row>
    <row r="728" spans="2:2" x14ac:dyDescent="0.25">
      <c r="B728" s="14"/>
    </row>
    <row r="729" spans="2:2" x14ac:dyDescent="0.25">
      <c r="B729" s="14"/>
    </row>
    <row r="730" spans="2:2" x14ac:dyDescent="0.25">
      <c r="B730" s="14"/>
    </row>
    <row r="731" spans="2:2" x14ac:dyDescent="0.25">
      <c r="B731" s="14"/>
    </row>
    <row r="732" spans="2:2" x14ac:dyDescent="0.25">
      <c r="B732" s="14"/>
    </row>
    <row r="733" spans="2:2" x14ac:dyDescent="0.25">
      <c r="B733" s="14"/>
    </row>
    <row r="734" spans="2:2" x14ac:dyDescent="0.25">
      <c r="B734" s="14"/>
    </row>
    <row r="735" spans="2:2" x14ac:dyDescent="0.25">
      <c r="B735" s="14"/>
    </row>
    <row r="736" spans="2:2" x14ac:dyDescent="0.25">
      <c r="B736" s="14"/>
    </row>
    <row r="737" spans="2:2" x14ac:dyDescent="0.25">
      <c r="B737" s="14"/>
    </row>
    <row r="738" spans="2:2" x14ac:dyDescent="0.25">
      <c r="B738" s="14"/>
    </row>
    <row r="739" spans="2:2" x14ac:dyDescent="0.25">
      <c r="B739" s="14"/>
    </row>
    <row r="740" spans="2:2" x14ac:dyDescent="0.25">
      <c r="B740" s="14"/>
    </row>
    <row r="741" spans="2:2" x14ac:dyDescent="0.25">
      <c r="B741" s="14"/>
    </row>
    <row r="742" spans="2:2" x14ac:dyDescent="0.25">
      <c r="B742" s="14"/>
    </row>
    <row r="743" spans="2:2" x14ac:dyDescent="0.25">
      <c r="B743" s="14"/>
    </row>
    <row r="744" spans="2:2" x14ac:dyDescent="0.25">
      <c r="B744" s="14"/>
    </row>
    <row r="745" spans="2:2" x14ac:dyDescent="0.25">
      <c r="B745" s="14"/>
    </row>
    <row r="746" spans="2:2" x14ac:dyDescent="0.25">
      <c r="B746" s="14"/>
    </row>
    <row r="747" spans="2:2" x14ac:dyDescent="0.25">
      <c r="B747" s="14"/>
    </row>
    <row r="748" spans="2:2" x14ac:dyDescent="0.25">
      <c r="B748" s="14"/>
    </row>
    <row r="749" spans="2:2" x14ac:dyDescent="0.25">
      <c r="B749" s="14"/>
    </row>
    <row r="750" spans="2:2" x14ac:dyDescent="0.25">
      <c r="B750" s="14"/>
    </row>
    <row r="751" spans="2:2" x14ac:dyDescent="0.25">
      <c r="B751" s="14"/>
    </row>
    <row r="752" spans="2:2" x14ac:dyDescent="0.25">
      <c r="B752" s="14"/>
    </row>
    <row r="753" spans="2:2" x14ac:dyDescent="0.25">
      <c r="B753" s="14"/>
    </row>
    <row r="754" spans="2:2" x14ac:dyDescent="0.25">
      <c r="B754" s="14"/>
    </row>
    <row r="755" spans="2:2" x14ac:dyDescent="0.25">
      <c r="B755" s="14"/>
    </row>
    <row r="756" spans="2:2" x14ac:dyDescent="0.25">
      <c r="B756" s="14"/>
    </row>
    <row r="757" spans="2:2" x14ac:dyDescent="0.25">
      <c r="B757" s="14"/>
    </row>
    <row r="758" spans="2:2" x14ac:dyDescent="0.25">
      <c r="B758" s="14"/>
    </row>
    <row r="759" spans="2:2" x14ac:dyDescent="0.25">
      <c r="B759" s="14"/>
    </row>
    <row r="760" spans="2:2" x14ac:dyDescent="0.25">
      <c r="B760" s="14"/>
    </row>
    <row r="761" spans="2:2" x14ac:dyDescent="0.25">
      <c r="B761" s="14"/>
    </row>
    <row r="762" spans="2:2" x14ac:dyDescent="0.25">
      <c r="B762" s="14"/>
    </row>
    <row r="763" spans="2:2" x14ac:dyDescent="0.25">
      <c r="B763" s="14"/>
    </row>
    <row r="764" spans="2:2" x14ac:dyDescent="0.25">
      <c r="B764" s="14"/>
    </row>
    <row r="765" spans="2:2" x14ac:dyDescent="0.25">
      <c r="B765" s="14"/>
    </row>
    <row r="766" spans="2:2" x14ac:dyDescent="0.25">
      <c r="B766" s="14"/>
    </row>
    <row r="767" spans="2:2" x14ac:dyDescent="0.25">
      <c r="B767" s="14"/>
    </row>
    <row r="768" spans="2:2" x14ac:dyDescent="0.25">
      <c r="B768" s="14"/>
    </row>
    <row r="769" spans="2:2" x14ac:dyDescent="0.25">
      <c r="B769" s="14"/>
    </row>
    <row r="770" spans="2:2" x14ac:dyDescent="0.25">
      <c r="B770" s="14"/>
    </row>
    <row r="771" spans="2:2" x14ac:dyDescent="0.25">
      <c r="B771" s="14"/>
    </row>
    <row r="772" spans="2:2" x14ac:dyDescent="0.25">
      <c r="B772" s="14"/>
    </row>
    <row r="773" spans="2:2" x14ac:dyDescent="0.25">
      <c r="B773" s="14"/>
    </row>
    <row r="774" spans="2:2" x14ac:dyDescent="0.25">
      <c r="B774" s="14"/>
    </row>
    <row r="775" spans="2:2" x14ac:dyDescent="0.25">
      <c r="B775" s="14"/>
    </row>
    <row r="776" spans="2:2" x14ac:dyDescent="0.25">
      <c r="B776" s="14"/>
    </row>
    <row r="777" spans="2:2" x14ac:dyDescent="0.25">
      <c r="B777" s="14"/>
    </row>
    <row r="778" spans="2:2" x14ac:dyDescent="0.25">
      <c r="B778" s="14"/>
    </row>
    <row r="779" spans="2:2" x14ac:dyDescent="0.25">
      <c r="B779" s="14"/>
    </row>
    <row r="780" spans="2:2" x14ac:dyDescent="0.25">
      <c r="B780" s="14"/>
    </row>
    <row r="781" spans="2:2" x14ac:dyDescent="0.25">
      <c r="B781" s="14"/>
    </row>
    <row r="782" spans="2:2" x14ac:dyDescent="0.25">
      <c r="B782" s="14"/>
    </row>
    <row r="783" spans="2:2" x14ac:dyDescent="0.25">
      <c r="B783" s="14"/>
    </row>
    <row r="784" spans="2:2" x14ac:dyDescent="0.25">
      <c r="B784" s="14"/>
    </row>
    <row r="785" spans="2:2" x14ac:dyDescent="0.25">
      <c r="B785" s="14"/>
    </row>
    <row r="786" spans="2:2" x14ac:dyDescent="0.25">
      <c r="B786" s="14"/>
    </row>
    <row r="787" spans="2:2" x14ac:dyDescent="0.25">
      <c r="B787" s="14"/>
    </row>
    <row r="788" spans="2:2" x14ac:dyDescent="0.25">
      <c r="B788" s="14"/>
    </row>
    <row r="789" spans="2:2" x14ac:dyDescent="0.25">
      <c r="B789" s="14"/>
    </row>
    <row r="790" spans="2:2" x14ac:dyDescent="0.25">
      <c r="B790" s="14"/>
    </row>
    <row r="791" spans="2:2" x14ac:dyDescent="0.25">
      <c r="B791" s="14"/>
    </row>
    <row r="792" spans="2:2" x14ac:dyDescent="0.25">
      <c r="B792" s="14"/>
    </row>
    <row r="793" spans="2:2" x14ac:dyDescent="0.25">
      <c r="B793" s="14"/>
    </row>
    <row r="794" spans="2:2" x14ac:dyDescent="0.25">
      <c r="B794" s="14"/>
    </row>
    <row r="795" spans="2:2" x14ac:dyDescent="0.25">
      <c r="B795" s="14"/>
    </row>
    <row r="796" spans="2:2" x14ac:dyDescent="0.25">
      <c r="B796" s="14"/>
    </row>
    <row r="797" spans="2:2" x14ac:dyDescent="0.25">
      <c r="B797" s="14"/>
    </row>
    <row r="798" spans="2:2" x14ac:dyDescent="0.25">
      <c r="B798" s="14"/>
    </row>
    <row r="799" spans="2:2" x14ac:dyDescent="0.25">
      <c r="B799" s="14"/>
    </row>
    <row r="800" spans="2:2" x14ac:dyDescent="0.25">
      <c r="B800" s="14"/>
    </row>
    <row r="801" spans="2:2" x14ac:dyDescent="0.25">
      <c r="B801" s="14"/>
    </row>
    <row r="802" spans="2:2" x14ac:dyDescent="0.25">
      <c r="B802" s="14"/>
    </row>
    <row r="803" spans="2:2" x14ac:dyDescent="0.25">
      <c r="B803" s="14"/>
    </row>
    <row r="804" spans="2:2" x14ac:dyDescent="0.25">
      <c r="B804" s="14"/>
    </row>
    <row r="805" spans="2:2" x14ac:dyDescent="0.25">
      <c r="B805" s="14"/>
    </row>
    <row r="806" spans="2:2" x14ac:dyDescent="0.25">
      <c r="B806" s="14"/>
    </row>
    <row r="807" spans="2:2" x14ac:dyDescent="0.25">
      <c r="B807" s="14"/>
    </row>
    <row r="808" spans="2:2" x14ac:dyDescent="0.25">
      <c r="B808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6BC0C-23CA-421D-BABE-98CE7B83BA8E}">
  <dimension ref="A1:C29"/>
  <sheetViews>
    <sheetView showGridLines="0" workbookViewId="0">
      <selection activeCell="A2" sqref="A2"/>
    </sheetView>
  </sheetViews>
  <sheetFormatPr defaultColWidth="25.7109375" defaultRowHeight="15" x14ac:dyDescent="0.25"/>
  <sheetData>
    <row r="1" spans="1:3" x14ac:dyDescent="0.25">
      <c r="A1" t="s">
        <v>56</v>
      </c>
    </row>
    <row r="3" spans="1:3" x14ac:dyDescent="0.25">
      <c r="A3" t="s">
        <v>53</v>
      </c>
    </row>
    <row r="5" spans="1:3" x14ac:dyDescent="0.25">
      <c r="B5" s="2" t="s">
        <v>54</v>
      </c>
      <c r="C5" s="2" t="s">
        <v>55</v>
      </c>
    </row>
    <row r="6" spans="1:3" x14ac:dyDescent="0.25">
      <c r="B6" t="s">
        <v>27</v>
      </c>
      <c r="C6" t="str">
        <f t="shared" ref="C6:C29" si="0">_xlfn.CONCAT(B6," NUMBER,")</f>
        <v>TICKER NUMBER,</v>
      </c>
    </row>
    <row r="7" spans="1:3" x14ac:dyDescent="0.25">
      <c r="B7" t="s">
        <v>29</v>
      </c>
      <c r="C7" t="str">
        <f t="shared" si="0"/>
        <v>ASOF_DATE NUMBER,</v>
      </c>
    </row>
    <row r="8" spans="1:3" x14ac:dyDescent="0.25">
      <c r="B8" t="s">
        <v>30</v>
      </c>
      <c r="C8" t="str">
        <f t="shared" si="0"/>
        <v>YR NUMBER,</v>
      </c>
    </row>
    <row r="9" spans="1:3" x14ac:dyDescent="0.25">
      <c r="B9" t="s">
        <v>31</v>
      </c>
      <c r="C9" t="str">
        <f t="shared" si="0"/>
        <v>QRT_NUM NUMBER,</v>
      </c>
    </row>
    <row r="10" spans="1:3" x14ac:dyDescent="0.25">
      <c r="B10" t="s">
        <v>0</v>
      </c>
      <c r="C10" t="str">
        <f t="shared" si="0"/>
        <v>Revenue NUMBER,</v>
      </c>
    </row>
    <row r="11" spans="1:3" x14ac:dyDescent="0.25">
      <c r="B11" t="s">
        <v>34</v>
      </c>
      <c r="C11" t="str">
        <f t="shared" si="0"/>
        <v>COGS NUMBER,</v>
      </c>
    </row>
    <row r="12" spans="1:3" x14ac:dyDescent="0.25">
      <c r="B12" t="s">
        <v>35</v>
      </c>
      <c r="C12" t="str">
        <f t="shared" si="0"/>
        <v>SG&amp;A_Expenses NUMBER,</v>
      </c>
    </row>
    <row r="13" spans="1:3" x14ac:dyDescent="0.25">
      <c r="B13" t="s">
        <v>36</v>
      </c>
      <c r="C13" t="str">
        <f t="shared" si="0"/>
        <v>Other_Operating_Income_or_Expenses NUMBER,</v>
      </c>
    </row>
    <row r="14" spans="1:3" x14ac:dyDescent="0.25">
      <c r="B14" t="s">
        <v>37</v>
      </c>
      <c r="C14" t="str">
        <f t="shared" si="0"/>
        <v>Operating_Expenses NUMBER,</v>
      </c>
    </row>
    <row r="15" spans="1:3" x14ac:dyDescent="0.25">
      <c r="B15" t="s">
        <v>38</v>
      </c>
      <c r="C15" t="str">
        <f t="shared" si="0"/>
        <v>Operating_Income NUMBER,</v>
      </c>
    </row>
    <row r="16" spans="1:3" x14ac:dyDescent="0.25">
      <c r="B16" t="s">
        <v>39</v>
      </c>
      <c r="C16" t="str">
        <f t="shared" si="0"/>
        <v>Total_NonOperating_Income_or_Expense NUMBER,</v>
      </c>
    </row>
    <row r="17" spans="2:3" x14ac:dyDescent="0.25">
      <c r="B17" t="s">
        <v>40</v>
      </c>
      <c r="C17" t="str">
        <f t="shared" si="0"/>
        <v>PreTax_Income NUMBER,</v>
      </c>
    </row>
    <row r="18" spans="2:3" x14ac:dyDescent="0.25">
      <c r="B18" t="s">
        <v>41</v>
      </c>
      <c r="C18" t="str">
        <f t="shared" si="0"/>
        <v>Income_Taxes NUMBER,</v>
      </c>
    </row>
    <row r="19" spans="2:3" x14ac:dyDescent="0.25">
      <c r="B19" t="s">
        <v>42</v>
      </c>
      <c r="C19" t="str">
        <f t="shared" si="0"/>
        <v>Income_After_Taxes NUMBER,</v>
      </c>
    </row>
    <row r="20" spans="2:3" x14ac:dyDescent="0.25">
      <c r="B20" t="s">
        <v>43</v>
      </c>
      <c r="C20" t="str">
        <f t="shared" si="0"/>
        <v>Other_Income NUMBER,</v>
      </c>
    </row>
    <row r="21" spans="2:3" x14ac:dyDescent="0.25">
      <c r="B21" t="s">
        <v>44</v>
      </c>
      <c r="C21" t="str">
        <f t="shared" si="0"/>
        <v>Income_From_Continuous_Operations NUMBER,</v>
      </c>
    </row>
    <row r="22" spans="2:3" x14ac:dyDescent="0.25">
      <c r="B22" t="s">
        <v>45</v>
      </c>
      <c r="C22" t="str">
        <f t="shared" si="0"/>
        <v>Income_From_Discontinued_Operations NUMBER,</v>
      </c>
    </row>
    <row r="23" spans="2:3" x14ac:dyDescent="0.25">
      <c r="B23" t="s">
        <v>46</v>
      </c>
      <c r="C23" t="str">
        <f t="shared" si="0"/>
        <v>Net _Income NUMBER,</v>
      </c>
    </row>
    <row r="24" spans="2:3" x14ac:dyDescent="0.25">
      <c r="B24" t="s">
        <v>16</v>
      </c>
      <c r="C24" t="str">
        <f t="shared" si="0"/>
        <v>EBITDA NUMBER,</v>
      </c>
    </row>
    <row r="25" spans="2:3" x14ac:dyDescent="0.25">
      <c r="B25" t="s">
        <v>17</v>
      </c>
      <c r="C25" t="str">
        <f t="shared" si="0"/>
        <v>EBIT NUMBER,</v>
      </c>
    </row>
    <row r="26" spans="2:3" x14ac:dyDescent="0.25">
      <c r="B26" t="s">
        <v>47</v>
      </c>
      <c r="C26" t="str">
        <f t="shared" si="0"/>
        <v>Basic_Shares_Outstanding NUMBER,</v>
      </c>
    </row>
    <row r="27" spans="2:3" x14ac:dyDescent="0.25">
      <c r="B27" t="s">
        <v>48</v>
      </c>
      <c r="C27" t="str">
        <f t="shared" si="0"/>
        <v>Shares_Outstanding NUMBER,</v>
      </c>
    </row>
    <row r="28" spans="2:3" x14ac:dyDescent="0.25">
      <c r="B28" t="s">
        <v>49</v>
      </c>
      <c r="C28" t="str">
        <f t="shared" si="0"/>
        <v>Basic_EPS NUMBER,</v>
      </c>
    </row>
    <row r="29" spans="2:3" x14ac:dyDescent="0.25">
      <c r="B29" t="s">
        <v>33</v>
      </c>
      <c r="C29" t="str">
        <f t="shared" si="0"/>
        <v>Earnings_Per_Share NUMBER,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Lookup</vt:lpstr>
      <vt:lpstr>Export</vt:lpstr>
      <vt:lpstr>Support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Elrom</dc:creator>
  <cp:lastModifiedBy>Elrom,Tim</cp:lastModifiedBy>
  <dcterms:created xsi:type="dcterms:W3CDTF">2026-03-03T06:26:47Z</dcterms:created>
  <dcterms:modified xsi:type="dcterms:W3CDTF">2026-03-08T00:47:58Z</dcterms:modified>
</cp:coreProperties>
</file>