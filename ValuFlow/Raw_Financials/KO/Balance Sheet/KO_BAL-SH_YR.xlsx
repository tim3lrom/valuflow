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Balance Sheet\"/>
    </mc:Choice>
  </mc:AlternateContent>
  <xr:revisionPtr revIDLastSave="0" documentId="13_ncr:1_{CEB6695C-0D9B-49B4-A546-434A0A820918}" xr6:coauthVersionLast="47" xr6:coauthVersionMax="47" xr10:uidLastSave="{00000000-0000-0000-0000-000000000000}"/>
  <bookViews>
    <workbookView xWindow="5715" yWindow="510" windowWidth="32355" windowHeight="20895" activeTab="2" xr2:uid="{78D53A0F-67CC-4D99-B749-731E7582364D}"/>
  </bookViews>
  <sheets>
    <sheet name="Raw" sheetId="1" r:id="rId1"/>
    <sheet name="Lookup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3" l="1" a="1"/>
  <c r="AA2" i="3" s="1"/>
  <c r="AB2" i="3" s="1"/>
  <c r="AA3" i="3" l="1" a="1"/>
  <c r="AA3" i="3" s="1"/>
  <c r="AB3" i="3" s="1"/>
  <c r="AC3" i="3"/>
  <c r="AA4" i="3" a="1"/>
  <c r="AA4" i="3" s="1"/>
  <c r="AB4" i="3" s="1"/>
  <c r="AC4" i="3"/>
  <c r="AA5" i="3" a="1"/>
  <c r="AA5" i="3" s="1"/>
  <c r="AB5" i="3" s="1"/>
  <c r="AC5" i="3"/>
  <c r="AA6" i="3" a="1"/>
  <c r="AA6" i="3" s="1"/>
  <c r="AB6" i="3" s="1"/>
  <c r="AC6" i="3"/>
  <c r="AA7" i="3" a="1"/>
  <c r="AA7" i="3" s="1"/>
  <c r="AB7" i="3" s="1"/>
  <c r="AC7" i="3"/>
  <c r="AA8" i="3" a="1"/>
  <c r="AA8" i="3" s="1"/>
  <c r="AB8" i="3" s="1"/>
  <c r="AC8" i="3"/>
  <c r="AA9" i="3" a="1"/>
  <c r="AA9" i="3" s="1"/>
  <c r="AB9" i="3" s="1"/>
  <c r="AC9" i="3"/>
  <c r="AA10" i="3" a="1"/>
  <c r="AA10" i="3" s="1"/>
  <c r="AB10" i="3" s="1"/>
  <c r="AC10" i="3"/>
  <c r="AA11" i="3" a="1"/>
  <c r="AA11" i="3" s="1"/>
  <c r="AB11" i="3" s="1"/>
  <c r="AC11" i="3"/>
  <c r="AA12" i="3" a="1"/>
  <c r="AA12" i="3" s="1"/>
  <c r="AB12" i="3" s="1"/>
  <c r="AC12" i="3"/>
  <c r="AA13" i="3" a="1"/>
  <c r="AA13" i="3" s="1"/>
  <c r="AB13" i="3" s="1"/>
  <c r="AC13" i="3"/>
  <c r="AA14" i="3" a="1"/>
  <c r="AA14" i="3" s="1"/>
  <c r="AB14" i="3" s="1"/>
  <c r="AC14" i="3"/>
  <c r="AA15" i="3" a="1"/>
  <c r="AA15" i="3" s="1"/>
  <c r="AB15" i="3" s="1"/>
  <c r="AC15" i="3"/>
  <c r="AA16" i="3" a="1"/>
  <c r="AA16" i="3" s="1"/>
  <c r="AB16" i="3" s="1"/>
  <c r="AC16" i="3"/>
  <c r="AA17" i="3" a="1"/>
  <c r="AA17" i="3" s="1"/>
  <c r="AB17" i="3" s="1"/>
  <c r="AC17" i="3"/>
  <c r="AA18" i="3" a="1"/>
  <c r="AA18" i="3" s="1"/>
  <c r="AB18" i="3" s="1"/>
  <c r="AC18" i="3"/>
  <c r="AA19" i="3" a="1"/>
  <c r="AA19" i="3" s="1"/>
  <c r="AB19" i="3" s="1"/>
  <c r="AC19" i="3"/>
  <c r="AA20" i="3" a="1"/>
  <c r="AA20" i="3" s="1"/>
  <c r="AB20" i="3" s="1"/>
  <c r="AC20" i="3"/>
  <c r="AA21" i="3" a="1"/>
  <c r="AA21" i="3" s="1"/>
  <c r="AB21" i="3" s="1"/>
  <c r="AC21" i="3"/>
  <c r="AA22" i="3" a="1"/>
  <c r="AA22" i="3" s="1"/>
  <c r="AB22" i="3" s="1"/>
  <c r="AC22" i="3"/>
  <c r="AA23" i="3" a="1"/>
  <c r="AA23" i="3" s="1"/>
  <c r="AB23" i="3" s="1"/>
  <c r="AC23" i="3"/>
  <c r="AA24" i="3" a="1"/>
  <c r="AA24" i="3" s="1"/>
  <c r="AB24" i="3" s="1"/>
  <c r="AC24" i="3"/>
  <c r="AA25" i="3" a="1"/>
  <c r="AA25" i="3" s="1"/>
  <c r="AB25" i="3" s="1"/>
  <c r="AC25" i="3"/>
  <c r="AA26" i="3" a="1"/>
  <c r="AA26" i="3" s="1"/>
  <c r="AB26" i="3" s="1"/>
  <c r="AC26" i="3"/>
  <c r="AA27" i="3" a="1"/>
  <c r="AA27" i="3" s="1"/>
  <c r="AB27" i="3" s="1"/>
  <c r="AC27" i="3"/>
  <c r="AA28" i="3" a="1"/>
  <c r="AA28" i="3" s="1"/>
  <c r="AB28" i="3" s="1"/>
  <c r="AC28" i="3"/>
  <c r="AA29" i="3" a="1"/>
  <c r="AA29" i="3" s="1"/>
  <c r="AB29" i="3" s="1"/>
  <c r="AC29" i="3"/>
  <c r="AA30" i="3" a="1"/>
  <c r="AA30" i="3" s="1"/>
  <c r="AB30" i="3" s="1"/>
  <c r="AC30" i="3"/>
  <c r="AA31" i="3" a="1"/>
  <c r="AA31" i="3" s="1"/>
  <c r="AB31" i="3" s="1"/>
  <c r="AC31" i="3"/>
  <c r="AA32" i="3" a="1"/>
  <c r="AA32" i="3" s="1"/>
  <c r="AB32" i="3" s="1"/>
  <c r="AC32" i="3"/>
  <c r="AA33" i="3" a="1"/>
  <c r="AA33" i="3" s="1"/>
  <c r="AB33" i="3" s="1"/>
  <c r="AC33" i="3"/>
  <c r="AA34" i="3" a="1"/>
  <c r="AA34" i="3" s="1"/>
  <c r="AB34" i="3" s="1"/>
  <c r="AC34" i="3"/>
  <c r="AA35" i="3" a="1"/>
  <c r="AA35" i="3" s="1"/>
  <c r="AB35" i="3" s="1"/>
  <c r="AC35" i="3"/>
  <c r="AA36" i="3" a="1"/>
  <c r="AA36" i="3" s="1"/>
  <c r="AB36" i="3" s="1"/>
  <c r="AC36" i="3"/>
  <c r="AA37" i="3" a="1"/>
  <c r="AA37" i="3" s="1"/>
  <c r="AB37" i="3" s="1"/>
  <c r="AC37" i="3"/>
  <c r="AA38" i="3" a="1"/>
  <c r="AA38" i="3" s="1"/>
  <c r="AB38" i="3" s="1"/>
  <c r="AC38" i="3"/>
  <c r="AA39" i="3" a="1"/>
  <c r="AA39" i="3" s="1"/>
  <c r="AB39" i="3" s="1"/>
  <c r="AC39" i="3"/>
  <c r="AA40" i="3" a="1"/>
  <c r="AA40" i="3" s="1"/>
  <c r="AB40" i="3" s="1"/>
  <c r="AC40" i="3"/>
  <c r="AC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2" i="3"/>
  <c r="B40" i="2" l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B1" i="1"/>
  <c r="F2" i="2" l="1"/>
  <c r="F2" i="3" s="1"/>
  <c r="V2" i="2"/>
  <c r="V2" i="3" s="1"/>
  <c r="Q3" i="2"/>
  <c r="Q3" i="3" s="1"/>
  <c r="L4" i="2"/>
  <c r="L4" i="3" s="1"/>
  <c r="G5" i="2"/>
  <c r="G5" i="3" s="1"/>
  <c r="W5" i="2"/>
  <c r="W5" i="3" s="1"/>
  <c r="R6" i="2"/>
  <c r="R6" i="3" s="1"/>
  <c r="M7" i="2"/>
  <c r="M7" i="3" s="1"/>
  <c r="H8" i="2"/>
  <c r="H8" i="3" s="1"/>
  <c r="X8" i="2"/>
  <c r="X8" i="3" s="1"/>
  <c r="S9" i="2"/>
  <c r="S9" i="3" s="1"/>
  <c r="N10" i="2"/>
  <c r="N10" i="3" s="1"/>
  <c r="I11" i="2"/>
  <c r="I11" i="3" s="1"/>
  <c r="Y11" i="2"/>
  <c r="Y11" i="3" s="1"/>
  <c r="T12" i="2"/>
  <c r="T12" i="3" s="1"/>
  <c r="O13" i="2"/>
  <c r="O13" i="3" s="1"/>
  <c r="J14" i="2"/>
  <c r="J14" i="3" s="1"/>
  <c r="Z14" i="2"/>
  <c r="Z14" i="3" s="1"/>
  <c r="U15" i="2"/>
  <c r="U15" i="3" s="1"/>
  <c r="P16" i="2"/>
  <c r="P16" i="3" s="1"/>
  <c r="K17" i="2"/>
  <c r="K17" i="3" s="1"/>
  <c r="F18" i="2"/>
  <c r="F18" i="3" s="1"/>
  <c r="V18" i="2"/>
  <c r="V18" i="3" s="1"/>
  <c r="Q19" i="2"/>
  <c r="Q19" i="3" s="1"/>
  <c r="L20" i="2"/>
  <c r="L20" i="3" s="1"/>
  <c r="G21" i="2"/>
  <c r="G21" i="3" s="1"/>
  <c r="W21" i="2"/>
  <c r="W21" i="3" s="1"/>
  <c r="R22" i="2"/>
  <c r="R22" i="3" s="1"/>
  <c r="M23" i="2"/>
  <c r="M23" i="3" s="1"/>
  <c r="H24" i="2"/>
  <c r="H24" i="3" s="1"/>
  <c r="X24" i="2"/>
  <c r="X24" i="3" s="1"/>
  <c r="S25" i="2"/>
  <c r="S25" i="3" s="1"/>
  <c r="N26" i="2"/>
  <c r="N26" i="3" s="1"/>
  <c r="I27" i="2"/>
  <c r="I27" i="3" s="1"/>
  <c r="Y27" i="2"/>
  <c r="Y27" i="3" s="1"/>
  <c r="T28" i="2"/>
  <c r="T28" i="3" s="1"/>
  <c r="O29" i="2"/>
  <c r="O29" i="3" s="1"/>
  <c r="J30" i="2"/>
  <c r="J30" i="3" s="1"/>
  <c r="Z30" i="2"/>
  <c r="Z30" i="3" s="1"/>
  <c r="U31" i="2"/>
  <c r="U31" i="3" s="1"/>
  <c r="P32" i="2"/>
  <c r="P32" i="3" s="1"/>
  <c r="K33" i="2"/>
  <c r="K33" i="3" s="1"/>
  <c r="F34" i="2"/>
  <c r="F34" i="3" s="1"/>
  <c r="V34" i="2"/>
  <c r="V34" i="3" s="1"/>
  <c r="Q35" i="2"/>
  <c r="Q35" i="3" s="1"/>
  <c r="L36" i="2"/>
  <c r="L36" i="3" s="1"/>
  <c r="G37" i="2"/>
  <c r="G37" i="3" s="1"/>
  <c r="W37" i="2"/>
  <c r="W37" i="3" s="1"/>
  <c r="R38" i="2"/>
  <c r="R38" i="3" s="1"/>
  <c r="M39" i="2"/>
  <c r="M39" i="3" s="1"/>
  <c r="H40" i="2"/>
  <c r="H40" i="3" s="1"/>
  <c r="X40" i="2"/>
  <c r="X40" i="3" s="1"/>
  <c r="E15" i="2"/>
  <c r="E15" i="3" s="1"/>
  <c r="E31" i="2"/>
  <c r="E31" i="3" s="1"/>
  <c r="D9" i="2"/>
  <c r="D9" i="3" s="1"/>
  <c r="D25" i="2"/>
  <c r="D25" i="3" s="1"/>
  <c r="D2" i="2"/>
  <c r="D2" i="3" s="1"/>
  <c r="Z10" i="2"/>
  <c r="Z10" i="3" s="1"/>
  <c r="H20" i="2"/>
  <c r="H20" i="3" s="1"/>
  <c r="K29" i="2"/>
  <c r="K29" i="3" s="1"/>
  <c r="S37" i="2"/>
  <c r="S37" i="3" s="1"/>
  <c r="Y4" i="2"/>
  <c r="Y4" i="3" s="1"/>
  <c r="X17" i="2"/>
  <c r="X17" i="3" s="1"/>
  <c r="L29" i="2"/>
  <c r="L29" i="3" s="1"/>
  <c r="Y36" i="2"/>
  <c r="Y36" i="3" s="1"/>
  <c r="J17" i="2"/>
  <c r="J17" i="3" s="1"/>
  <c r="M26" i="2"/>
  <c r="M26" i="3" s="1"/>
  <c r="F37" i="2"/>
  <c r="F37" i="3" s="1"/>
  <c r="G2" i="2"/>
  <c r="G2" i="3" s="1"/>
  <c r="W2" i="2"/>
  <c r="W2" i="3" s="1"/>
  <c r="R3" i="2"/>
  <c r="R3" i="3" s="1"/>
  <c r="M4" i="2"/>
  <c r="M4" i="3" s="1"/>
  <c r="H5" i="2"/>
  <c r="H5" i="3" s="1"/>
  <c r="X5" i="2"/>
  <c r="X5" i="3" s="1"/>
  <c r="S6" i="2"/>
  <c r="S6" i="3" s="1"/>
  <c r="N7" i="2"/>
  <c r="N7" i="3" s="1"/>
  <c r="I8" i="2"/>
  <c r="I8" i="3" s="1"/>
  <c r="Y8" i="2"/>
  <c r="Y8" i="3" s="1"/>
  <c r="T9" i="2"/>
  <c r="T9" i="3" s="1"/>
  <c r="O10" i="2"/>
  <c r="O10" i="3" s="1"/>
  <c r="J11" i="2"/>
  <c r="J11" i="3" s="1"/>
  <c r="Z11" i="2"/>
  <c r="Z11" i="3" s="1"/>
  <c r="U12" i="2"/>
  <c r="U12" i="3" s="1"/>
  <c r="P13" i="2"/>
  <c r="P13" i="3" s="1"/>
  <c r="K14" i="2"/>
  <c r="K14" i="3" s="1"/>
  <c r="F15" i="2"/>
  <c r="F15" i="3" s="1"/>
  <c r="V15" i="2"/>
  <c r="V15" i="3" s="1"/>
  <c r="Q16" i="2"/>
  <c r="Q16" i="3" s="1"/>
  <c r="L17" i="2"/>
  <c r="L17" i="3" s="1"/>
  <c r="G18" i="2"/>
  <c r="G18" i="3" s="1"/>
  <c r="W18" i="2"/>
  <c r="W18" i="3" s="1"/>
  <c r="R19" i="2"/>
  <c r="R19" i="3" s="1"/>
  <c r="M20" i="2"/>
  <c r="M20" i="3" s="1"/>
  <c r="H21" i="2"/>
  <c r="H21" i="3" s="1"/>
  <c r="X21" i="2"/>
  <c r="X21" i="3" s="1"/>
  <c r="S22" i="2"/>
  <c r="S22" i="3" s="1"/>
  <c r="N23" i="2"/>
  <c r="N23" i="3" s="1"/>
  <c r="I24" i="2"/>
  <c r="I24" i="3" s="1"/>
  <c r="Y24" i="2"/>
  <c r="Y24" i="3" s="1"/>
  <c r="T25" i="2"/>
  <c r="T25" i="3" s="1"/>
  <c r="O26" i="2"/>
  <c r="O26" i="3" s="1"/>
  <c r="J27" i="2"/>
  <c r="J27" i="3" s="1"/>
  <c r="Z27" i="2"/>
  <c r="Z27" i="3" s="1"/>
  <c r="U28" i="2"/>
  <c r="U28" i="3" s="1"/>
  <c r="P29" i="2"/>
  <c r="P29" i="3" s="1"/>
  <c r="K30" i="2"/>
  <c r="K30" i="3" s="1"/>
  <c r="F31" i="2"/>
  <c r="F31" i="3" s="1"/>
  <c r="V31" i="2"/>
  <c r="V31" i="3" s="1"/>
  <c r="Q32" i="2"/>
  <c r="Q32" i="3" s="1"/>
  <c r="L33" i="2"/>
  <c r="L33" i="3" s="1"/>
  <c r="G34" i="2"/>
  <c r="G34" i="3" s="1"/>
  <c r="W34" i="2"/>
  <c r="W34" i="3" s="1"/>
  <c r="R35" i="2"/>
  <c r="R35" i="3" s="1"/>
  <c r="M36" i="2"/>
  <c r="M36" i="3" s="1"/>
  <c r="H37" i="2"/>
  <c r="H37" i="3" s="1"/>
  <c r="X37" i="2"/>
  <c r="X37" i="3" s="1"/>
  <c r="S38" i="2"/>
  <c r="S38" i="3" s="1"/>
  <c r="N39" i="2"/>
  <c r="N39" i="3" s="1"/>
  <c r="I40" i="2"/>
  <c r="I40" i="3" s="1"/>
  <c r="Y40" i="2"/>
  <c r="Y40" i="3" s="1"/>
  <c r="E16" i="2"/>
  <c r="E16" i="3" s="1"/>
  <c r="E32" i="2"/>
  <c r="E32" i="3" s="1"/>
  <c r="D10" i="2"/>
  <c r="D10" i="3" s="1"/>
  <c r="D26" i="2"/>
  <c r="D26" i="3" s="1"/>
  <c r="O9" i="2"/>
  <c r="O9" i="3" s="1"/>
  <c r="R18" i="2"/>
  <c r="R18" i="3" s="1"/>
  <c r="U27" i="2"/>
  <c r="U27" i="3" s="1"/>
  <c r="H36" i="2"/>
  <c r="H36" i="3" s="1"/>
  <c r="S2" i="2"/>
  <c r="S2" i="3" s="1"/>
  <c r="Q12" i="2"/>
  <c r="Q12" i="3" s="1"/>
  <c r="Z23" i="2"/>
  <c r="Z23" i="3" s="1"/>
  <c r="I36" i="2"/>
  <c r="I36" i="3" s="1"/>
  <c r="D22" i="2"/>
  <c r="D22" i="3" s="1"/>
  <c r="G24" i="2"/>
  <c r="G24" i="3" s="1"/>
  <c r="T31" i="2"/>
  <c r="T31" i="3" s="1"/>
  <c r="W40" i="2"/>
  <c r="W40" i="3" s="1"/>
  <c r="H2" i="2"/>
  <c r="H2" i="3" s="1"/>
  <c r="X2" i="2"/>
  <c r="X2" i="3" s="1"/>
  <c r="S3" i="2"/>
  <c r="S3" i="3" s="1"/>
  <c r="N4" i="2"/>
  <c r="N4" i="3" s="1"/>
  <c r="I5" i="2"/>
  <c r="I5" i="3" s="1"/>
  <c r="Y5" i="2"/>
  <c r="Y5" i="3" s="1"/>
  <c r="T6" i="2"/>
  <c r="T6" i="3" s="1"/>
  <c r="O7" i="2"/>
  <c r="O7" i="3" s="1"/>
  <c r="J8" i="2"/>
  <c r="J8" i="3" s="1"/>
  <c r="Z8" i="2"/>
  <c r="Z8" i="3" s="1"/>
  <c r="U9" i="2"/>
  <c r="U9" i="3" s="1"/>
  <c r="P10" i="2"/>
  <c r="P10" i="3" s="1"/>
  <c r="K11" i="2"/>
  <c r="K11" i="3" s="1"/>
  <c r="F12" i="2"/>
  <c r="F12" i="3" s="1"/>
  <c r="V12" i="2"/>
  <c r="V12" i="3" s="1"/>
  <c r="Q13" i="2"/>
  <c r="Q13" i="3" s="1"/>
  <c r="L14" i="2"/>
  <c r="L14" i="3" s="1"/>
  <c r="G15" i="2"/>
  <c r="G15" i="3" s="1"/>
  <c r="W15" i="2"/>
  <c r="W15" i="3" s="1"/>
  <c r="R16" i="2"/>
  <c r="R16" i="3" s="1"/>
  <c r="M17" i="2"/>
  <c r="M17" i="3" s="1"/>
  <c r="H18" i="2"/>
  <c r="H18" i="3" s="1"/>
  <c r="X18" i="2"/>
  <c r="X18" i="3" s="1"/>
  <c r="S19" i="2"/>
  <c r="S19" i="3" s="1"/>
  <c r="N20" i="2"/>
  <c r="N20" i="3" s="1"/>
  <c r="I21" i="2"/>
  <c r="I21" i="3" s="1"/>
  <c r="Y21" i="2"/>
  <c r="Y21" i="3" s="1"/>
  <c r="T22" i="2"/>
  <c r="T22" i="3" s="1"/>
  <c r="O23" i="2"/>
  <c r="O23" i="3" s="1"/>
  <c r="J24" i="2"/>
  <c r="J24" i="3" s="1"/>
  <c r="Z24" i="2"/>
  <c r="Z24" i="3" s="1"/>
  <c r="U25" i="2"/>
  <c r="U25" i="3" s="1"/>
  <c r="P26" i="2"/>
  <c r="P26" i="3" s="1"/>
  <c r="K27" i="2"/>
  <c r="K27" i="3" s="1"/>
  <c r="F28" i="2"/>
  <c r="F28" i="3" s="1"/>
  <c r="V28" i="2"/>
  <c r="V28" i="3" s="1"/>
  <c r="Q29" i="2"/>
  <c r="Q29" i="3" s="1"/>
  <c r="L30" i="2"/>
  <c r="L30" i="3" s="1"/>
  <c r="G31" i="2"/>
  <c r="G31" i="3" s="1"/>
  <c r="W31" i="2"/>
  <c r="W31" i="3" s="1"/>
  <c r="R32" i="2"/>
  <c r="R32" i="3" s="1"/>
  <c r="M33" i="2"/>
  <c r="M33" i="3" s="1"/>
  <c r="H34" i="2"/>
  <c r="H34" i="3" s="1"/>
  <c r="X34" i="2"/>
  <c r="X34" i="3" s="1"/>
  <c r="S35" i="2"/>
  <c r="S35" i="3" s="1"/>
  <c r="N36" i="2"/>
  <c r="N36" i="3" s="1"/>
  <c r="I37" i="2"/>
  <c r="I37" i="3" s="1"/>
  <c r="Y37" i="2"/>
  <c r="Y37" i="3" s="1"/>
  <c r="T38" i="2"/>
  <c r="T38" i="3" s="1"/>
  <c r="O39" i="2"/>
  <c r="O39" i="3" s="1"/>
  <c r="J40" i="2"/>
  <c r="J40" i="3" s="1"/>
  <c r="Z40" i="2"/>
  <c r="Z40" i="3" s="1"/>
  <c r="E17" i="2"/>
  <c r="E17" i="3" s="1"/>
  <c r="E33" i="2"/>
  <c r="E33" i="3" s="1"/>
  <c r="D11" i="2"/>
  <c r="D11" i="3" s="1"/>
  <c r="D27" i="2"/>
  <c r="D27" i="3" s="1"/>
  <c r="Y7" i="2"/>
  <c r="Y7" i="3" s="1"/>
  <c r="W17" i="2"/>
  <c r="W17" i="3" s="1"/>
  <c r="Z26" i="2"/>
  <c r="Z26" i="3" s="1"/>
  <c r="N38" i="2"/>
  <c r="N38" i="3" s="1"/>
  <c r="N3" i="2"/>
  <c r="N3" i="3" s="1"/>
  <c r="L13" i="2"/>
  <c r="L13" i="3" s="1"/>
  <c r="T21" i="2"/>
  <c r="T21" i="3" s="1"/>
  <c r="R31" i="2"/>
  <c r="R31" i="3" s="1"/>
  <c r="E12" i="2"/>
  <c r="E12" i="3" s="1"/>
  <c r="K20" i="2"/>
  <c r="K20" i="3" s="1"/>
  <c r="S28" i="2"/>
  <c r="S28" i="3" s="1"/>
  <c r="G40" i="2"/>
  <c r="G40" i="3" s="1"/>
  <c r="I2" i="2"/>
  <c r="I2" i="3" s="1"/>
  <c r="Y2" i="2"/>
  <c r="Y2" i="3" s="1"/>
  <c r="T3" i="2"/>
  <c r="T3" i="3" s="1"/>
  <c r="O4" i="2"/>
  <c r="O4" i="3" s="1"/>
  <c r="J5" i="2"/>
  <c r="J5" i="3" s="1"/>
  <c r="Z5" i="2"/>
  <c r="Z5" i="3" s="1"/>
  <c r="U6" i="2"/>
  <c r="U6" i="3" s="1"/>
  <c r="P7" i="2"/>
  <c r="P7" i="3" s="1"/>
  <c r="K8" i="2"/>
  <c r="K8" i="3" s="1"/>
  <c r="F9" i="2"/>
  <c r="F9" i="3" s="1"/>
  <c r="V9" i="2"/>
  <c r="V9" i="3" s="1"/>
  <c r="Q10" i="2"/>
  <c r="Q10" i="3" s="1"/>
  <c r="L11" i="2"/>
  <c r="L11" i="3" s="1"/>
  <c r="G12" i="2"/>
  <c r="G12" i="3" s="1"/>
  <c r="W12" i="2"/>
  <c r="W12" i="3" s="1"/>
  <c r="R13" i="2"/>
  <c r="R13" i="3" s="1"/>
  <c r="M14" i="2"/>
  <c r="M14" i="3" s="1"/>
  <c r="H15" i="2"/>
  <c r="H15" i="3" s="1"/>
  <c r="X15" i="2"/>
  <c r="X15" i="3" s="1"/>
  <c r="S16" i="2"/>
  <c r="S16" i="3" s="1"/>
  <c r="N17" i="2"/>
  <c r="N17" i="3" s="1"/>
  <c r="I18" i="2"/>
  <c r="I18" i="3" s="1"/>
  <c r="Y18" i="2"/>
  <c r="Y18" i="3" s="1"/>
  <c r="T19" i="2"/>
  <c r="T19" i="3" s="1"/>
  <c r="O20" i="2"/>
  <c r="O20" i="3" s="1"/>
  <c r="J21" i="2"/>
  <c r="J21" i="3" s="1"/>
  <c r="Z21" i="2"/>
  <c r="Z21" i="3" s="1"/>
  <c r="U22" i="2"/>
  <c r="U22" i="3" s="1"/>
  <c r="P23" i="2"/>
  <c r="P23" i="3" s="1"/>
  <c r="K24" i="2"/>
  <c r="K24" i="3" s="1"/>
  <c r="F25" i="2"/>
  <c r="F25" i="3" s="1"/>
  <c r="V25" i="2"/>
  <c r="V25" i="3" s="1"/>
  <c r="Q26" i="2"/>
  <c r="Q26" i="3" s="1"/>
  <c r="L27" i="2"/>
  <c r="L27" i="3" s="1"/>
  <c r="G28" i="2"/>
  <c r="G28" i="3" s="1"/>
  <c r="W28" i="2"/>
  <c r="W28" i="3" s="1"/>
  <c r="R29" i="2"/>
  <c r="R29" i="3" s="1"/>
  <c r="M30" i="2"/>
  <c r="M30" i="3" s="1"/>
  <c r="H31" i="2"/>
  <c r="H31" i="3" s="1"/>
  <c r="X31" i="2"/>
  <c r="X31" i="3" s="1"/>
  <c r="S32" i="2"/>
  <c r="S32" i="3" s="1"/>
  <c r="N33" i="2"/>
  <c r="N33" i="3" s="1"/>
  <c r="I34" i="2"/>
  <c r="I34" i="3" s="1"/>
  <c r="Y34" i="2"/>
  <c r="Y34" i="3" s="1"/>
  <c r="T35" i="2"/>
  <c r="T35" i="3" s="1"/>
  <c r="O36" i="2"/>
  <c r="O36" i="3" s="1"/>
  <c r="J37" i="2"/>
  <c r="J37" i="3" s="1"/>
  <c r="Z37" i="2"/>
  <c r="Z37" i="3" s="1"/>
  <c r="U38" i="2"/>
  <c r="U38" i="3" s="1"/>
  <c r="P39" i="2"/>
  <c r="P39" i="3" s="1"/>
  <c r="K40" i="2"/>
  <c r="K40" i="3" s="1"/>
  <c r="E2" i="2"/>
  <c r="E2" i="3" s="1"/>
  <c r="E18" i="2"/>
  <c r="E18" i="3" s="1"/>
  <c r="E34" i="2"/>
  <c r="E34" i="3" s="1"/>
  <c r="D12" i="2"/>
  <c r="D12" i="3" s="1"/>
  <c r="D28" i="2"/>
  <c r="D28" i="3" s="1"/>
  <c r="J10" i="2"/>
  <c r="J10" i="3" s="1"/>
  <c r="L16" i="2"/>
  <c r="L16" i="3" s="1"/>
  <c r="Y23" i="2"/>
  <c r="Y23" i="3" s="1"/>
  <c r="G33" i="2"/>
  <c r="G33" i="3" s="1"/>
  <c r="Y39" i="2"/>
  <c r="Y39" i="3" s="1"/>
  <c r="F11" i="2"/>
  <c r="F11" i="3" s="1"/>
  <c r="G14" i="2"/>
  <c r="G14" i="3" s="1"/>
  <c r="Y20" i="2"/>
  <c r="Y20" i="3" s="1"/>
  <c r="G30" i="2"/>
  <c r="G30" i="3" s="1"/>
  <c r="J39" i="2"/>
  <c r="J39" i="3" s="1"/>
  <c r="U18" i="2"/>
  <c r="U18" i="3" s="1"/>
  <c r="I30" i="2"/>
  <c r="I30" i="3" s="1"/>
  <c r="Q38" i="2"/>
  <c r="Q38" i="3" s="1"/>
  <c r="J2" i="2"/>
  <c r="J2" i="3" s="1"/>
  <c r="Z2" i="2"/>
  <c r="Z2" i="3" s="1"/>
  <c r="U3" i="2"/>
  <c r="U3" i="3" s="1"/>
  <c r="P4" i="2"/>
  <c r="P4" i="3" s="1"/>
  <c r="K5" i="2"/>
  <c r="K5" i="3" s="1"/>
  <c r="F6" i="2"/>
  <c r="F6" i="3" s="1"/>
  <c r="V6" i="2"/>
  <c r="V6" i="3" s="1"/>
  <c r="Q7" i="2"/>
  <c r="Q7" i="3" s="1"/>
  <c r="L8" i="2"/>
  <c r="L8" i="3" s="1"/>
  <c r="G9" i="2"/>
  <c r="G9" i="3" s="1"/>
  <c r="W9" i="2"/>
  <c r="W9" i="3" s="1"/>
  <c r="R10" i="2"/>
  <c r="R10" i="3" s="1"/>
  <c r="M11" i="2"/>
  <c r="M11" i="3" s="1"/>
  <c r="H12" i="2"/>
  <c r="H12" i="3" s="1"/>
  <c r="X12" i="2"/>
  <c r="X12" i="3" s="1"/>
  <c r="S13" i="2"/>
  <c r="S13" i="3" s="1"/>
  <c r="N14" i="2"/>
  <c r="N14" i="3" s="1"/>
  <c r="I15" i="2"/>
  <c r="I15" i="3" s="1"/>
  <c r="Y15" i="2"/>
  <c r="Y15" i="3" s="1"/>
  <c r="T16" i="2"/>
  <c r="T16" i="3" s="1"/>
  <c r="O17" i="2"/>
  <c r="O17" i="3" s="1"/>
  <c r="J18" i="2"/>
  <c r="J18" i="3" s="1"/>
  <c r="Z18" i="2"/>
  <c r="Z18" i="3" s="1"/>
  <c r="U19" i="2"/>
  <c r="U19" i="3" s="1"/>
  <c r="P20" i="2"/>
  <c r="P20" i="3" s="1"/>
  <c r="K21" i="2"/>
  <c r="K21" i="3" s="1"/>
  <c r="F22" i="2"/>
  <c r="F22" i="3" s="1"/>
  <c r="V22" i="2"/>
  <c r="V22" i="3" s="1"/>
  <c r="Q23" i="2"/>
  <c r="Q23" i="3" s="1"/>
  <c r="L24" i="2"/>
  <c r="L24" i="3" s="1"/>
  <c r="G25" i="2"/>
  <c r="G25" i="3" s="1"/>
  <c r="W25" i="2"/>
  <c r="W25" i="3" s="1"/>
  <c r="R26" i="2"/>
  <c r="R26" i="3" s="1"/>
  <c r="M27" i="2"/>
  <c r="M27" i="3" s="1"/>
  <c r="H28" i="2"/>
  <c r="H28" i="3" s="1"/>
  <c r="X28" i="2"/>
  <c r="X28" i="3" s="1"/>
  <c r="S29" i="2"/>
  <c r="S29" i="3" s="1"/>
  <c r="N30" i="2"/>
  <c r="N30" i="3" s="1"/>
  <c r="I31" i="2"/>
  <c r="I31" i="3" s="1"/>
  <c r="Y31" i="2"/>
  <c r="Y31" i="3" s="1"/>
  <c r="T32" i="2"/>
  <c r="T32" i="3" s="1"/>
  <c r="O33" i="2"/>
  <c r="O33" i="3" s="1"/>
  <c r="J34" i="2"/>
  <c r="J34" i="3" s="1"/>
  <c r="Z34" i="2"/>
  <c r="Z34" i="3" s="1"/>
  <c r="U35" i="2"/>
  <c r="U35" i="3" s="1"/>
  <c r="P36" i="2"/>
  <c r="P36" i="3" s="1"/>
  <c r="K37" i="2"/>
  <c r="K37" i="3" s="1"/>
  <c r="F38" i="2"/>
  <c r="F38" i="3" s="1"/>
  <c r="V38" i="2"/>
  <c r="V38" i="3" s="1"/>
  <c r="Q39" i="2"/>
  <c r="Q39" i="3" s="1"/>
  <c r="L40" i="2"/>
  <c r="L40" i="3" s="1"/>
  <c r="E3" i="2"/>
  <c r="E3" i="3" s="1"/>
  <c r="E19" i="2"/>
  <c r="E19" i="3" s="1"/>
  <c r="E35" i="2"/>
  <c r="E35" i="3" s="1"/>
  <c r="D13" i="2"/>
  <c r="D13" i="3" s="1"/>
  <c r="D29" i="2"/>
  <c r="D29" i="3" s="1"/>
  <c r="I7" i="2"/>
  <c r="I7" i="3" s="1"/>
  <c r="Q15" i="2"/>
  <c r="Q15" i="3" s="1"/>
  <c r="T24" i="2"/>
  <c r="T24" i="3" s="1"/>
  <c r="R34" i="2"/>
  <c r="R34" i="3" s="1"/>
  <c r="D21" i="2"/>
  <c r="D21" i="3" s="1"/>
  <c r="K10" i="2"/>
  <c r="K10" i="3" s="1"/>
  <c r="H17" i="2"/>
  <c r="H17" i="3" s="1"/>
  <c r="O22" i="2"/>
  <c r="O22" i="3" s="1"/>
  <c r="W30" i="2"/>
  <c r="W30" i="3" s="1"/>
  <c r="E28" i="2"/>
  <c r="E28" i="3" s="1"/>
  <c r="L23" i="2"/>
  <c r="L23" i="3" s="1"/>
  <c r="O32" i="2"/>
  <c r="O32" i="3" s="1"/>
  <c r="E30" i="2"/>
  <c r="E30" i="3" s="1"/>
  <c r="K2" i="2"/>
  <c r="K2" i="3" s="1"/>
  <c r="F3" i="2"/>
  <c r="F3" i="3" s="1"/>
  <c r="V3" i="2"/>
  <c r="V3" i="3" s="1"/>
  <c r="Q4" i="2"/>
  <c r="Q4" i="3" s="1"/>
  <c r="L5" i="2"/>
  <c r="L5" i="3" s="1"/>
  <c r="G6" i="2"/>
  <c r="G6" i="3" s="1"/>
  <c r="W6" i="2"/>
  <c r="W6" i="3" s="1"/>
  <c r="R7" i="2"/>
  <c r="R7" i="3" s="1"/>
  <c r="M8" i="2"/>
  <c r="M8" i="3" s="1"/>
  <c r="H9" i="2"/>
  <c r="H9" i="3" s="1"/>
  <c r="X9" i="2"/>
  <c r="X9" i="3" s="1"/>
  <c r="S10" i="2"/>
  <c r="S10" i="3" s="1"/>
  <c r="N11" i="2"/>
  <c r="N11" i="3" s="1"/>
  <c r="I12" i="2"/>
  <c r="I12" i="3" s="1"/>
  <c r="Y12" i="2"/>
  <c r="Y12" i="3" s="1"/>
  <c r="T13" i="2"/>
  <c r="T13" i="3" s="1"/>
  <c r="O14" i="2"/>
  <c r="O14" i="3" s="1"/>
  <c r="J15" i="2"/>
  <c r="J15" i="3" s="1"/>
  <c r="Z15" i="2"/>
  <c r="Z15" i="3" s="1"/>
  <c r="U16" i="2"/>
  <c r="U16" i="3" s="1"/>
  <c r="P17" i="2"/>
  <c r="P17" i="3" s="1"/>
  <c r="K18" i="2"/>
  <c r="K18" i="3" s="1"/>
  <c r="F19" i="2"/>
  <c r="F19" i="3" s="1"/>
  <c r="V19" i="2"/>
  <c r="V19" i="3" s="1"/>
  <c r="Q20" i="2"/>
  <c r="Q20" i="3" s="1"/>
  <c r="L21" i="2"/>
  <c r="L21" i="3" s="1"/>
  <c r="G22" i="2"/>
  <c r="G22" i="3" s="1"/>
  <c r="W22" i="2"/>
  <c r="W22" i="3" s="1"/>
  <c r="R23" i="2"/>
  <c r="R23" i="3" s="1"/>
  <c r="M24" i="2"/>
  <c r="M24" i="3" s="1"/>
  <c r="H25" i="2"/>
  <c r="H25" i="3" s="1"/>
  <c r="X25" i="2"/>
  <c r="X25" i="3" s="1"/>
  <c r="S26" i="2"/>
  <c r="S26" i="3" s="1"/>
  <c r="N27" i="2"/>
  <c r="N27" i="3" s="1"/>
  <c r="I28" i="2"/>
  <c r="I28" i="3" s="1"/>
  <c r="Y28" i="2"/>
  <c r="Y28" i="3" s="1"/>
  <c r="T29" i="2"/>
  <c r="T29" i="3" s="1"/>
  <c r="O30" i="2"/>
  <c r="O30" i="3" s="1"/>
  <c r="J31" i="2"/>
  <c r="J31" i="3" s="1"/>
  <c r="Z31" i="2"/>
  <c r="Z31" i="3" s="1"/>
  <c r="U32" i="2"/>
  <c r="U32" i="3" s="1"/>
  <c r="P33" i="2"/>
  <c r="P33" i="3" s="1"/>
  <c r="K34" i="2"/>
  <c r="K34" i="3" s="1"/>
  <c r="F35" i="2"/>
  <c r="F35" i="3" s="1"/>
  <c r="V35" i="2"/>
  <c r="V35" i="3" s="1"/>
  <c r="Q36" i="2"/>
  <c r="Q36" i="3" s="1"/>
  <c r="L37" i="2"/>
  <c r="L37" i="3" s="1"/>
  <c r="G38" i="2"/>
  <c r="G38" i="3" s="1"/>
  <c r="W38" i="2"/>
  <c r="W38" i="3" s="1"/>
  <c r="R39" i="2"/>
  <c r="R39" i="3" s="1"/>
  <c r="M40" i="2"/>
  <c r="M40" i="3" s="1"/>
  <c r="E4" i="2"/>
  <c r="E4" i="3" s="1"/>
  <c r="E20" i="2"/>
  <c r="E20" i="3" s="1"/>
  <c r="E36" i="2"/>
  <c r="E36" i="3" s="1"/>
  <c r="D14" i="2"/>
  <c r="D14" i="3" s="1"/>
  <c r="D30" i="2"/>
  <c r="D30" i="3" s="1"/>
  <c r="N6" i="2"/>
  <c r="N6" i="3" s="1"/>
  <c r="F14" i="2"/>
  <c r="F14" i="3" s="1"/>
  <c r="X20" i="2"/>
  <c r="X20" i="3" s="1"/>
  <c r="F30" i="2"/>
  <c r="F30" i="3" s="1"/>
  <c r="I39" i="2"/>
  <c r="I39" i="3" s="1"/>
  <c r="I4" i="2"/>
  <c r="I4" i="3" s="1"/>
  <c r="V11" i="2"/>
  <c r="V11" i="3" s="1"/>
  <c r="J23" i="2"/>
  <c r="J23" i="3" s="1"/>
  <c r="M32" i="2"/>
  <c r="M32" i="3" s="1"/>
  <c r="U40" i="2"/>
  <c r="U40" i="3" s="1"/>
  <c r="V21" i="2"/>
  <c r="V21" i="3" s="1"/>
  <c r="Z33" i="2"/>
  <c r="Z33" i="3" s="1"/>
  <c r="L2" i="2"/>
  <c r="L2" i="3" s="1"/>
  <c r="G3" i="2"/>
  <c r="G3" i="3" s="1"/>
  <c r="W3" i="2"/>
  <c r="W3" i="3" s="1"/>
  <c r="R4" i="2"/>
  <c r="R4" i="3" s="1"/>
  <c r="M5" i="2"/>
  <c r="M5" i="3" s="1"/>
  <c r="H6" i="2"/>
  <c r="H6" i="3" s="1"/>
  <c r="X6" i="2"/>
  <c r="X6" i="3" s="1"/>
  <c r="S7" i="2"/>
  <c r="S7" i="3" s="1"/>
  <c r="N8" i="2"/>
  <c r="N8" i="3" s="1"/>
  <c r="I9" i="2"/>
  <c r="I9" i="3" s="1"/>
  <c r="Y9" i="2"/>
  <c r="Y9" i="3" s="1"/>
  <c r="T10" i="2"/>
  <c r="T10" i="3" s="1"/>
  <c r="O11" i="2"/>
  <c r="O11" i="3" s="1"/>
  <c r="J12" i="2"/>
  <c r="J12" i="3" s="1"/>
  <c r="Z12" i="2"/>
  <c r="Z12" i="3" s="1"/>
  <c r="U13" i="2"/>
  <c r="U13" i="3" s="1"/>
  <c r="P14" i="2"/>
  <c r="P14" i="3" s="1"/>
  <c r="K15" i="2"/>
  <c r="K15" i="3" s="1"/>
  <c r="F16" i="2"/>
  <c r="F16" i="3" s="1"/>
  <c r="V16" i="2"/>
  <c r="V16" i="3" s="1"/>
  <c r="Q17" i="2"/>
  <c r="Q17" i="3" s="1"/>
  <c r="L18" i="2"/>
  <c r="L18" i="3" s="1"/>
  <c r="G19" i="2"/>
  <c r="G19" i="3" s="1"/>
  <c r="W19" i="2"/>
  <c r="W19" i="3" s="1"/>
  <c r="R20" i="2"/>
  <c r="R20" i="3" s="1"/>
  <c r="M21" i="2"/>
  <c r="M21" i="3" s="1"/>
  <c r="H22" i="2"/>
  <c r="H22" i="3" s="1"/>
  <c r="X22" i="2"/>
  <c r="X22" i="3" s="1"/>
  <c r="S23" i="2"/>
  <c r="S23" i="3" s="1"/>
  <c r="N24" i="2"/>
  <c r="N24" i="3" s="1"/>
  <c r="I25" i="2"/>
  <c r="I25" i="3" s="1"/>
  <c r="Y25" i="2"/>
  <c r="Y25" i="3" s="1"/>
  <c r="T26" i="2"/>
  <c r="T26" i="3" s="1"/>
  <c r="O27" i="2"/>
  <c r="O27" i="3" s="1"/>
  <c r="J28" i="2"/>
  <c r="J28" i="3" s="1"/>
  <c r="Z28" i="2"/>
  <c r="Z28" i="3" s="1"/>
  <c r="U29" i="2"/>
  <c r="U29" i="3" s="1"/>
  <c r="P30" i="2"/>
  <c r="P30" i="3" s="1"/>
  <c r="K31" i="2"/>
  <c r="K31" i="3" s="1"/>
  <c r="F32" i="2"/>
  <c r="F32" i="3" s="1"/>
  <c r="V32" i="2"/>
  <c r="V32" i="3" s="1"/>
  <c r="Q33" i="2"/>
  <c r="Q33" i="3" s="1"/>
  <c r="L34" i="2"/>
  <c r="L34" i="3" s="1"/>
  <c r="G35" i="2"/>
  <c r="G35" i="3" s="1"/>
  <c r="W35" i="2"/>
  <c r="W35" i="3" s="1"/>
  <c r="R36" i="2"/>
  <c r="R36" i="3" s="1"/>
  <c r="M37" i="2"/>
  <c r="M37" i="3" s="1"/>
  <c r="H38" i="2"/>
  <c r="H38" i="3" s="1"/>
  <c r="X38" i="2"/>
  <c r="X38" i="3" s="1"/>
  <c r="S39" i="2"/>
  <c r="S39" i="3" s="1"/>
  <c r="N40" i="2"/>
  <c r="N40" i="3" s="1"/>
  <c r="E5" i="2"/>
  <c r="E5" i="3" s="1"/>
  <c r="E21" i="2"/>
  <c r="E21" i="3" s="1"/>
  <c r="E37" i="2"/>
  <c r="E37" i="3" s="1"/>
  <c r="D15" i="2"/>
  <c r="D15" i="3" s="1"/>
  <c r="D31" i="2"/>
  <c r="D31" i="3" s="1"/>
  <c r="T8" i="2"/>
  <c r="T8" i="3" s="1"/>
  <c r="M19" i="2"/>
  <c r="M19" i="3" s="1"/>
  <c r="P28" i="2"/>
  <c r="P28" i="3" s="1"/>
  <c r="X36" i="2"/>
  <c r="X36" i="3" s="1"/>
  <c r="T5" i="2"/>
  <c r="T5" i="3" s="1"/>
  <c r="W14" i="2"/>
  <c r="W14" i="3" s="1"/>
  <c r="F27" i="2"/>
  <c r="F27" i="3" s="1"/>
  <c r="X33" i="2"/>
  <c r="X33" i="3" s="1"/>
  <c r="D6" i="2"/>
  <c r="D6" i="3" s="1"/>
  <c r="R25" i="2"/>
  <c r="R25" i="3" s="1"/>
  <c r="U34" i="2"/>
  <c r="U34" i="3" s="1"/>
  <c r="D24" i="2"/>
  <c r="D24" i="3" s="1"/>
  <c r="M2" i="2"/>
  <c r="M2" i="3" s="1"/>
  <c r="H3" i="2"/>
  <c r="H3" i="3" s="1"/>
  <c r="X3" i="2"/>
  <c r="X3" i="3" s="1"/>
  <c r="S4" i="2"/>
  <c r="S4" i="3" s="1"/>
  <c r="N5" i="2"/>
  <c r="N5" i="3" s="1"/>
  <c r="I6" i="2"/>
  <c r="I6" i="3" s="1"/>
  <c r="Y6" i="2"/>
  <c r="Y6" i="3" s="1"/>
  <c r="T7" i="2"/>
  <c r="T7" i="3" s="1"/>
  <c r="O8" i="2"/>
  <c r="O8" i="3" s="1"/>
  <c r="J9" i="2"/>
  <c r="J9" i="3" s="1"/>
  <c r="Z9" i="2"/>
  <c r="Z9" i="3" s="1"/>
  <c r="U10" i="2"/>
  <c r="U10" i="3" s="1"/>
  <c r="P11" i="2"/>
  <c r="P11" i="3" s="1"/>
  <c r="K12" i="2"/>
  <c r="K12" i="3" s="1"/>
  <c r="F13" i="2"/>
  <c r="F13" i="3" s="1"/>
  <c r="V13" i="2"/>
  <c r="V13" i="3" s="1"/>
  <c r="Q14" i="2"/>
  <c r="Q14" i="3" s="1"/>
  <c r="L15" i="2"/>
  <c r="L15" i="3" s="1"/>
  <c r="G16" i="2"/>
  <c r="G16" i="3" s="1"/>
  <c r="W16" i="2"/>
  <c r="W16" i="3" s="1"/>
  <c r="R17" i="2"/>
  <c r="R17" i="3" s="1"/>
  <c r="M18" i="2"/>
  <c r="M18" i="3" s="1"/>
  <c r="H19" i="2"/>
  <c r="H19" i="3" s="1"/>
  <c r="X19" i="2"/>
  <c r="X19" i="3" s="1"/>
  <c r="S20" i="2"/>
  <c r="S20" i="3" s="1"/>
  <c r="N21" i="2"/>
  <c r="N21" i="3" s="1"/>
  <c r="I22" i="2"/>
  <c r="I22" i="3" s="1"/>
  <c r="Y22" i="2"/>
  <c r="Y22" i="3" s="1"/>
  <c r="T23" i="2"/>
  <c r="T23" i="3" s="1"/>
  <c r="O24" i="2"/>
  <c r="O24" i="3" s="1"/>
  <c r="J25" i="2"/>
  <c r="J25" i="3" s="1"/>
  <c r="Z25" i="2"/>
  <c r="Z25" i="3" s="1"/>
  <c r="U26" i="2"/>
  <c r="U26" i="3" s="1"/>
  <c r="P27" i="2"/>
  <c r="P27" i="3" s="1"/>
  <c r="K28" i="2"/>
  <c r="K28" i="3" s="1"/>
  <c r="F29" i="2"/>
  <c r="F29" i="3" s="1"/>
  <c r="V29" i="2"/>
  <c r="V29" i="3" s="1"/>
  <c r="Q30" i="2"/>
  <c r="Q30" i="3" s="1"/>
  <c r="L31" i="2"/>
  <c r="L31" i="3" s="1"/>
  <c r="G32" i="2"/>
  <c r="G32" i="3" s="1"/>
  <c r="W32" i="2"/>
  <c r="W32" i="3" s="1"/>
  <c r="R33" i="2"/>
  <c r="R33" i="3" s="1"/>
  <c r="M34" i="2"/>
  <c r="M34" i="3" s="1"/>
  <c r="H35" i="2"/>
  <c r="H35" i="3" s="1"/>
  <c r="X35" i="2"/>
  <c r="X35" i="3" s="1"/>
  <c r="S36" i="2"/>
  <c r="S36" i="3" s="1"/>
  <c r="N37" i="2"/>
  <c r="N37" i="3" s="1"/>
  <c r="I38" i="2"/>
  <c r="I38" i="3" s="1"/>
  <c r="Y38" i="2"/>
  <c r="Y38" i="3" s="1"/>
  <c r="T39" i="2"/>
  <c r="T39" i="3" s="1"/>
  <c r="O40" i="2"/>
  <c r="O40" i="3" s="1"/>
  <c r="E6" i="2"/>
  <c r="E6" i="3" s="1"/>
  <c r="E22" i="2"/>
  <c r="E22" i="3" s="1"/>
  <c r="E38" i="2"/>
  <c r="E38" i="3" s="1"/>
  <c r="D16" i="2"/>
  <c r="D16" i="3" s="1"/>
  <c r="D32" i="2"/>
  <c r="D32" i="3" s="1"/>
  <c r="H4" i="2"/>
  <c r="H4" i="3" s="1"/>
  <c r="P12" i="2"/>
  <c r="P12" i="3" s="1"/>
  <c r="I23" i="2"/>
  <c r="I23" i="3" s="1"/>
  <c r="V30" i="2"/>
  <c r="V30" i="3" s="1"/>
  <c r="E27" i="2"/>
  <c r="E27" i="3" s="1"/>
  <c r="J7" i="2"/>
  <c r="J7" i="3" s="1"/>
  <c r="M16" i="2"/>
  <c r="M16" i="3" s="1"/>
  <c r="U24" i="2"/>
  <c r="U24" i="3" s="1"/>
  <c r="S34" i="2"/>
  <c r="S34" i="3" s="1"/>
  <c r="O16" i="2"/>
  <c r="O16" i="3" s="1"/>
  <c r="H27" i="2"/>
  <c r="H27" i="3" s="1"/>
  <c r="K36" i="2"/>
  <c r="K36" i="3" s="1"/>
  <c r="N2" i="2"/>
  <c r="N2" i="3" s="1"/>
  <c r="I3" i="2"/>
  <c r="I3" i="3" s="1"/>
  <c r="Y3" i="2"/>
  <c r="Y3" i="3" s="1"/>
  <c r="T4" i="2"/>
  <c r="T4" i="3" s="1"/>
  <c r="O5" i="2"/>
  <c r="O5" i="3" s="1"/>
  <c r="J6" i="2"/>
  <c r="J6" i="3" s="1"/>
  <c r="Z6" i="2"/>
  <c r="Z6" i="3" s="1"/>
  <c r="U7" i="2"/>
  <c r="U7" i="3" s="1"/>
  <c r="P8" i="2"/>
  <c r="P8" i="3" s="1"/>
  <c r="K9" i="2"/>
  <c r="K9" i="3" s="1"/>
  <c r="F10" i="2"/>
  <c r="F10" i="3" s="1"/>
  <c r="V10" i="2"/>
  <c r="V10" i="3" s="1"/>
  <c r="Q11" i="2"/>
  <c r="Q11" i="3" s="1"/>
  <c r="L12" i="2"/>
  <c r="L12" i="3" s="1"/>
  <c r="G13" i="2"/>
  <c r="G13" i="3" s="1"/>
  <c r="W13" i="2"/>
  <c r="W13" i="3" s="1"/>
  <c r="R14" i="2"/>
  <c r="R14" i="3" s="1"/>
  <c r="M15" i="2"/>
  <c r="M15" i="3" s="1"/>
  <c r="H16" i="2"/>
  <c r="H16" i="3" s="1"/>
  <c r="X16" i="2"/>
  <c r="X16" i="3" s="1"/>
  <c r="S17" i="2"/>
  <c r="S17" i="3" s="1"/>
  <c r="N18" i="2"/>
  <c r="N18" i="3" s="1"/>
  <c r="I19" i="2"/>
  <c r="I19" i="3" s="1"/>
  <c r="Y19" i="2"/>
  <c r="Y19" i="3" s="1"/>
  <c r="T20" i="2"/>
  <c r="T20" i="3" s="1"/>
  <c r="O21" i="2"/>
  <c r="O21" i="3" s="1"/>
  <c r="J22" i="2"/>
  <c r="J22" i="3" s="1"/>
  <c r="Z22" i="2"/>
  <c r="Z22" i="3" s="1"/>
  <c r="U23" i="2"/>
  <c r="U23" i="3" s="1"/>
  <c r="P24" i="2"/>
  <c r="P24" i="3" s="1"/>
  <c r="K25" i="2"/>
  <c r="K25" i="3" s="1"/>
  <c r="F26" i="2"/>
  <c r="F26" i="3" s="1"/>
  <c r="V26" i="2"/>
  <c r="V26" i="3" s="1"/>
  <c r="Q27" i="2"/>
  <c r="Q27" i="3" s="1"/>
  <c r="L28" i="2"/>
  <c r="L28" i="3" s="1"/>
  <c r="G29" i="2"/>
  <c r="G29" i="3" s="1"/>
  <c r="W29" i="2"/>
  <c r="W29" i="3" s="1"/>
  <c r="R30" i="2"/>
  <c r="R30" i="3" s="1"/>
  <c r="M31" i="2"/>
  <c r="M31" i="3" s="1"/>
  <c r="H32" i="2"/>
  <c r="H32" i="3" s="1"/>
  <c r="X32" i="2"/>
  <c r="X32" i="3" s="1"/>
  <c r="S33" i="2"/>
  <c r="S33" i="3" s="1"/>
  <c r="N34" i="2"/>
  <c r="N34" i="3" s="1"/>
  <c r="I35" i="2"/>
  <c r="I35" i="3" s="1"/>
  <c r="Y35" i="2"/>
  <c r="Y35" i="3" s="1"/>
  <c r="T36" i="2"/>
  <c r="T36" i="3" s="1"/>
  <c r="O37" i="2"/>
  <c r="O37" i="3" s="1"/>
  <c r="J38" i="2"/>
  <c r="J38" i="3" s="1"/>
  <c r="Z38" i="2"/>
  <c r="Z38" i="3" s="1"/>
  <c r="U39" i="2"/>
  <c r="U39" i="3" s="1"/>
  <c r="P40" i="2"/>
  <c r="P40" i="3" s="1"/>
  <c r="E7" i="2"/>
  <c r="E7" i="3" s="1"/>
  <c r="E23" i="2"/>
  <c r="E23" i="3" s="1"/>
  <c r="E39" i="2"/>
  <c r="E39" i="3" s="1"/>
  <c r="D17" i="2"/>
  <c r="D17" i="3" s="1"/>
  <c r="D33" i="2"/>
  <c r="D33" i="3" s="1"/>
  <c r="X4" i="2"/>
  <c r="X4" i="3" s="1"/>
  <c r="V14" i="2"/>
  <c r="V14" i="3" s="1"/>
  <c r="J26" i="2"/>
  <c r="J26" i="3" s="1"/>
  <c r="M35" i="2"/>
  <c r="M35" i="3" s="1"/>
  <c r="D5" i="2"/>
  <c r="D5" i="3" s="1"/>
  <c r="Z7" i="2"/>
  <c r="Z7" i="3" s="1"/>
  <c r="N19" i="2"/>
  <c r="N19" i="3" s="1"/>
  <c r="Q28" i="2"/>
  <c r="Q28" i="3" s="1"/>
  <c r="T37" i="2"/>
  <c r="T37" i="3" s="1"/>
  <c r="Z17" i="2"/>
  <c r="Z17" i="3" s="1"/>
  <c r="Y30" i="2"/>
  <c r="Y30" i="3" s="1"/>
  <c r="E14" i="2"/>
  <c r="E14" i="3" s="1"/>
  <c r="O2" i="2"/>
  <c r="O2" i="3" s="1"/>
  <c r="J3" i="2"/>
  <c r="J3" i="3" s="1"/>
  <c r="Z3" i="2"/>
  <c r="Z3" i="3" s="1"/>
  <c r="U4" i="2"/>
  <c r="U4" i="3" s="1"/>
  <c r="P5" i="2"/>
  <c r="P5" i="3" s="1"/>
  <c r="K6" i="2"/>
  <c r="K6" i="3" s="1"/>
  <c r="F7" i="2"/>
  <c r="F7" i="3" s="1"/>
  <c r="V7" i="2"/>
  <c r="V7" i="3" s="1"/>
  <c r="Q8" i="2"/>
  <c r="Q8" i="3" s="1"/>
  <c r="L9" i="2"/>
  <c r="L9" i="3" s="1"/>
  <c r="G10" i="2"/>
  <c r="G10" i="3" s="1"/>
  <c r="W10" i="2"/>
  <c r="W10" i="3" s="1"/>
  <c r="R11" i="2"/>
  <c r="R11" i="3" s="1"/>
  <c r="M12" i="2"/>
  <c r="M12" i="3" s="1"/>
  <c r="H13" i="2"/>
  <c r="H13" i="3" s="1"/>
  <c r="X13" i="2"/>
  <c r="X13" i="3" s="1"/>
  <c r="S14" i="2"/>
  <c r="S14" i="3" s="1"/>
  <c r="N15" i="2"/>
  <c r="N15" i="3" s="1"/>
  <c r="I16" i="2"/>
  <c r="I16" i="3" s="1"/>
  <c r="Y16" i="2"/>
  <c r="Y16" i="3" s="1"/>
  <c r="T17" i="2"/>
  <c r="T17" i="3" s="1"/>
  <c r="O18" i="2"/>
  <c r="O18" i="3" s="1"/>
  <c r="J19" i="2"/>
  <c r="J19" i="3" s="1"/>
  <c r="Z19" i="2"/>
  <c r="Z19" i="3" s="1"/>
  <c r="U20" i="2"/>
  <c r="U20" i="3" s="1"/>
  <c r="P21" i="2"/>
  <c r="P21" i="3" s="1"/>
  <c r="K22" i="2"/>
  <c r="K22" i="3" s="1"/>
  <c r="F23" i="2"/>
  <c r="F23" i="3" s="1"/>
  <c r="V23" i="2"/>
  <c r="V23" i="3" s="1"/>
  <c r="Q24" i="2"/>
  <c r="Q24" i="3" s="1"/>
  <c r="L25" i="2"/>
  <c r="L25" i="3" s="1"/>
  <c r="G26" i="2"/>
  <c r="G26" i="3" s="1"/>
  <c r="W26" i="2"/>
  <c r="W26" i="3" s="1"/>
  <c r="R27" i="2"/>
  <c r="R27" i="3" s="1"/>
  <c r="M28" i="2"/>
  <c r="M28" i="3" s="1"/>
  <c r="H29" i="2"/>
  <c r="H29" i="3" s="1"/>
  <c r="X29" i="2"/>
  <c r="X29" i="3" s="1"/>
  <c r="S30" i="2"/>
  <c r="S30" i="3" s="1"/>
  <c r="N31" i="2"/>
  <c r="N31" i="3" s="1"/>
  <c r="I32" i="2"/>
  <c r="I32" i="3" s="1"/>
  <c r="Y32" i="2"/>
  <c r="Y32" i="3" s="1"/>
  <c r="T33" i="2"/>
  <c r="T33" i="3" s="1"/>
  <c r="O34" i="2"/>
  <c r="O34" i="3" s="1"/>
  <c r="J35" i="2"/>
  <c r="J35" i="3" s="1"/>
  <c r="Z35" i="2"/>
  <c r="Z35" i="3" s="1"/>
  <c r="U36" i="2"/>
  <c r="U36" i="3" s="1"/>
  <c r="P37" i="2"/>
  <c r="P37" i="3" s="1"/>
  <c r="K38" i="2"/>
  <c r="K38" i="3" s="1"/>
  <c r="F39" i="2"/>
  <c r="F39" i="3" s="1"/>
  <c r="V39" i="2"/>
  <c r="V39" i="3" s="1"/>
  <c r="Q40" i="2"/>
  <c r="Q40" i="3" s="1"/>
  <c r="E8" i="2"/>
  <c r="E8" i="3" s="1"/>
  <c r="E24" i="2"/>
  <c r="E24" i="3" s="1"/>
  <c r="E40" i="2"/>
  <c r="E40" i="3" s="1"/>
  <c r="D18" i="2"/>
  <c r="D18" i="3" s="1"/>
  <c r="D34" i="2"/>
  <c r="D34" i="3" s="1"/>
  <c r="S5" i="2"/>
  <c r="S5" i="3" s="1"/>
  <c r="G17" i="2"/>
  <c r="G17" i="3" s="1"/>
  <c r="O25" i="2"/>
  <c r="O25" i="3" s="1"/>
  <c r="W33" i="2"/>
  <c r="W33" i="3" s="1"/>
  <c r="D37" i="2"/>
  <c r="D37" i="3" s="1"/>
  <c r="U8" i="2"/>
  <c r="U8" i="3" s="1"/>
  <c r="I20" i="2"/>
  <c r="I20" i="3" s="1"/>
  <c r="K26" i="2"/>
  <c r="K26" i="3" s="1"/>
  <c r="H33" i="2"/>
  <c r="H33" i="3" s="1"/>
  <c r="Z39" i="2"/>
  <c r="Z39" i="3" s="1"/>
  <c r="Q22" i="2"/>
  <c r="Q22" i="3" s="1"/>
  <c r="P35" i="2"/>
  <c r="P35" i="3" s="1"/>
  <c r="D40" i="2"/>
  <c r="D40" i="3" s="1"/>
  <c r="P2" i="2"/>
  <c r="P2" i="3" s="1"/>
  <c r="K3" i="2"/>
  <c r="K3" i="3" s="1"/>
  <c r="F4" i="2"/>
  <c r="F4" i="3" s="1"/>
  <c r="V4" i="2"/>
  <c r="V4" i="3" s="1"/>
  <c r="Q5" i="2"/>
  <c r="Q5" i="3" s="1"/>
  <c r="L6" i="2"/>
  <c r="L6" i="3" s="1"/>
  <c r="G7" i="2"/>
  <c r="G7" i="3" s="1"/>
  <c r="W7" i="2"/>
  <c r="W7" i="3" s="1"/>
  <c r="R8" i="2"/>
  <c r="R8" i="3" s="1"/>
  <c r="M9" i="2"/>
  <c r="M9" i="3" s="1"/>
  <c r="H10" i="2"/>
  <c r="H10" i="3" s="1"/>
  <c r="X10" i="2"/>
  <c r="X10" i="3" s="1"/>
  <c r="S11" i="2"/>
  <c r="S11" i="3" s="1"/>
  <c r="N12" i="2"/>
  <c r="N12" i="3" s="1"/>
  <c r="I13" i="2"/>
  <c r="I13" i="3" s="1"/>
  <c r="Y13" i="2"/>
  <c r="Y13" i="3" s="1"/>
  <c r="T14" i="2"/>
  <c r="T14" i="3" s="1"/>
  <c r="O15" i="2"/>
  <c r="O15" i="3" s="1"/>
  <c r="J16" i="2"/>
  <c r="J16" i="3" s="1"/>
  <c r="Z16" i="2"/>
  <c r="Z16" i="3" s="1"/>
  <c r="U17" i="2"/>
  <c r="U17" i="3" s="1"/>
  <c r="P18" i="2"/>
  <c r="P18" i="3" s="1"/>
  <c r="K19" i="2"/>
  <c r="K19" i="3" s="1"/>
  <c r="F20" i="2"/>
  <c r="F20" i="3" s="1"/>
  <c r="V20" i="2"/>
  <c r="V20" i="3" s="1"/>
  <c r="Q21" i="2"/>
  <c r="Q21" i="3" s="1"/>
  <c r="L22" i="2"/>
  <c r="L22" i="3" s="1"/>
  <c r="G23" i="2"/>
  <c r="G23" i="3" s="1"/>
  <c r="W23" i="2"/>
  <c r="W23" i="3" s="1"/>
  <c r="R24" i="2"/>
  <c r="R24" i="3" s="1"/>
  <c r="M25" i="2"/>
  <c r="M25" i="3" s="1"/>
  <c r="H26" i="2"/>
  <c r="H26" i="3" s="1"/>
  <c r="X26" i="2"/>
  <c r="X26" i="3" s="1"/>
  <c r="S27" i="2"/>
  <c r="S27" i="3" s="1"/>
  <c r="N28" i="2"/>
  <c r="N28" i="3" s="1"/>
  <c r="I29" i="2"/>
  <c r="I29" i="3" s="1"/>
  <c r="Y29" i="2"/>
  <c r="Y29" i="3" s="1"/>
  <c r="T30" i="2"/>
  <c r="T30" i="3" s="1"/>
  <c r="O31" i="2"/>
  <c r="O31" i="3" s="1"/>
  <c r="J32" i="2"/>
  <c r="J32" i="3" s="1"/>
  <c r="Z32" i="2"/>
  <c r="Z32" i="3" s="1"/>
  <c r="U33" i="2"/>
  <c r="U33" i="3" s="1"/>
  <c r="P34" i="2"/>
  <c r="P34" i="3" s="1"/>
  <c r="K35" i="2"/>
  <c r="K35" i="3" s="1"/>
  <c r="F36" i="2"/>
  <c r="F36" i="3" s="1"/>
  <c r="V36" i="2"/>
  <c r="V36" i="3" s="1"/>
  <c r="Q37" i="2"/>
  <c r="Q37" i="3" s="1"/>
  <c r="L38" i="2"/>
  <c r="L38" i="3" s="1"/>
  <c r="G39" i="2"/>
  <c r="G39" i="3" s="1"/>
  <c r="W39" i="2"/>
  <c r="W39" i="3" s="1"/>
  <c r="R40" i="2"/>
  <c r="R40" i="3" s="1"/>
  <c r="E9" i="2"/>
  <c r="E9" i="3" s="1"/>
  <c r="E25" i="2"/>
  <c r="E25" i="3" s="1"/>
  <c r="D3" i="2"/>
  <c r="D3" i="3" s="1"/>
  <c r="D19" i="2"/>
  <c r="D19" i="3" s="1"/>
  <c r="D35" i="2"/>
  <c r="D35" i="3" s="1"/>
  <c r="D36" i="2"/>
  <c r="D36" i="3" s="1"/>
  <c r="R2" i="2"/>
  <c r="R2" i="3" s="1"/>
  <c r="K13" i="2"/>
  <c r="K13" i="3" s="1"/>
  <c r="N22" i="2"/>
  <c r="N22" i="3" s="1"/>
  <c r="Q31" i="2"/>
  <c r="Q31" i="3" s="1"/>
  <c r="E11" i="2"/>
  <c r="E11" i="3" s="1"/>
  <c r="O6" i="2"/>
  <c r="O6" i="3" s="1"/>
  <c r="R15" i="2"/>
  <c r="R15" i="3" s="1"/>
  <c r="P25" i="2"/>
  <c r="P25" i="3" s="1"/>
  <c r="N35" i="2"/>
  <c r="N35" i="3" s="1"/>
  <c r="D38" i="2"/>
  <c r="D38" i="3" s="1"/>
  <c r="F21" i="2"/>
  <c r="F21" i="3" s="1"/>
  <c r="N29" i="2"/>
  <c r="N29" i="3" s="1"/>
  <c r="V37" i="2"/>
  <c r="V37" i="3" s="1"/>
  <c r="Q2" i="2"/>
  <c r="Q2" i="3" s="1"/>
  <c r="L3" i="2"/>
  <c r="L3" i="3" s="1"/>
  <c r="G4" i="2"/>
  <c r="G4" i="3" s="1"/>
  <c r="W4" i="2"/>
  <c r="W4" i="3" s="1"/>
  <c r="R5" i="2"/>
  <c r="R5" i="3" s="1"/>
  <c r="M6" i="2"/>
  <c r="M6" i="3" s="1"/>
  <c r="H7" i="2"/>
  <c r="H7" i="3" s="1"/>
  <c r="X7" i="2"/>
  <c r="X7" i="3" s="1"/>
  <c r="S8" i="2"/>
  <c r="S8" i="3" s="1"/>
  <c r="N9" i="2"/>
  <c r="N9" i="3" s="1"/>
  <c r="I10" i="2"/>
  <c r="I10" i="3" s="1"/>
  <c r="Y10" i="2"/>
  <c r="Y10" i="3" s="1"/>
  <c r="T11" i="2"/>
  <c r="T11" i="3" s="1"/>
  <c r="O12" i="2"/>
  <c r="O12" i="3" s="1"/>
  <c r="J13" i="2"/>
  <c r="J13" i="3" s="1"/>
  <c r="Z13" i="2"/>
  <c r="Z13" i="3" s="1"/>
  <c r="U14" i="2"/>
  <c r="U14" i="3" s="1"/>
  <c r="P15" i="2"/>
  <c r="P15" i="3" s="1"/>
  <c r="K16" i="2"/>
  <c r="K16" i="3" s="1"/>
  <c r="F17" i="2"/>
  <c r="F17" i="3" s="1"/>
  <c r="V17" i="2"/>
  <c r="V17" i="3" s="1"/>
  <c r="Q18" i="2"/>
  <c r="Q18" i="3" s="1"/>
  <c r="L19" i="2"/>
  <c r="L19" i="3" s="1"/>
  <c r="G20" i="2"/>
  <c r="G20" i="3" s="1"/>
  <c r="W20" i="2"/>
  <c r="W20" i="3" s="1"/>
  <c r="R21" i="2"/>
  <c r="R21" i="3" s="1"/>
  <c r="M22" i="2"/>
  <c r="M22" i="3" s="1"/>
  <c r="H23" i="2"/>
  <c r="H23" i="3" s="1"/>
  <c r="X23" i="2"/>
  <c r="X23" i="3" s="1"/>
  <c r="S24" i="2"/>
  <c r="S24" i="3" s="1"/>
  <c r="N25" i="2"/>
  <c r="N25" i="3" s="1"/>
  <c r="I26" i="2"/>
  <c r="I26" i="3" s="1"/>
  <c r="Y26" i="2"/>
  <c r="Y26" i="3" s="1"/>
  <c r="T27" i="2"/>
  <c r="T27" i="3" s="1"/>
  <c r="O28" i="2"/>
  <c r="O28" i="3" s="1"/>
  <c r="J29" i="2"/>
  <c r="J29" i="3" s="1"/>
  <c r="Z29" i="2"/>
  <c r="Z29" i="3" s="1"/>
  <c r="U30" i="2"/>
  <c r="U30" i="3" s="1"/>
  <c r="P31" i="2"/>
  <c r="P31" i="3" s="1"/>
  <c r="K32" i="2"/>
  <c r="K32" i="3" s="1"/>
  <c r="F33" i="2"/>
  <c r="F33" i="3" s="1"/>
  <c r="V33" i="2"/>
  <c r="V33" i="3" s="1"/>
  <c r="Q34" i="2"/>
  <c r="Q34" i="3" s="1"/>
  <c r="L35" i="2"/>
  <c r="L35" i="3" s="1"/>
  <c r="G36" i="2"/>
  <c r="G36" i="3" s="1"/>
  <c r="W36" i="2"/>
  <c r="W36" i="3" s="1"/>
  <c r="R37" i="2"/>
  <c r="R37" i="3" s="1"/>
  <c r="M38" i="2"/>
  <c r="M38" i="3" s="1"/>
  <c r="H39" i="2"/>
  <c r="H39" i="3" s="1"/>
  <c r="X39" i="2"/>
  <c r="X39" i="3" s="1"/>
  <c r="S40" i="2"/>
  <c r="S40" i="3" s="1"/>
  <c r="E10" i="2"/>
  <c r="E10" i="3" s="1"/>
  <c r="E26" i="2"/>
  <c r="E26" i="3" s="1"/>
  <c r="D4" i="2"/>
  <c r="D4" i="3" s="1"/>
  <c r="D20" i="2"/>
  <c r="D20" i="3" s="1"/>
  <c r="M3" i="2"/>
  <c r="M3" i="3" s="1"/>
  <c r="U11" i="2"/>
  <c r="U11" i="3" s="1"/>
  <c r="S21" i="2"/>
  <c r="S21" i="3" s="1"/>
  <c r="L32" i="2"/>
  <c r="L32" i="3" s="1"/>
  <c r="T40" i="2"/>
  <c r="T40" i="3" s="1"/>
  <c r="P9" i="2"/>
  <c r="P9" i="3" s="1"/>
  <c r="S18" i="2"/>
  <c r="S18" i="3" s="1"/>
  <c r="V27" i="2"/>
  <c r="V27" i="3" s="1"/>
  <c r="O38" i="2"/>
  <c r="O38" i="3" s="1"/>
  <c r="P19" i="2"/>
  <c r="P19" i="3" s="1"/>
  <c r="X27" i="2"/>
  <c r="X27" i="3" s="1"/>
  <c r="L39" i="2"/>
  <c r="L39" i="3" s="1"/>
  <c r="T2" i="2"/>
  <c r="T2" i="3" s="1"/>
  <c r="O3" i="2"/>
  <c r="O3" i="3" s="1"/>
  <c r="J4" i="2"/>
  <c r="J4" i="3" s="1"/>
  <c r="Z4" i="2"/>
  <c r="Z4" i="3" s="1"/>
  <c r="U5" i="2"/>
  <c r="U5" i="3" s="1"/>
  <c r="P6" i="2"/>
  <c r="P6" i="3" s="1"/>
  <c r="K7" i="2"/>
  <c r="K7" i="3" s="1"/>
  <c r="F8" i="2"/>
  <c r="F8" i="3" s="1"/>
  <c r="V8" i="2"/>
  <c r="V8" i="3" s="1"/>
  <c r="Q9" i="2"/>
  <c r="Q9" i="3" s="1"/>
  <c r="L10" i="2"/>
  <c r="L10" i="3" s="1"/>
  <c r="G11" i="2"/>
  <c r="G11" i="3" s="1"/>
  <c r="W11" i="2"/>
  <c r="W11" i="3" s="1"/>
  <c r="R12" i="2"/>
  <c r="R12" i="3" s="1"/>
  <c r="M13" i="2"/>
  <c r="M13" i="3" s="1"/>
  <c r="H14" i="2"/>
  <c r="H14" i="3" s="1"/>
  <c r="X14" i="2"/>
  <c r="X14" i="3" s="1"/>
  <c r="S15" i="2"/>
  <c r="S15" i="3" s="1"/>
  <c r="N16" i="2"/>
  <c r="N16" i="3" s="1"/>
  <c r="I17" i="2"/>
  <c r="I17" i="3" s="1"/>
  <c r="Y17" i="2"/>
  <c r="Y17" i="3" s="1"/>
  <c r="T18" i="2"/>
  <c r="T18" i="3" s="1"/>
  <c r="O19" i="2"/>
  <c r="O19" i="3" s="1"/>
  <c r="J20" i="2"/>
  <c r="J20" i="3" s="1"/>
  <c r="Z20" i="2"/>
  <c r="Z20" i="3" s="1"/>
  <c r="U21" i="2"/>
  <c r="U21" i="3" s="1"/>
  <c r="P22" i="2"/>
  <c r="P22" i="3" s="1"/>
  <c r="K23" i="2"/>
  <c r="K23" i="3" s="1"/>
  <c r="F24" i="2"/>
  <c r="F24" i="3" s="1"/>
  <c r="V24" i="2"/>
  <c r="V24" i="3" s="1"/>
  <c r="Q25" i="2"/>
  <c r="Q25" i="3" s="1"/>
  <c r="L26" i="2"/>
  <c r="L26" i="3" s="1"/>
  <c r="G27" i="2"/>
  <c r="G27" i="3" s="1"/>
  <c r="W27" i="2"/>
  <c r="W27" i="3" s="1"/>
  <c r="R28" i="2"/>
  <c r="R28" i="3" s="1"/>
  <c r="M29" i="2"/>
  <c r="M29" i="3" s="1"/>
  <c r="H30" i="2"/>
  <c r="H30" i="3" s="1"/>
  <c r="X30" i="2"/>
  <c r="X30" i="3" s="1"/>
  <c r="S31" i="2"/>
  <c r="S31" i="3" s="1"/>
  <c r="N32" i="2"/>
  <c r="N32" i="3" s="1"/>
  <c r="I33" i="2"/>
  <c r="I33" i="3" s="1"/>
  <c r="Y33" i="2"/>
  <c r="Y33" i="3" s="1"/>
  <c r="T34" i="2"/>
  <c r="T34" i="3" s="1"/>
  <c r="O35" i="2"/>
  <c r="O35" i="3" s="1"/>
  <c r="J36" i="2"/>
  <c r="J36" i="3" s="1"/>
  <c r="Z36" i="2"/>
  <c r="Z36" i="3" s="1"/>
  <c r="U37" i="2"/>
  <c r="U37" i="3" s="1"/>
  <c r="P38" i="2"/>
  <c r="P38" i="3" s="1"/>
  <c r="K39" i="2"/>
  <c r="K39" i="3" s="1"/>
  <c r="F40" i="2"/>
  <c r="F40" i="3" s="1"/>
  <c r="V40" i="2"/>
  <c r="V40" i="3" s="1"/>
  <c r="E13" i="2"/>
  <c r="E13" i="3" s="1"/>
  <c r="E29" i="2"/>
  <c r="E29" i="3" s="1"/>
  <c r="D7" i="2"/>
  <c r="D7" i="3" s="1"/>
  <c r="D23" i="2"/>
  <c r="D23" i="3" s="1"/>
  <c r="D39" i="2"/>
  <c r="D39" i="3" s="1"/>
  <c r="U2" i="2"/>
  <c r="U2" i="3" s="1"/>
  <c r="P3" i="2"/>
  <c r="P3" i="3" s="1"/>
  <c r="K4" i="2"/>
  <c r="K4" i="3" s="1"/>
  <c r="F5" i="2"/>
  <c r="F5" i="3" s="1"/>
  <c r="V5" i="2"/>
  <c r="V5" i="3" s="1"/>
  <c r="Q6" i="2"/>
  <c r="Q6" i="3" s="1"/>
  <c r="L7" i="2"/>
  <c r="L7" i="3" s="1"/>
  <c r="G8" i="2"/>
  <c r="G8" i="3" s="1"/>
  <c r="W8" i="2"/>
  <c r="W8" i="3" s="1"/>
  <c r="R9" i="2"/>
  <c r="R9" i="3" s="1"/>
  <c r="M10" i="2"/>
  <c r="M10" i="3" s="1"/>
  <c r="H11" i="2"/>
  <c r="H11" i="3" s="1"/>
  <c r="X11" i="2"/>
  <c r="X11" i="3" s="1"/>
  <c r="S12" i="2"/>
  <c r="S12" i="3" s="1"/>
  <c r="N13" i="2"/>
  <c r="N13" i="3" s="1"/>
  <c r="I14" i="2"/>
  <c r="I14" i="3" s="1"/>
  <c r="Y14" i="2"/>
  <c r="Y14" i="3" s="1"/>
  <c r="T15" i="2"/>
  <c r="T15" i="3" s="1"/>
  <c r="W24" i="2"/>
  <c r="W24" i="3" s="1"/>
  <c r="J33" i="2"/>
  <c r="J33" i="3" s="1"/>
  <c r="D8" i="2"/>
  <c r="D8" i="3" s="1"/>
  <c r="B27" i="3"/>
  <c r="B9" i="3"/>
  <c r="B17" i="3"/>
  <c r="B28" i="3"/>
  <c r="B14" i="3"/>
  <c r="B33" i="3"/>
  <c r="B37" i="3"/>
  <c r="B26" i="3"/>
  <c r="B29" i="3"/>
  <c r="B15" i="3"/>
  <c r="B16" i="3"/>
  <c r="B2" i="3"/>
  <c r="B3" i="3"/>
  <c r="B19" i="3"/>
  <c r="B36" i="3"/>
  <c r="B38" i="3"/>
  <c r="B10" i="3"/>
  <c r="B12" i="3"/>
  <c r="B30" i="3"/>
  <c r="B32" i="3"/>
  <c r="B18" i="3"/>
  <c r="B35" i="3"/>
  <c r="B4" i="3"/>
  <c r="B20" i="3"/>
  <c r="B5" i="3"/>
  <c r="B21" i="3"/>
  <c r="B6" i="3"/>
  <c r="B22" i="3"/>
  <c r="B7" i="3"/>
  <c r="B23" i="3"/>
  <c r="B39" i="3"/>
  <c r="B25" i="3"/>
  <c r="B11" i="3"/>
  <c r="B13" i="3"/>
  <c r="B31" i="3"/>
  <c r="B34" i="3"/>
  <c r="B8" i="3"/>
  <c r="B24" i="3"/>
  <c r="B4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<sst xmlns="http://schemas.openxmlformats.org/spreadsheetml/2006/main" count="118" uniqueCount="54">
  <si>
    <t>Metric Name</t>
  </si>
  <si>
    <t>Cash On Hand</t>
  </si>
  <si>
    <t>Receivables</t>
  </si>
  <si>
    <t>Inventory</t>
  </si>
  <si>
    <t>Pre-Paid Expenses</t>
  </si>
  <si>
    <t>Other Current Assets</t>
  </si>
  <si>
    <t>Total Current Assets</t>
  </si>
  <si>
    <t>Property, Plant,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</si>
  <si>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</si>
  <si>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</si>
  <si>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</si>
  <si>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</si>
  <si>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</si>
  <si>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</si>
  <si>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</si>
  <si>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</si>
  <si>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</si>
  <si>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</si>
  <si>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</si>
  <si>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>Retained Earnings (Accumulated Deficit)</t>
  </si>
  <si>
    <t>Comprehensive Income</t>
  </si>
  <si>
    <t>Other Share Holders Equity</t>
  </si>
  <si>
    <t>Share Holder Equity</t>
  </si>
  <si>
    <t>Total Liabilities And Share Holders Equity</t>
  </si>
  <si>
    <t>TICKER</t>
  </si>
  <si>
    <t>ASOF_DATE</t>
  </si>
  <si>
    <t>YR</t>
  </si>
  <si>
    <t>KO</t>
  </si>
  <si>
    <t>CASH</t>
  </si>
  <si>
    <t>RECEIVABLES</t>
  </si>
  <si>
    <t>INVENTORY</t>
  </si>
  <si>
    <t>PREPAID</t>
  </si>
  <si>
    <t>OTHER_CURRENT_ASSETS</t>
  </si>
  <si>
    <t>TOTAL_CURRENT_ASSETS</t>
  </si>
  <si>
    <t>PPE</t>
  </si>
  <si>
    <t>LONG_TERM_INVESTMENTS</t>
  </si>
  <si>
    <t>GOODWILL_INTANGIBLE_ASSETS</t>
  </si>
  <si>
    <t>OTHER_LONG_TERM_ASSETS</t>
  </si>
  <si>
    <t>TOTAL_LONG_TERM_ASSETS</t>
  </si>
  <si>
    <t>TOTAL_ASSETS</t>
  </si>
  <si>
    <t>TOTAL_CURRENT_LIABILITIES</t>
  </si>
  <si>
    <t>LONG_TERM_DEBT</t>
  </si>
  <si>
    <t>OTHER_NONCURRENT_LIABILITIES</t>
  </si>
  <si>
    <t>TOTAL_LONG_TERM_LIABILITIES</t>
  </si>
  <si>
    <t>TOTAL_LIABILITIES</t>
  </si>
  <si>
    <t>NET_COMMON_STOCK</t>
  </si>
  <si>
    <t>RETAINED_EARNINGS</t>
  </si>
  <si>
    <t>COMPREHENSIVE_INCOME</t>
  </si>
  <si>
    <t>OTHER_SHAREHOLDERS_EQUITY</t>
  </si>
  <si>
    <t>SHAREHOLDER_EQUITY</t>
  </si>
  <si>
    <t>TOTAL_LIABILITIES_AND_SHAREHOLDERS_EQUITY</t>
  </si>
  <si>
    <t>SOURCE_FILE</t>
  </si>
  <si>
    <t>LOAD_BATCH_ID</t>
  </si>
  <si>
    <t>LOADED_AT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</si>
</sst>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164" fontId="0" fillId="0" borderId="0" xfId="1" applyNumberFormat="1" applyFont="1"/>
    <xf numFmtId="0" fontId="18" fillId="0" borderId="10" xfId="0" applyFont="1" applyBorder="1"/>
    <xf numFmtId="164" fontId="0" fillId="0" borderId="10" xfId="1" applyNumberFormat="1" applyFont="1" applyBorder="1"/>
    <xf numFmtId="0" fontId="18" fillId="0" borderId="11" xfId="0" applyFont="1" applyBorder="1"/>
    <xf numFmtId="164" fontId="16" fillId="0" borderId="11" xfId="1" applyNumberFormat="1" applyFont="1" applyBorder="1"/>
    <xf numFmtId="164" fontId="0" fillId="0" borderId="11" xfId="1" applyNumberFormat="1" applyFont="1" applyBorder="1"/>
    <xf numFmtId="164" fontId="16" fillId="0" borderId="10" xfId="1" applyNumberFormat="1" applyFont="1" applyBorder="1"/>
    <xf numFmtId="0" fontId="1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1BDF-E4C5-4BFB-B61E-B9B14EC23B83}">
  <dimension ref="A1:FA28"/>
  <sheetViews>
    <sheetView showGridLines="0" workbookViewId="0">
      <selection activeCell="B1" sqref="B1"/>
    </sheetView>
  </sheetViews>
  <sheetFormatPr defaultColWidth="30.7109375" defaultRowHeight="15" x14ac:dyDescent="0.25"/>
  <cols>
    <col min="1" max="1" width="39.7109375" bestFit="1" customWidth="1"/>
  </cols>
  <sheetData>
    <row r="1" spans="1:157" x14ac:dyDescent="0.25">
      <c r="A1" s="2"/>
      <c r="B1" s="3">
        <f>YEAR(B2)</f>
        <v>2024</v>
      </c>
      <c r="C1" s="3">
        <f t="shared" ref="C1:AN1" si="0">YEAR(C2)</f>
        <v>2023</v>
      </c>
      <c r="D1" s="3">
        <f t="shared" si="0"/>
        <v>2022</v>
      </c>
      <c r="E1" s="3">
        <f t="shared" si="0"/>
        <v>2021</v>
      </c>
      <c r="F1" s="3">
        <f t="shared" si="0"/>
        <v>2020</v>
      </c>
      <c r="G1" s="3">
        <f t="shared" si="0"/>
        <v>2019</v>
      </c>
      <c r="H1" s="3">
        <f t="shared" si="0"/>
        <v>2018</v>
      </c>
      <c r="I1" s="3">
        <f t="shared" si="0"/>
        <v>2017</v>
      </c>
      <c r="J1" s="3">
        <f t="shared" si="0"/>
        <v>2016</v>
      </c>
      <c r="K1" s="3">
        <f t="shared" si="0"/>
        <v>2015</v>
      </c>
      <c r="L1" s="3">
        <f t="shared" si="0"/>
        <v>2014</v>
      </c>
      <c r="M1" s="3">
        <f t="shared" si="0"/>
        <v>2013</v>
      </c>
      <c r="N1" s="3">
        <f t="shared" si="0"/>
        <v>2012</v>
      </c>
      <c r="O1" s="3">
        <f t="shared" si="0"/>
        <v>2011</v>
      </c>
      <c r="P1" s="3">
        <f t="shared" si="0"/>
        <v>2010</v>
      </c>
      <c r="Q1" s="3">
        <f t="shared" si="0"/>
        <v>2009</v>
      </c>
      <c r="R1" s="3">
        <f t="shared" si="0"/>
        <v>2008</v>
      </c>
      <c r="S1" s="3">
        <f t="shared" si="0"/>
        <v>2007</v>
      </c>
      <c r="T1" s="3">
        <f t="shared" si="0"/>
        <v>2006</v>
      </c>
      <c r="U1" s="3">
        <f t="shared" si="0"/>
        <v>2005</v>
      </c>
      <c r="V1" s="3">
        <f t="shared" si="0"/>
        <v>2004</v>
      </c>
      <c r="W1" s="3">
        <f t="shared" si="0"/>
        <v>2003</v>
      </c>
      <c r="X1" s="3">
        <f t="shared" si="0"/>
        <v>2002</v>
      </c>
      <c r="Y1" s="3">
        <f t="shared" si="0"/>
        <v>2001</v>
      </c>
      <c r="Z1" s="3">
        <f t="shared" si="0"/>
        <v>2000</v>
      </c>
      <c r="AA1" s="3">
        <f t="shared" si="0"/>
        <v>1999</v>
      </c>
      <c r="AB1" s="3">
        <f t="shared" si="0"/>
        <v>1998</v>
      </c>
      <c r="AC1" s="3">
        <f t="shared" si="0"/>
        <v>1997</v>
      </c>
      <c r="AD1" s="3">
        <f t="shared" si="0"/>
        <v>1996</v>
      </c>
      <c r="AE1" s="3">
        <f t="shared" si="0"/>
        <v>1995</v>
      </c>
      <c r="AF1" s="3">
        <f t="shared" si="0"/>
        <v>1994</v>
      </c>
      <c r="AG1" s="3">
        <f t="shared" si="0"/>
        <v>1993</v>
      </c>
      <c r="AH1" s="3">
        <f t="shared" si="0"/>
        <v>1992</v>
      </c>
      <c r="AI1" s="3">
        <f t="shared" si="0"/>
        <v>1991</v>
      </c>
      <c r="AJ1" s="3">
        <f t="shared" si="0"/>
        <v>1990</v>
      </c>
      <c r="AK1" s="3">
        <f t="shared" si="0"/>
        <v>1989</v>
      </c>
      <c r="AL1" s="3">
        <f t="shared" si="0"/>
        <v>1988</v>
      </c>
      <c r="AM1" s="3">
        <f t="shared" si="0"/>
        <v>1987</v>
      </c>
      <c r="AN1" s="3">
        <f t="shared" si="0"/>
        <v>1986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</row>
    <row r="2" spans="1:157" x14ac:dyDescent="0.25">
      <c r="A2" s="2" t="s">
        <v>0</v>
      </c>
      <c r="B2" s="4">
        <v>45657</v>
      </c>
      <c r="C2" s="4">
        <v>45291</v>
      </c>
      <c r="D2" s="4">
        <v>44926</v>
      </c>
      <c r="E2" s="4">
        <v>44561</v>
      </c>
      <c r="F2" s="4">
        <v>44196</v>
      </c>
      <c r="G2" s="4">
        <v>43830</v>
      </c>
      <c r="H2" s="4">
        <v>43465</v>
      </c>
      <c r="I2" s="4">
        <v>43100</v>
      </c>
      <c r="J2" s="4">
        <v>42735</v>
      </c>
      <c r="K2" s="4">
        <v>42369</v>
      </c>
      <c r="L2" s="4">
        <v>42004</v>
      </c>
      <c r="M2" s="4">
        <v>41639</v>
      </c>
      <c r="N2" s="4">
        <v>41274</v>
      </c>
      <c r="O2" s="4">
        <v>40908</v>
      </c>
      <c r="P2" s="4">
        <v>40543</v>
      </c>
      <c r="Q2" s="4">
        <v>40178</v>
      </c>
      <c r="R2" s="4">
        <v>39813</v>
      </c>
      <c r="S2" s="4">
        <v>39447</v>
      </c>
      <c r="T2" s="4">
        <v>39082</v>
      </c>
      <c r="U2" s="4">
        <v>38717</v>
      </c>
      <c r="V2" s="4">
        <v>38352</v>
      </c>
      <c r="W2" s="4">
        <v>37986</v>
      </c>
      <c r="X2" s="4">
        <v>37621</v>
      </c>
      <c r="Y2" s="4">
        <v>37256</v>
      </c>
      <c r="Z2" s="4">
        <v>36891</v>
      </c>
      <c r="AA2" s="4">
        <v>36525</v>
      </c>
      <c r="AB2" s="4">
        <v>36160</v>
      </c>
      <c r="AC2" s="4">
        <v>35795</v>
      </c>
      <c r="AD2" s="4">
        <v>35430</v>
      </c>
      <c r="AE2" s="4">
        <v>35064</v>
      </c>
      <c r="AF2" s="4">
        <v>34699</v>
      </c>
      <c r="AG2" s="4">
        <v>34334</v>
      </c>
      <c r="AH2" s="4">
        <v>33969</v>
      </c>
      <c r="AI2" s="4">
        <v>33603</v>
      </c>
      <c r="AJ2" s="4">
        <v>33238</v>
      </c>
      <c r="AK2" s="4">
        <v>32873</v>
      </c>
      <c r="AL2" s="4">
        <v>32508</v>
      </c>
      <c r="AM2" s="4">
        <v>32142</v>
      </c>
      <c r="AN2" s="4">
        <v>31777</v>
      </c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</row>
    <row r="3" spans="1:157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</row>
    <row r="4" spans="1:157" x14ac:dyDescent="0.25">
      <c r="A4" s="2" t="s">
        <v>1</v>
      </c>
      <c r="B4" s="5">
        <v>14571</v>
      </c>
      <c r="C4" s="5">
        <v>13663</v>
      </c>
      <c r="D4" s="5">
        <v>11631</v>
      </c>
      <c r="E4" s="5">
        <v>12625</v>
      </c>
      <c r="F4" s="5">
        <v>10914</v>
      </c>
      <c r="G4" s="5">
        <v>11175</v>
      </c>
      <c r="H4" s="5">
        <v>16115</v>
      </c>
      <c r="I4" s="5">
        <v>20675</v>
      </c>
      <c r="J4" s="5">
        <v>22201</v>
      </c>
      <c r="K4" s="5">
        <v>19900</v>
      </c>
      <c r="L4" s="5">
        <v>21675</v>
      </c>
      <c r="M4" s="5">
        <v>20268</v>
      </c>
      <c r="N4" s="5">
        <v>16551</v>
      </c>
      <c r="O4" s="5">
        <v>14035</v>
      </c>
      <c r="P4" s="5">
        <v>11337</v>
      </c>
      <c r="Q4" s="5">
        <v>9213</v>
      </c>
      <c r="R4" s="5">
        <v>4979</v>
      </c>
      <c r="S4" s="5">
        <v>4308</v>
      </c>
      <c r="T4" s="5">
        <v>2590</v>
      </c>
      <c r="U4" s="5">
        <v>4767</v>
      </c>
      <c r="V4" s="5">
        <v>6768</v>
      </c>
      <c r="W4" s="5">
        <v>3482</v>
      </c>
      <c r="X4" s="5">
        <v>2345</v>
      </c>
      <c r="Y4" s="5">
        <v>1934</v>
      </c>
      <c r="Z4" s="5">
        <v>1892</v>
      </c>
      <c r="AA4" s="5">
        <v>1812</v>
      </c>
      <c r="AB4" s="5">
        <v>1807</v>
      </c>
      <c r="AC4" s="5">
        <v>1843</v>
      </c>
      <c r="AD4" s="5">
        <v>1658</v>
      </c>
      <c r="AE4" s="5">
        <v>1315</v>
      </c>
      <c r="AF4" s="5">
        <v>1531</v>
      </c>
      <c r="AG4" s="5">
        <v>1078</v>
      </c>
      <c r="AH4" s="5">
        <v>1062.9880000000001</v>
      </c>
      <c r="AI4" s="5">
        <v>1117.1959999999999</v>
      </c>
      <c r="AJ4" s="5">
        <v>1492.124</v>
      </c>
      <c r="AK4" s="5">
        <v>1181.691</v>
      </c>
      <c r="AL4" s="5">
        <v>1231.19</v>
      </c>
      <c r="AM4" s="5">
        <v>1489.106</v>
      </c>
      <c r="AN4" s="5">
        <v>868.63310000000001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</row>
    <row r="5" spans="1:157" x14ac:dyDescent="0.25">
      <c r="A5" s="2" t="s">
        <v>2</v>
      </c>
      <c r="B5" s="5">
        <v>3569</v>
      </c>
      <c r="C5" s="5">
        <v>3410</v>
      </c>
      <c r="D5" s="5">
        <v>3487</v>
      </c>
      <c r="E5" s="5">
        <v>3512</v>
      </c>
      <c r="F5" s="5">
        <v>3144</v>
      </c>
      <c r="G5" s="5">
        <v>3971</v>
      </c>
      <c r="H5" s="5">
        <v>3685</v>
      </c>
      <c r="I5" s="5">
        <v>3667</v>
      </c>
      <c r="J5" s="5">
        <v>3856</v>
      </c>
      <c r="K5" s="5">
        <v>3941</v>
      </c>
      <c r="L5" s="5">
        <v>4466</v>
      </c>
      <c r="M5" s="5">
        <v>4873</v>
      </c>
      <c r="N5" s="5">
        <v>4759</v>
      </c>
      <c r="O5" s="5">
        <v>4920</v>
      </c>
      <c r="P5" s="5">
        <v>4430</v>
      </c>
      <c r="Q5" s="5">
        <v>3758</v>
      </c>
      <c r="R5" s="5">
        <v>3090</v>
      </c>
      <c r="S5" s="5">
        <v>3317</v>
      </c>
      <c r="T5" s="5">
        <v>2587</v>
      </c>
      <c r="U5" s="5">
        <v>2281</v>
      </c>
      <c r="V5" s="5">
        <v>2244</v>
      </c>
      <c r="W5" s="5">
        <v>2091</v>
      </c>
      <c r="X5" s="5">
        <v>2097</v>
      </c>
      <c r="Y5" s="5">
        <v>1882</v>
      </c>
      <c r="Z5" s="5">
        <v>1757</v>
      </c>
      <c r="AA5" s="5">
        <v>1798</v>
      </c>
      <c r="AB5" s="5">
        <v>1666</v>
      </c>
      <c r="AC5" s="5">
        <v>1639</v>
      </c>
      <c r="AD5" s="5">
        <v>1641</v>
      </c>
      <c r="AE5" s="5">
        <v>1695</v>
      </c>
      <c r="AF5" s="5">
        <v>1470</v>
      </c>
      <c r="AG5" s="5">
        <v>1210</v>
      </c>
      <c r="AH5" s="5">
        <v>1085.636</v>
      </c>
      <c r="AI5" s="5">
        <v>933.44799999999998</v>
      </c>
      <c r="AJ5" s="5">
        <v>913.54100000000005</v>
      </c>
      <c r="AK5" s="5">
        <v>820.428</v>
      </c>
      <c r="AL5" s="5">
        <v>627.24800000000005</v>
      </c>
      <c r="AM5" s="5">
        <v>672.16</v>
      </c>
      <c r="AN5" s="5">
        <v>672.56799999999998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</row>
    <row r="6" spans="1:157" x14ac:dyDescent="0.25">
      <c r="A6" s="2" t="s">
        <v>3</v>
      </c>
      <c r="B6" s="5">
        <v>4728</v>
      </c>
      <c r="C6" s="5">
        <v>4424</v>
      </c>
      <c r="D6" s="5">
        <v>4233</v>
      </c>
      <c r="E6" s="5">
        <v>3414</v>
      </c>
      <c r="F6" s="5">
        <v>3266</v>
      </c>
      <c r="G6" s="5">
        <v>3379</v>
      </c>
      <c r="H6" s="5">
        <v>3071</v>
      </c>
      <c r="I6" s="5">
        <v>2655</v>
      </c>
      <c r="J6" s="5">
        <v>2675</v>
      </c>
      <c r="K6" s="5">
        <v>2902</v>
      </c>
      <c r="L6" s="5">
        <v>3100</v>
      </c>
      <c r="M6" s="5">
        <v>3277</v>
      </c>
      <c r="N6" s="5">
        <v>3264</v>
      </c>
      <c r="O6" s="5">
        <v>3092</v>
      </c>
      <c r="P6" s="5">
        <v>2650</v>
      </c>
      <c r="Q6" s="5">
        <v>2354</v>
      </c>
      <c r="R6" s="5">
        <v>2187</v>
      </c>
      <c r="S6" s="5">
        <v>2220</v>
      </c>
      <c r="T6" s="5">
        <v>1641</v>
      </c>
      <c r="U6" s="5">
        <v>1379</v>
      </c>
      <c r="V6" s="5">
        <v>1420</v>
      </c>
      <c r="W6" s="5">
        <v>1252</v>
      </c>
      <c r="X6" s="5">
        <v>1294</v>
      </c>
      <c r="Y6" s="5">
        <v>1055</v>
      </c>
      <c r="Z6" s="5">
        <v>1066</v>
      </c>
      <c r="AA6" s="5">
        <v>1076</v>
      </c>
      <c r="AB6" s="5">
        <v>890</v>
      </c>
      <c r="AC6" s="5">
        <v>959</v>
      </c>
      <c r="AD6" s="5">
        <v>952</v>
      </c>
      <c r="AE6" s="5">
        <v>1117</v>
      </c>
      <c r="AF6" s="5">
        <v>1047</v>
      </c>
      <c r="AG6" s="5">
        <v>1049</v>
      </c>
      <c r="AH6" s="5">
        <v>1018.621</v>
      </c>
      <c r="AI6" s="5">
        <v>987.76400000000001</v>
      </c>
      <c r="AJ6" s="5">
        <v>982.31299999999999</v>
      </c>
      <c r="AK6" s="5">
        <v>789.077</v>
      </c>
      <c r="AL6" s="5">
        <v>778.81600000000003</v>
      </c>
      <c r="AM6" s="5">
        <v>776.74</v>
      </c>
      <c r="AN6" s="5">
        <v>695.43700000000001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</row>
    <row r="7" spans="1:157" x14ac:dyDescent="0.25">
      <c r="A7" s="2" t="s">
        <v>4</v>
      </c>
      <c r="B7" s="5">
        <v>3129</v>
      </c>
      <c r="C7" s="5">
        <v>5235</v>
      </c>
      <c r="D7" s="5">
        <v>3240</v>
      </c>
      <c r="E7" s="5">
        <v>2994</v>
      </c>
      <c r="F7" s="5">
        <v>1916</v>
      </c>
      <c r="G7" s="5">
        <v>1886</v>
      </c>
      <c r="H7" s="5">
        <v>2059</v>
      </c>
      <c r="I7" s="5">
        <v>2000</v>
      </c>
      <c r="J7" s="5">
        <v>2481</v>
      </c>
      <c r="K7" s="5">
        <v>2752</v>
      </c>
      <c r="L7" s="5">
        <v>3066</v>
      </c>
      <c r="M7" s="5">
        <v>2886</v>
      </c>
      <c r="N7" s="5">
        <v>2781</v>
      </c>
      <c r="O7" s="5">
        <v>3450</v>
      </c>
      <c r="P7" s="5">
        <v>3162</v>
      </c>
      <c r="Q7" s="5">
        <v>2226</v>
      </c>
      <c r="R7" s="5">
        <v>1920</v>
      </c>
      <c r="S7" s="5">
        <v>2260</v>
      </c>
      <c r="T7" s="5">
        <v>1623</v>
      </c>
      <c r="U7" s="5">
        <v>1778</v>
      </c>
      <c r="V7" s="5">
        <v>1849</v>
      </c>
      <c r="W7" s="5">
        <v>1571</v>
      </c>
      <c r="X7" s="5">
        <v>1616</v>
      </c>
      <c r="Y7" s="5">
        <v>2300</v>
      </c>
      <c r="Z7" s="5">
        <v>1905</v>
      </c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</row>
    <row r="8" spans="1:157" x14ac:dyDescent="0.25">
      <c r="A8" s="2" t="s">
        <v>5</v>
      </c>
      <c r="B8" s="5"/>
      <c r="C8" s="5"/>
      <c r="D8" s="5"/>
      <c r="E8" s="5"/>
      <c r="F8" s="5"/>
      <c r="G8" s="5"/>
      <c r="H8" s="5"/>
      <c r="I8" s="5">
        <v>219</v>
      </c>
      <c r="J8" s="5">
        <v>2797</v>
      </c>
      <c r="K8" s="5">
        <v>3900</v>
      </c>
      <c r="L8" s="5">
        <v>679</v>
      </c>
      <c r="M8" s="5"/>
      <c r="N8" s="5">
        <v>2973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1794</v>
      </c>
      <c r="AB8" s="5">
        <v>2017</v>
      </c>
      <c r="AC8" s="5">
        <v>1528</v>
      </c>
      <c r="AD8" s="5">
        <v>1659</v>
      </c>
      <c r="AE8" s="5">
        <v>1323</v>
      </c>
      <c r="AF8" s="5">
        <v>1157</v>
      </c>
      <c r="AG8" s="5">
        <v>1097</v>
      </c>
      <c r="AH8" s="5">
        <v>1080.432</v>
      </c>
      <c r="AI8" s="5">
        <v>1069.664</v>
      </c>
      <c r="AJ8" s="5">
        <v>754.8</v>
      </c>
      <c r="AK8" s="5">
        <v>812.30399999999997</v>
      </c>
      <c r="AL8" s="5">
        <v>608.178</v>
      </c>
      <c r="AM8" s="5">
        <v>1219.037</v>
      </c>
      <c r="AN8" s="5">
        <v>837.51199999999994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</row>
    <row r="9" spans="1:157" x14ac:dyDescent="0.25">
      <c r="A9" s="6" t="s">
        <v>6</v>
      </c>
      <c r="B9" s="7">
        <v>25997</v>
      </c>
      <c r="C9" s="7">
        <v>26732</v>
      </c>
      <c r="D9" s="7">
        <v>22591</v>
      </c>
      <c r="E9" s="7">
        <v>22545</v>
      </c>
      <c r="F9" s="7">
        <v>19240</v>
      </c>
      <c r="G9" s="7">
        <v>20411</v>
      </c>
      <c r="H9" s="7">
        <v>24930</v>
      </c>
      <c r="I9" s="7">
        <v>36545</v>
      </c>
      <c r="J9" s="7">
        <v>34010</v>
      </c>
      <c r="K9" s="7">
        <v>33395</v>
      </c>
      <c r="L9" s="7">
        <v>32986</v>
      </c>
      <c r="M9" s="7">
        <v>31304</v>
      </c>
      <c r="N9" s="7">
        <v>30328</v>
      </c>
      <c r="O9" s="7">
        <v>25497</v>
      </c>
      <c r="P9" s="7">
        <v>21579</v>
      </c>
      <c r="Q9" s="7">
        <v>17551</v>
      </c>
      <c r="R9" s="7">
        <v>12176</v>
      </c>
      <c r="S9" s="7">
        <v>12105</v>
      </c>
      <c r="T9" s="7">
        <v>8441</v>
      </c>
      <c r="U9" s="7">
        <v>10205</v>
      </c>
      <c r="V9" s="7">
        <v>12281</v>
      </c>
      <c r="W9" s="7">
        <v>8396</v>
      </c>
      <c r="X9" s="7">
        <v>7352</v>
      </c>
      <c r="Y9" s="7">
        <v>7171</v>
      </c>
      <c r="Z9" s="7">
        <v>6620</v>
      </c>
      <c r="AA9" s="7">
        <v>6480</v>
      </c>
      <c r="AB9" s="7">
        <v>6380</v>
      </c>
      <c r="AC9" s="7">
        <v>5969</v>
      </c>
      <c r="AD9" s="7">
        <v>5910</v>
      </c>
      <c r="AE9" s="7">
        <v>5450</v>
      </c>
      <c r="AF9" s="7">
        <v>5205</v>
      </c>
      <c r="AG9" s="7">
        <v>4434</v>
      </c>
      <c r="AH9" s="7">
        <v>4247.6769999999997</v>
      </c>
      <c r="AI9" s="7">
        <v>4144.2439999999997</v>
      </c>
      <c r="AJ9" s="7">
        <v>4142.7780000000002</v>
      </c>
      <c r="AK9" s="7">
        <v>3603.5</v>
      </c>
      <c r="AL9" s="7">
        <v>3245.4319999999998</v>
      </c>
      <c r="AM9" s="7">
        <v>4231.9210000000003</v>
      </c>
      <c r="AN9" s="7">
        <v>3169.268</v>
      </c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</row>
    <row r="10" spans="1:157" x14ac:dyDescent="0.25">
      <c r="A10" s="2" t="s">
        <v>7</v>
      </c>
      <c r="B10" s="5">
        <v>10303</v>
      </c>
      <c r="C10" s="5">
        <v>9236</v>
      </c>
      <c r="D10" s="5">
        <v>9841</v>
      </c>
      <c r="E10" s="5">
        <v>9920</v>
      </c>
      <c r="F10" s="5">
        <v>10777</v>
      </c>
      <c r="G10" s="5">
        <v>10838</v>
      </c>
      <c r="H10" s="5">
        <v>9598</v>
      </c>
      <c r="I10" s="5">
        <v>8203</v>
      </c>
      <c r="J10" s="5">
        <v>10635</v>
      </c>
      <c r="K10" s="5">
        <v>12571</v>
      </c>
      <c r="L10" s="5">
        <v>14633</v>
      </c>
      <c r="M10" s="5">
        <v>14967</v>
      </c>
      <c r="N10" s="5">
        <v>14476</v>
      </c>
      <c r="O10" s="5">
        <v>14939</v>
      </c>
      <c r="P10" s="5">
        <v>14727</v>
      </c>
      <c r="Q10" s="5">
        <v>9561</v>
      </c>
      <c r="R10" s="5">
        <v>8326</v>
      </c>
      <c r="S10" s="5">
        <v>8493</v>
      </c>
      <c r="T10" s="5">
        <v>6903</v>
      </c>
      <c r="U10" s="5">
        <v>5831</v>
      </c>
      <c r="V10" s="5">
        <v>6091</v>
      </c>
      <c r="W10" s="5">
        <v>6097</v>
      </c>
      <c r="X10" s="5">
        <v>5911</v>
      </c>
      <c r="Y10" s="5">
        <v>4453</v>
      </c>
      <c r="Z10" s="5">
        <v>4168</v>
      </c>
      <c r="AA10" s="5">
        <v>4267</v>
      </c>
      <c r="AB10" s="5">
        <v>3669</v>
      </c>
      <c r="AC10" s="5">
        <v>3743</v>
      </c>
      <c r="AD10" s="5">
        <v>3550</v>
      </c>
      <c r="AE10" s="5">
        <v>4336</v>
      </c>
      <c r="AF10" s="5">
        <v>4080</v>
      </c>
      <c r="AG10" s="5">
        <v>3729</v>
      </c>
      <c r="AH10" s="5">
        <v>3526.261</v>
      </c>
      <c r="AI10" s="5">
        <v>2889.8820000000001</v>
      </c>
      <c r="AJ10" s="5">
        <v>2385.5650000000001</v>
      </c>
      <c r="AK10" s="5">
        <v>2021.2190000000001</v>
      </c>
      <c r="AL10" s="5">
        <v>1759.075</v>
      </c>
      <c r="AM10" s="5">
        <v>1601.528</v>
      </c>
      <c r="AN10" s="5">
        <v>1537.5530000000001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</row>
    <row r="11" spans="1:157" x14ac:dyDescent="0.25">
      <c r="A11" s="2" t="s">
        <v>8</v>
      </c>
      <c r="B11" s="5">
        <v>18087</v>
      </c>
      <c r="C11" s="5">
        <v>19671</v>
      </c>
      <c r="D11" s="5">
        <v>18765</v>
      </c>
      <c r="E11" s="5">
        <v>18416</v>
      </c>
      <c r="F11" s="5">
        <v>20085</v>
      </c>
      <c r="G11" s="5">
        <v>19879</v>
      </c>
      <c r="H11" s="5">
        <v>20279</v>
      </c>
      <c r="I11" s="5">
        <v>21952</v>
      </c>
      <c r="J11" s="5">
        <v>17249</v>
      </c>
      <c r="K11" s="5">
        <v>15788</v>
      </c>
      <c r="L11" s="5">
        <v>13625</v>
      </c>
      <c r="M11" s="5">
        <v>11512</v>
      </c>
      <c r="N11" s="5">
        <v>10448</v>
      </c>
      <c r="O11" s="5">
        <v>8374</v>
      </c>
      <c r="P11" s="5">
        <v>15096</v>
      </c>
      <c r="Q11" s="5">
        <v>8708</v>
      </c>
      <c r="R11" s="5">
        <v>5779</v>
      </c>
      <c r="S11" s="5">
        <v>7777</v>
      </c>
      <c r="T11" s="5">
        <v>6783</v>
      </c>
      <c r="U11" s="5">
        <v>6922</v>
      </c>
      <c r="V11" s="5">
        <v>6252</v>
      </c>
      <c r="W11" s="5">
        <v>5538</v>
      </c>
      <c r="X11" s="5">
        <v>4991</v>
      </c>
      <c r="Y11" s="5">
        <v>5422</v>
      </c>
      <c r="Z11" s="5">
        <v>8129</v>
      </c>
      <c r="AA11" s="5">
        <v>8916</v>
      </c>
      <c r="AB11" s="5">
        <v>8549</v>
      </c>
      <c r="AC11" s="5">
        <v>6044</v>
      </c>
      <c r="AD11" s="5">
        <v>5211</v>
      </c>
      <c r="AE11" s="5">
        <v>3960</v>
      </c>
      <c r="AF11" s="5">
        <v>3673</v>
      </c>
      <c r="AG11" s="5">
        <v>3083</v>
      </c>
      <c r="AH11" s="5">
        <v>2163.0940000000001</v>
      </c>
      <c r="AI11" s="5">
        <v>2154.0149999999999</v>
      </c>
      <c r="AJ11" s="5">
        <v>2024.6220000000001</v>
      </c>
      <c r="AK11" s="5">
        <v>1930.423</v>
      </c>
      <c r="AL11" s="5">
        <v>1911.973</v>
      </c>
      <c r="AM11" s="5">
        <v>2258.5450000000001</v>
      </c>
      <c r="AN11" s="5">
        <v>1096.442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</row>
    <row r="12" spans="1:157" x14ac:dyDescent="0.25">
      <c r="A12" s="2" t="s">
        <v>9</v>
      </c>
      <c r="B12" s="5">
        <v>31440</v>
      </c>
      <c r="C12" s="5">
        <v>32707</v>
      </c>
      <c r="D12" s="5">
        <v>33631</v>
      </c>
      <c r="E12" s="5">
        <v>34613</v>
      </c>
      <c r="F12" s="5">
        <v>28550</v>
      </c>
      <c r="G12" s="5">
        <v>26766</v>
      </c>
      <c r="H12" s="5">
        <v>21587</v>
      </c>
      <c r="I12" s="5">
        <v>16636</v>
      </c>
      <c r="J12" s="5">
        <v>21128</v>
      </c>
      <c r="K12" s="5">
        <v>24132</v>
      </c>
      <c r="L12" s="5">
        <v>26372</v>
      </c>
      <c r="M12" s="5">
        <v>27611</v>
      </c>
      <c r="N12" s="5">
        <v>27337</v>
      </c>
      <c r="O12" s="5">
        <v>27669</v>
      </c>
      <c r="P12" s="5">
        <v>2.3652000000000002</v>
      </c>
      <c r="Q12" s="5">
        <v>10875</v>
      </c>
      <c r="R12" s="5">
        <v>12505</v>
      </c>
      <c r="S12" s="5">
        <v>12219</v>
      </c>
      <c r="T12" s="5">
        <v>5135</v>
      </c>
      <c r="U12" s="5">
        <v>3821</v>
      </c>
      <c r="V12" s="5">
        <v>3836</v>
      </c>
      <c r="W12" s="5">
        <v>3989</v>
      </c>
      <c r="X12" s="5">
        <v>3458</v>
      </c>
      <c r="Y12" s="5">
        <v>2579</v>
      </c>
      <c r="Z12" s="5">
        <v>1917</v>
      </c>
      <c r="AA12" s="5">
        <v>1960</v>
      </c>
      <c r="AB12" s="5">
        <v>547</v>
      </c>
      <c r="AC12" s="5">
        <v>727</v>
      </c>
      <c r="AD12" s="5">
        <v>753</v>
      </c>
      <c r="AE12" s="5">
        <v>944</v>
      </c>
      <c r="AF12" s="5">
        <v>660</v>
      </c>
      <c r="AG12" s="5">
        <v>549</v>
      </c>
      <c r="AH12" s="5">
        <v>383.30399999999997</v>
      </c>
      <c r="AI12" s="5">
        <v>303.68099999999998</v>
      </c>
      <c r="AJ12" s="5">
        <v>275.12599999999998</v>
      </c>
      <c r="AK12" s="5">
        <v>231.99299999999999</v>
      </c>
      <c r="AL12" s="5">
        <v>56.545999999999999</v>
      </c>
      <c r="AM12" s="5">
        <v>74.155000000000001</v>
      </c>
      <c r="AN12" s="5">
        <v>659.053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</row>
    <row r="13" spans="1:157" x14ac:dyDescent="0.25">
      <c r="A13" s="2" t="s">
        <v>10</v>
      </c>
      <c r="B13" s="5">
        <v>13403</v>
      </c>
      <c r="C13" s="5">
        <v>7796</v>
      </c>
      <c r="D13" s="5">
        <v>6189</v>
      </c>
      <c r="E13" s="5">
        <v>6731</v>
      </c>
      <c r="F13" s="5">
        <v>6184</v>
      </c>
      <c r="G13" s="5">
        <v>6075</v>
      </c>
      <c r="H13" s="5">
        <v>4148</v>
      </c>
      <c r="I13" s="5">
        <v>4230</v>
      </c>
      <c r="J13" s="5">
        <v>4248</v>
      </c>
      <c r="K13" s="5">
        <v>4110</v>
      </c>
      <c r="L13" s="5">
        <v>4407</v>
      </c>
      <c r="M13" s="5">
        <v>4661</v>
      </c>
      <c r="N13" s="5">
        <v>3585</v>
      </c>
      <c r="O13" s="5">
        <v>3495</v>
      </c>
      <c r="P13" s="5">
        <v>2121</v>
      </c>
      <c r="Q13" s="5">
        <v>1976</v>
      </c>
      <c r="R13" s="5">
        <v>1733</v>
      </c>
      <c r="S13" s="5">
        <v>2675</v>
      </c>
      <c r="T13" s="5">
        <v>2701</v>
      </c>
      <c r="U13" s="5">
        <v>2648</v>
      </c>
      <c r="V13" s="5">
        <v>2981</v>
      </c>
      <c r="W13" s="5">
        <v>3322</v>
      </c>
      <c r="X13" s="5">
        <v>2694</v>
      </c>
      <c r="Y13" s="5">
        <v>2792</v>
      </c>
      <c r="Z13" s="5"/>
      <c r="AA13" s="5"/>
      <c r="AB13" s="5"/>
      <c r="AC13" s="5">
        <v>457</v>
      </c>
      <c r="AD13" s="5">
        <v>737</v>
      </c>
      <c r="AE13" s="5">
        <v>351</v>
      </c>
      <c r="AF13" s="5">
        <v>255</v>
      </c>
      <c r="AG13" s="5">
        <v>226</v>
      </c>
      <c r="AH13" s="5">
        <v>731.59799999999996</v>
      </c>
      <c r="AI13" s="5">
        <v>730.60599999999999</v>
      </c>
      <c r="AJ13" s="5">
        <v>450.096</v>
      </c>
      <c r="AK13" s="5">
        <v>495.40100000000001</v>
      </c>
      <c r="AL13" s="5">
        <v>477.58600000000001</v>
      </c>
      <c r="AM13" s="5">
        <v>289</v>
      </c>
      <c r="AN13" s="5">
        <v>1114.8030000000001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</row>
    <row r="14" spans="1:157" x14ac:dyDescent="0.25">
      <c r="A14" s="2" t="s">
        <v>11</v>
      </c>
      <c r="B14" s="5">
        <v>74552</v>
      </c>
      <c r="C14" s="5">
        <v>70971</v>
      </c>
      <c r="D14" s="5">
        <v>70172</v>
      </c>
      <c r="E14" s="5">
        <v>71809</v>
      </c>
      <c r="F14" s="5">
        <v>68056</v>
      </c>
      <c r="G14" s="5">
        <v>65970</v>
      </c>
      <c r="H14" s="5">
        <v>58286</v>
      </c>
      <c r="I14" s="5">
        <v>51351</v>
      </c>
      <c r="J14" s="5">
        <v>53260</v>
      </c>
      <c r="K14" s="5">
        <v>56601</v>
      </c>
      <c r="L14" s="5">
        <v>59037</v>
      </c>
      <c r="M14" s="5">
        <v>58751</v>
      </c>
      <c r="N14" s="5">
        <v>55846</v>
      </c>
      <c r="O14" s="5">
        <v>54477</v>
      </c>
      <c r="P14" s="5">
        <v>31946.37</v>
      </c>
      <c r="Q14" s="5">
        <v>31120</v>
      </c>
      <c r="R14" s="5">
        <v>28343</v>
      </c>
      <c r="S14" s="5">
        <v>31164</v>
      </c>
      <c r="T14" s="5">
        <v>21522</v>
      </c>
      <c r="U14" s="5">
        <v>19222</v>
      </c>
      <c r="V14" s="5">
        <v>19160</v>
      </c>
      <c r="W14" s="5">
        <v>18946</v>
      </c>
      <c r="X14" s="5">
        <v>17054</v>
      </c>
      <c r="Y14" s="5">
        <v>15246</v>
      </c>
      <c r="Z14" s="5">
        <v>14214</v>
      </c>
      <c r="AA14" s="5">
        <v>15143</v>
      </c>
      <c r="AB14" s="5">
        <v>12765</v>
      </c>
      <c r="AC14" s="5">
        <v>10971</v>
      </c>
      <c r="AD14" s="5">
        <v>10251</v>
      </c>
      <c r="AE14" s="5">
        <v>9591</v>
      </c>
      <c r="AF14" s="5">
        <v>8668</v>
      </c>
      <c r="AG14" s="5">
        <v>7587</v>
      </c>
      <c r="AH14" s="5">
        <v>6804.2569999999996</v>
      </c>
      <c r="AI14" s="5">
        <v>6078.1840000000002</v>
      </c>
      <c r="AJ14" s="5">
        <v>5135.4089999999997</v>
      </c>
      <c r="AK14" s="5">
        <v>4679.0360000000001</v>
      </c>
      <c r="AL14" s="5">
        <v>4205.18</v>
      </c>
      <c r="AM14" s="5">
        <v>4223.2280000000001</v>
      </c>
      <c r="AN14" s="5">
        <v>4407.8509999999997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</row>
    <row r="15" spans="1:157" x14ac:dyDescent="0.25">
      <c r="A15" s="8" t="s">
        <v>12</v>
      </c>
      <c r="B15" s="9">
        <v>100549</v>
      </c>
      <c r="C15" s="9">
        <v>97703</v>
      </c>
      <c r="D15" s="9">
        <v>92763</v>
      </c>
      <c r="E15" s="9">
        <v>94354</v>
      </c>
      <c r="F15" s="9">
        <v>87296</v>
      </c>
      <c r="G15" s="9">
        <v>86381</v>
      </c>
      <c r="H15" s="9">
        <v>83216</v>
      </c>
      <c r="I15" s="9">
        <v>87896</v>
      </c>
      <c r="J15" s="9">
        <v>87270</v>
      </c>
      <c r="K15" s="9">
        <v>89996</v>
      </c>
      <c r="L15" s="9">
        <v>92023</v>
      </c>
      <c r="M15" s="9">
        <v>90055</v>
      </c>
      <c r="N15" s="9">
        <v>86174</v>
      </c>
      <c r="O15" s="9">
        <v>79974</v>
      </c>
      <c r="P15" s="9">
        <v>72921</v>
      </c>
      <c r="Q15" s="9">
        <v>48671</v>
      </c>
      <c r="R15" s="9">
        <v>40519</v>
      </c>
      <c r="S15" s="9">
        <v>43269</v>
      </c>
      <c r="T15" s="9">
        <v>29963</v>
      </c>
      <c r="U15" s="9">
        <v>29427</v>
      </c>
      <c r="V15" s="9">
        <v>31441</v>
      </c>
      <c r="W15" s="9">
        <v>27342</v>
      </c>
      <c r="X15" s="9">
        <v>24406</v>
      </c>
      <c r="Y15" s="9">
        <v>22417</v>
      </c>
      <c r="Z15" s="9">
        <v>20834</v>
      </c>
      <c r="AA15" s="9">
        <v>21623</v>
      </c>
      <c r="AB15" s="9">
        <v>19145</v>
      </c>
      <c r="AC15" s="9">
        <v>16940</v>
      </c>
      <c r="AD15" s="9">
        <v>16161</v>
      </c>
      <c r="AE15" s="9">
        <v>15041</v>
      </c>
      <c r="AF15" s="9">
        <v>13873</v>
      </c>
      <c r="AG15" s="9">
        <v>12021</v>
      </c>
      <c r="AH15" s="9">
        <v>11051.93</v>
      </c>
      <c r="AI15" s="9">
        <v>10189.209999999999</v>
      </c>
      <c r="AJ15" s="9">
        <v>9278.1869999999999</v>
      </c>
      <c r="AK15" s="9">
        <v>8282.5360000000001</v>
      </c>
      <c r="AL15" s="9">
        <v>7450.6120000000001</v>
      </c>
      <c r="AM15" s="9">
        <v>8605.5460000000003</v>
      </c>
      <c r="AN15" s="9">
        <v>7484.1279999999997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</row>
    <row r="16" spans="1:157" x14ac:dyDescent="0.25">
      <c r="A16" s="2"/>
    </row>
    <row r="17" spans="1:157" x14ac:dyDescent="0.25">
      <c r="A17" s="6" t="s">
        <v>13</v>
      </c>
      <c r="B17" s="7">
        <v>25249</v>
      </c>
      <c r="C17" s="7">
        <v>23571</v>
      </c>
      <c r="D17" s="7">
        <v>19724</v>
      </c>
      <c r="E17" s="7">
        <v>19950</v>
      </c>
      <c r="F17" s="7">
        <v>14601</v>
      </c>
      <c r="G17" s="7">
        <v>26973</v>
      </c>
      <c r="H17" s="7">
        <v>28782</v>
      </c>
      <c r="I17" s="7">
        <v>27194</v>
      </c>
      <c r="J17" s="7">
        <v>26532</v>
      </c>
      <c r="K17" s="7">
        <v>26929</v>
      </c>
      <c r="L17" s="7">
        <v>32374</v>
      </c>
      <c r="M17" s="7">
        <v>27811</v>
      </c>
      <c r="N17" s="7">
        <v>27821</v>
      </c>
      <c r="O17" s="7">
        <v>24283</v>
      </c>
      <c r="P17" s="7">
        <v>18508</v>
      </c>
      <c r="Q17" s="7">
        <v>13721</v>
      </c>
      <c r="R17" s="7">
        <v>12988</v>
      </c>
      <c r="S17" s="7">
        <v>13225</v>
      </c>
      <c r="T17" s="7">
        <v>8890</v>
      </c>
      <c r="U17" s="7">
        <v>9836</v>
      </c>
      <c r="V17" s="7">
        <v>11133</v>
      </c>
      <c r="W17" s="7">
        <v>7886</v>
      </c>
      <c r="X17" s="7">
        <v>7341</v>
      </c>
      <c r="Y17" s="7">
        <v>8429</v>
      </c>
      <c r="Z17" s="7">
        <v>9321</v>
      </c>
      <c r="AA17" s="7">
        <v>9856</v>
      </c>
      <c r="AB17" s="7">
        <v>8640</v>
      </c>
      <c r="AC17" s="7">
        <v>7379</v>
      </c>
      <c r="AD17" s="7">
        <v>7406</v>
      </c>
      <c r="AE17" s="7">
        <v>7348</v>
      </c>
      <c r="AF17" s="7">
        <v>6177</v>
      </c>
      <c r="AG17" s="7">
        <v>5171</v>
      </c>
      <c r="AH17" s="7">
        <v>5303.2219999999998</v>
      </c>
      <c r="AI17" s="7">
        <v>4255.1729999999998</v>
      </c>
      <c r="AJ17" s="7">
        <v>4296.491</v>
      </c>
      <c r="AK17" s="7">
        <v>3657.93</v>
      </c>
      <c r="AL17" s="7">
        <v>2868.8969999999999</v>
      </c>
      <c r="AM17" s="7">
        <v>4083.3789999999999</v>
      </c>
      <c r="AN17" s="7">
        <v>2244.9189999999999</v>
      </c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</row>
    <row r="18" spans="1:157" x14ac:dyDescent="0.25">
      <c r="A18" s="2" t="s">
        <v>14</v>
      </c>
      <c r="B18" s="5">
        <v>42375</v>
      </c>
      <c r="C18" s="5">
        <v>35547</v>
      </c>
      <c r="D18" s="5">
        <v>36377</v>
      </c>
      <c r="E18" s="5">
        <v>38116</v>
      </c>
      <c r="F18" s="5">
        <v>40125</v>
      </c>
      <c r="G18" s="5">
        <v>27516</v>
      </c>
      <c r="H18" s="5">
        <v>25376</v>
      </c>
      <c r="I18" s="5">
        <v>31182</v>
      </c>
      <c r="J18" s="5">
        <v>29684</v>
      </c>
      <c r="K18" s="5">
        <v>28311</v>
      </c>
      <c r="L18" s="5">
        <v>19063</v>
      </c>
      <c r="M18" s="5">
        <v>19154</v>
      </c>
      <c r="N18" s="5">
        <v>14736</v>
      </c>
      <c r="O18" s="5">
        <v>13656</v>
      </c>
      <c r="P18" s="5">
        <v>3.1221000000000001</v>
      </c>
      <c r="Q18" s="5">
        <v>5059</v>
      </c>
      <c r="R18" s="5">
        <v>2781</v>
      </c>
      <c r="S18" s="5">
        <v>3277</v>
      </c>
      <c r="T18" s="5">
        <v>1314</v>
      </c>
      <c r="U18" s="5">
        <v>1154</v>
      </c>
      <c r="V18" s="5">
        <v>1157</v>
      </c>
      <c r="W18" s="5">
        <v>2517</v>
      </c>
      <c r="X18" s="5">
        <v>2701</v>
      </c>
      <c r="Y18" s="5">
        <v>1219</v>
      </c>
      <c r="Z18" s="5">
        <v>835</v>
      </c>
      <c r="AA18" s="5">
        <v>854</v>
      </c>
      <c r="AB18" s="5">
        <v>687</v>
      </c>
      <c r="AC18" s="5">
        <v>801</v>
      </c>
      <c r="AD18" s="5">
        <v>1116</v>
      </c>
      <c r="AE18" s="5">
        <v>1141</v>
      </c>
      <c r="AF18" s="5">
        <v>1426</v>
      </c>
      <c r="AG18" s="5">
        <v>1428</v>
      </c>
      <c r="AH18" s="5">
        <v>1120.0640000000001</v>
      </c>
      <c r="AI18" s="5">
        <v>985.25800000000004</v>
      </c>
      <c r="AJ18" s="5">
        <v>535.86099999999999</v>
      </c>
      <c r="AK18" s="5">
        <v>548.70799999999997</v>
      </c>
      <c r="AL18" s="5">
        <v>761.05899999999997</v>
      </c>
      <c r="AM18" s="5">
        <v>909.46500000000003</v>
      </c>
      <c r="AN18" s="5">
        <v>907.67600000000004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</row>
    <row r="19" spans="1:157" x14ac:dyDescent="0.25">
      <c r="A19" s="2" t="s">
        <v>15</v>
      </c>
      <c r="B19" s="5">
        <v>4084</v>
      </c>
      <c r="C19" s="5">
        <v>8466</v>
      </c>
      <c r="D19" s="5">
        <v>7922</v>
      </c>
      <c r="E19" s="5">
        <v>8607</v>
      </c>
      <c r="F19" s="5">
        <v>9453</v>
      </c>
      <c r="G19" s="5">
        <v>8510</v>
      </c>
      <c r="H19" s="5">
        <v>7646</v>
      </c>
      <c r="I19" s="5">
        <v>8021</v>
      </c>
      <c r="J19" s="5">
        <v>4081</v>
      </c>
      <c r="K19" s="5">
        <v>4301</v>
      </c>
      <c r="L19" s="5">
        <v>4389</v>
      </c>
      <c r="M19" s="5">
        <v>3498</v>
      </c>
      <c r="N19" s="5">
        <v>5468</v>
      </c>
      <c r="O19" s="5">
        <v>5420</v>
      </c>
      <c r="P19" s="5">
        <v>4794</v>
      </c>
      <c r="Q19" s="5">
        <v>2965</v>
      </c>
      <c r="R19" s="5">
        <v>3011</v>
      </c>
      <c r="S19" s="5">
        <v>3133</v>
      </c>
      <c r="T19" s="5">
        <v>2231</v>
      </c>
      <c r="U19" s="5">
        <v>1730</v>
      </c>
      <c r="V19" s="5">
        <v>2814</v>
      </c>
      <c r="W19" s="5">
        <v>2512</v>
      </c>
      <c r="X19" s="5">
        <v>2260</v>
      </c>
      <c r="Y19" s="5">
        <v>961</v>
      </c>
      <c r="Z19" s="5">
        <v>1004</v>
      </c>
      <c r="AA19" s="5">
        <v>902</v>
      </c>
      <c r="AB19" s="5">
        <v>991</v>
      </c>
      <c r="AC19" s="5">
        <v>1001</v>
      </c>
      <c r="AD19" s="5">
        <v>1182</v>
      </c>
      <c r="AE19" s="5">
        <v>966</v>
      </c>
      <c r="AF19" s="5">
        <v>855</v>
      </c>
      <c r="AG19" s="5">
        <v>725</v>
      </c>
      <c r="AH19" s="5">
        <v>658.63099999999997</v>
      </c>
      <c r="AI19" s="5">
        <v>493.76499999999999</v>
      </c>
      <c r="AJ19" s="5">
        <v>332.06</v>
      </c>
      <c r="AK19" s="5">
        <v>294.358</v>
      </c>
      <c r="AL19" s="5">
        <v>205.702</v>
      </c>
      <c r="AM19" s="5"/>
      <c r="AN19" s="5">
        <v>354.05399999999997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</row>
    <row r="20" spans="1:157" x14ac:dyDescent="0.25">
      <c r="A20" s="2" t="s">
        <v>16</v>
      </c>
      <c r="B20" s="5">
        <v>48928</v>
      </c>
      <c r="C20" s="5">
        <v>46652</v>
      </c>
      <c r="D20" s="5">
        <v>47213</v>
      </c>
      <c r="E20" s="5">
        <v>49544</v>
      </c>
      <c r="F20" s="5">
        <v>51411</v>
      </c>
      <c r="G20" s="5">
        <v>38310</v>
      </c>
      <c r="H20" s="5">
        <v>35376</v>
      </c>
      <c r="I20" s="5">
        <v>41725</v>
      </c>
      <c r="J20" s="5">
        <v>37518</v>
      </c>
      <c r="K20" s="5">
        <v>37303</v>
      </c>
      <c r="L20" s="5">
        <v>29088</v>
      </c>
      <c r="M20" s="5">
        <v>28804</v>
      </c>
      <c r="N20" s="5">
        <v>25185</v>
      </c>
      <c r="O20" s="5">
        <v>23770</v>
      </c>
      <c r="P20" s="5">
        <v>9058.1219999999994</v>
      </c>
      <c r="Q20" s="5">
        <v>9604</v>
      </c>
      <c r="R20" s="5">
        <v>6669</v>
      </c>
      <c r="S20" s="5">
        <v>8300</v>
      </c>
      <c r="T20" s="5">
        <v>4153</v>
      </c>
      <c r="U20" s="5">
        <v>3236</v>
      </c>
      <c r="V20" s="5">
        <v>4373</v>
      </c>
      <c r="W20" s="5">
        <v>5366</v>
      </c>
      <c r="X20" s="5">
        <v>5265</v>
      </c>
      <c r="Y20" s="5">
        <v>2622</v>
      </c>
      <c r="Z20" s="5">
        <v>2197</v>
      </c>
      <c r="AA20" s="5">
        <v>2254</v>
      </c>
      <c r="AB20" s="5">
        <v>2102</v>
      </c>
      <c r="AC20" s="5">
        <v>2250</v>
      </c>
      <c r="AD20" s="5">
        <v>2599</v>
      </c>
      <c r="AE20" s="5">
        <v>2301</v>
      </c>
      <c r="AF20" s="5">
        <v>2461</v>
      </c>
      <c r="AG20" s="5">
        <v>2266</v>
      </c>
      <c r="AH20" s="5">
        <v>1860.3240000000001</v>
      </c>
      <c r="AI20" s="5">
        <v>1679.05</v>
      </c>
      <c r="AJ20" s="5">
        <v>1132.5319999999999</v>
      </c>
      <c r="AK20" s="5">
        <v>1139.1210000000001</v>
      </c>
      <c r="AL20" s="5">
        <v>1236.413</v>
      </c>
      <c r="AM20" s="5">
        <v>1119.345</v>
      </c>
      <c r="AN20" s="5">
        <v>2000.136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</row>
    <row r="21" spans="1:157" x14ac:dyDescent="0.25">
      <c r="A21" s="8" t="s">
        <v>17</v>
      </c>
      <c r="B21" s="9">
        <v>74177</v>
      </c>
      <c r="C21" s="9">
        <v>70223</v>
      </c>
      <c r="D21" s="9">
        <v>66937</v>
      </c>
      <c r="E21" s="9">
        <v>69494</v>
      </c>
      <c r="F21" s="9">
        <v>66012</v>
      </c>
      <c r="G21" s="9">
        <v>65283</v>
      </c>
      <c r="H21" s="9">
        <v>64158</v>
      </c>
      <c r="I21" s="9">
        <v>68919</v>
      </c>
      <c r="J21" s="9">
        <v>64050</v>
      </c>
      <c r="K21" s="9">
        <v>64232</v>
      </c>
      <c r="L21" s="9">
        <v>61462</v>
      </c>
      <c r="M21" s="9">
        <v>56615</v>
      </c>
      <c r="N21" s="9">
        <v>53006</v>
      </c>
      <c r="O21" s="9">
        <v>48053</v>
      </c>
      <c r="P21" s="9">
        <v>41604</v>
      </c>
      <c r="Q21" s="9">
        <v>23325</v>
      </c>
      <c r="R21" s="9">
        <v>19657</v>
      </c>
      <c r="S21" s="9">
        <v>21525</v>
      </c>
      <c r="T21" s="9">
        <v>13043</v>
      </c>
      <c r="U21" s="9">
        <v>13072</v>
      </c>
      <c r="V21" s="9">
        <v>15506</v>
      </c>
      <c r="W21" s="9">
        <v>13252</v>
      </c>
      <c r="X21" s="9">
        <v>12606</v>
      </c>
      <c r="Y21" s="9">
        <v>11051</v>
      </c>
      <c r="Z21" s="9">
        <v>11518</v>
      </c>
      <c r="AA21" s="9">
        <v>12110</v>
      </c>
      <c r="AB21" s="9">
        <v>10742</v>
      </c>
      <c r="AC21" s="9">
        <v>9629</v>
      </c>
      <c r="AD21" s="9">
        <v>10005</v>
      </c>
      <c r="AE21" s="9">
        <v>9649</v>
      </c>
      <c r="AF21" s="9">
        <v>8638</v>
      </c>
      <c r="AG21" s="9">
        <v>7437</v>
      </c>
      <c r="AH21" s="9">
        <v>7163.5460000000003</v>
      </c>
      <c r="AI21" s="9">
        <v>5950.268</v>
      </c>
      <c r="AJ21" s="9">
        <v>5429.0230000000001</v>
      </c>
      <c r="AK21" s="9">
        <v>4797.0510000000004</v>
      </c>
      <c r="AL21" s="9">
        <v>4105.3100000000004</v>
      </c>
      <c r="AM21" s="9">
        <v>5418.3720000000003</v>
      </c>
      <c r="AN21" s="9">
        <v>3969.1489999999999</v>
      </c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</row>
    <row r="22" spans="1:157" x14ac:dyDescent="0.25">
      <c r="A22" s="2"/>
    </row>
    <row r="23" spans="1:157" x14ac:dyDescent="0.25">
      <c r="A23" s="2" t="s">
        <v>18</v>
      </c>
      <c r="B23" s="5">
        <v>1760</v>
      </c>
      <c r="C23" s="5">
        <v>1760</v>
      </c>
      <c r="D23" s="5">
        <v>1760</v>
      </c>
      <c r="E23" s="5">
        <v>1760</v>
      </c>
      <c r="F23" s="5">
        <v>1760</v>
      </c>
      <c r="G23" s="5">
        <v>1760</v>
      </c>
      <c r="H23" s="5">
        <v>1760</v>
      </c>
      <c r="I23" s="5">
        <v>1760</v>
      </c>
      <c r="J23" s="5">
        <v>1760</v>
      </c>
      <c r="K23" s="5">
        <v>1760</v>
      </c>
      <c r="L23" s="5">
        <v>1760</v>
      </c>
      <c r="M23" s="5">
        <v>1760</v>
      </c>
      <c r="N23" s="5">
        <v>1760</v>
      </c>
      <c r="O23" s="5">
        <v>1760</v>
      </c>
      <c r="P23" s="5">
        <v>880</v>
      </c>
      <c r="Q23" s="5">
        <v>880</v>
      </c>
      <c r="R23" s="5">
        <v>880</v>
      </c>
      <c r="S23" s="5">
        <v>880</v>
      </c>
      <c r="T23" s="5">
        <v>878</v>
      </c>
      <c r="U23" s="5">
        <v>877</v>
      </c>
      <c r="V23" s="5">
        <v>875</v>
      </c>
      <c r="W23" s="5">
        <v>874</v>
      </c>
      <c r="X23" s="5">
        <v>873</v>
      </c>
      <c r="Y23" s="5">
        <v>873</v>
      </c>
      <c r="Z23" s="5">
        <v>870</v>
      </c>
      <c r="AA23" s="5">
        <v>867</v>
      </c>
      <c r="AB23" s="5">
        <v>865</v>
      </c>
      <c r="AC23" s="5">
        <v>861</v>
      </c>
      <c r="AD23" s="5">
        <v>858</v>
      </c>
      <c r="AE23" s="5">
        <v>428</v>
      </c>
      <c r="AF23" s="5">
        <v>427</v>
      </c>
      <c r="AG23" s="5">
        <v>426</v>
      </c>
      <c r="AH23" s="5">
        <v>424.05099999999999</v>
      </c>
      <c r="AI23" s="5">
        <v>421.83800000000002</v>
      </c>
      <c r="AJ23" s="5">
        <v>420.24400000000003</v>
      </c>
      <c r="AK23" s="5">
        <v>418.91</v>
      </c>
      <c r="AL23" s="5">
        <v>417.39499999999998</v>
      </c>
      <c r="AM23" s="5">
        <v>415.97699999999998</v>
      </c>
      <c r="AN23" s="5">
        <v>414.49200000000002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</row>
    <row r="24" spans="1:157" x14ac:dyDescent="0.25">
      <c r="A24" s="2" t="s">
        <v>19</v>
      </c>
      <c r="B24" s="5">
        <v>76054</v>
      </c>
      <c r="C24" s="5">
        <v>73782</v>
      </c>
      <c r="D24" s="5">
        <v>71019</v>
      </c>
      <c r="E24" s="5">
        <v>69094</v>
      </c>
      <c r="F24" s="5">
        <v>66555</v>
      </c>
      <c r="G24" s="5">
        <v>65855</v>
      </c>
      <c r="H24" s="5">
        <v>63234</v>
      </c>
      <c r="I24" s="5">
        <v>60430</v>
      </c>
      <c r="J24" s="5">
        <v>65502</v>
      </c>
      <c r="K24" s="5">
        <v>65018</v>
      </c>
      <c r="L24" s="5">
        <v>63408</v>
      </c>
      <c r="M24" s="5">
        <v>61660</v>
      </c>
      <c r="N24" s="5">
        <v>58045</v>
      </c>
      <c r="O24" s="5">
        <v>53621</v>
      </c>
      <c r="P24" s="5">
        <v>49278</v>
      </c>
      <c r="Q24" s="5">
        <v>41537</v>
      </c>
      <c r="R24" s="5">
        <v>38513</v>
      </c>
      <c r="S24" s="5">
        <v>36235</v>
      </c>
      <c r="T24" s="5">
        <v>33468</v>
      </c>
      <c r="U24" s="5">
        <v>31299</v>
      </c>
      <c r="V24" s="5">
        <v>29105</v>
      </c>
      <c r="W24" s="5">
        <v>26687</v>
      </c>
      <c r="X24" s="5">
        <v>24506</v>
      </c>
      <c r="Y24" s="5">
        <v>23443</v>
      </c>
      <c r="Z24" s="5">
        <v>21265</v>
      </c>
      <c r="AA24" s="5">
        <v>20773</v>
      </c>
      <c r="AB24" s="5">
        <v>19922</v>
      </c>
      <c r="AC24" s="5">
        <v>17869</v>
      </c>
      <c r="AD24" s="5">
        <v>15127</v>
      </c>
      <c r="AE24" s="5">
        <v>12882</v>
      </c>
      <c r="AF24" s="5">
        <v>11006</v>
      </c>
      <c r="AG24" s="5">
        <v>9458</v>
      </c>
      <c r="AH24" s="5">
        <v>8165.0240000000003</v>
      </c>
      <c r="AI24" s="5">
        <v>7238.643</v>
      </c>
      <c r="AJ24" s="5">
        <v>6447.576</v>
      </c>
      <c r="AK24" s="5">
        <v>5618.3119999999999</v>
      </c>
      <c r="AL24" s="5">
        <v>4385.1419999999998</v>
      </c>
      <c r="AM24" s="5">
        <v>3783.625</v>
      </c>
      <c r="AN24" s="5">
        <v>3624.0459999999998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</row>
    <row r="25" spans="1:157" x14ac:dyDescent="0.25">
      <c r="A25" s="2" t="s">
        <v>20</v>
      </c>
      <c r="B25" s="5">
        <v>-16843</v>
      </c>
      <c r="C25" s="5">
        <v>-14275</v>
      </c>
      <c r="D25" s="5">
        <v>-14895</v>
      </c>
      <c r="E25" s="5">
        <v>-14330</v>
      </c>
      <c r="F25" s="5">
        <v>-14601</v>
      </c>
      <c r="G25" s="5">
        <v>-13544</v>
      </c>
      <c r="H25" s="5">
        <v>-12814</v>
      </c>
      <c r="I25" s="5">
        <v>-10305</v>
      </c>
      <c r="J25" s="5">
        <v>-11205</v>
      </c>
      <c r="K25" s="5">
        <v>-10174</v>
      </c>
      <c r="L25" s="5">
        <v>-5777</v>
      </c>
      <c r="M25" s="5">
        <v>-3432</v>
      </c>
      <c r="N25" s="5">
        <v>-3385</v>
      </c>
      <c r="O25" s="5">
        <v>-2774</v>
      </c>
      <c r="P25" s="5">
        <v>-0.247</v>
      </c>
      <c r="Q25" s="5">
        <v>-757</v>
      </c>
      <c r="R25" s="5">
        <v>-2674</v>
      </c>
      <c r="S25" s="5">
        <v>626</v>
      </c>
      <c r="T25" s="5">
        <v>-1291</v>
      </c>
      <c r="U25" s="5">
        <v>-1669</v>
      </c>
      <c r="V25" s="5">
        <v>-1348</v>
      </c>
      <c r="W25" s="5">
        <v>-1995</v>
      </c>
      <c r="X25" s="5">
        <v>-3047</v>
      </c>
      <c r="Y25" s="5">
        <v>-2788</v>
      </c>
      <c r="Z25" s="5">
        <v>-2722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</row>
    <row r="26" spans="1:157" x14ac:dyDescent="0.25">
      <c r="A26" s="2" t="s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-1551</v>
      </c>
      <c r="AB26" s="5">
        <v>-1434</v>
      </c>
      <c r="AC26" s="5">
        <v>-1364</v>
      </c>
      <c r="AD26" s="5">
        <v>-567</v>
      </c>
      <c r="AE26" s="5">
        <v>-410</v>
      </c>
      <c r="AF26" s="5">
        <v>-298</v>
      </c>
      <c r="AG26" s="5">
        <v>-505</v>
      </c>
      <c r="AH26" s="5">
        <v>-370.84199999999998</v>
      </c>
      <c r="AI26" s="5">
        <v>-119.818</v>
      </c>
      <c r="AJ26" s="5">
        <v>-63.728999999999999</v>
      </c>
      <c r="AK26" s="5">
        <v>-53.097999999999999</v>
      </c>
      <c r="AL26" s="5">
        <v>-68.477000000000004</v>
      </c>
      <c r="AM26" s="5">
        <v>-5.0469999999999997</v>
      </c>
      <c r="AN26" s="5">
        <v>-118.087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</row>
    <row r="27" spans="1:157" x14ac:dyDescent="0.25">
      <c r="A27" s="8" t="s">
        <v>22</v>
      </c>
      <c r="B27" s="10">
        <v>26372</v>
      </c>
      <c r="C27" s="10">
        <v>27480</v>
      </c>
      <c r="D27" s="10">
        <v>25826</v>
      </c>
      <c r="E27" s="10">
        <v>24860</v>
      </c>
      <c r="F27" s="10">
        <v>21284</v>
      </c>
      <c r="G27" s="10">
        <v>21098</v>
      </c>
      <c r="H27" s="10">
        <v>19058</v>
      </c>
      <c r="I27" s="10">
        <v>18977</v>
      </c>
      <c r="J27" s="10">
        <v>23220</v>
      </c>
      <c r="K27" s="10">
        <v>25764</v>
      </c>
      <c r="L27" s="10">
        <v>30561</v>
      </c>
      <c r="M27" s="10">
        <v>33440</v>
      </c>
      <c r="N27" s="10">
        <v>33168</v>
      </c>
      <c r="O27" s="10">
        <v>31921</v>
      </c>
      <c r="P27" s="10">
        <v>31317</v>
      </c>
      <c r="Q27" s="10">
        <v>25346</v>
      </c>
      <c r="R27" s="10">
        <v>20862</v>
      </c>
      <c r="S27" s="10">
        <v>21744</v>
      </c>
      <c r="T27" s="10">
        <v>16920</v>
      </c>
      <c r="U27" s="10">
        <v>16355</v>
      </c>
      <c r="V27" s="10">
        <v>15935</v>
      </c>
      <c r="W27" s="10">
        <v>14090</v>
      </c>
      <c r="X27" s="10">
        <v>11800</v>
      </c>
      <c r="Y27" s="10">
        <v>11366</v>
      </c>
      <c r="Z27" s="10">
        <v>9316</v>
      </c>
      <c r="AA27" s="10">
        <v>9513</v>
      </c>
      <c r="AB27" s="10">
        <v>8403</v>
      </c>
      <c r="AC27" s="10">
        <v>7311</v>
      </c>
      <c r="AD27" s="10">
        <v>6156</v>
      </c>
      <c r="AE27" s="10">
        <v>5392</v>
      </c>
      <c r="AF27" s="10">
        <v>5235</v>
      </c>
      <c r="AG27" s="10">
        <v>4584</v>
      </c>
      <c r="AH27" s="10">
        <v>3888.3879999999999</v>
      </c>
      <c r="AI27" s="10">
        <v>4238.9470000000001</v>
      </c>
      <c r="AJ27" s="10">
        <v>3849.1640000000002</v>
      </c>
      <c r="AK27" s="10">
        <v>3485.4850000000001</v>
      </c>
      <c r="AL27" s="10">
        <v>3345.3020000000001</v>
      </c>
      <c r="AM27" s="10">
        <v>3187.174</v>
      </c>
      <c r="AN27" s="10">
        <v>3514.9789999999998</v>
      </c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</row>
    <row r="28" spans="1:157" x14ac:dyDescent="0.25">
      <c r="A28" s="6" t="s">
        <v>23</v>
      </c>
      <c r="B28" s="11">
        <v>100549</v>
      </c>
      <c r="C28" s="11">
        <v>97703</v>
      </c>
      <c r="D28" s="11">
        <v>92763</v>
      </c>
      <c r="E28" s="11">
        <v>94354</v>
      </c>
      <c r="F28" s="11">
        <v>87296</v>
      </c>
      <c r="G28" s="11">
        <v>86381</v>
      </c>
      <c r="H28" s="11">
        <v>83216</v>
      </c>
      <c r="I28" s="11">
        <v>87896</v>
      </c>
      <c r="J28" s="11">
        <v>87270</v>
      </c>
      <c r="K28" s="11">
        <v>89996</v>
      </c>
      <c r="L28" s="11">
        <v>92023</v>
      </c>
      <c r="M28" s="11">
        <v>90055</v>
      </c>
      <c r="N28" s="11">
        <v>86174</v>
      </c>
      <c r="O28" s="11">
        <v>79974</v>
      </c>
      <c r="P28" s="11">
        <v>72921</v>
      </c>
      <c r="Q28" s="11">
        <v>48671</v>
      </c>
      <c r="R28" s="11">
        <v>40519</v>
      </c>
      <c r="S28" s="11">
        <v>43269</v>
      </c>
      <c r="T28" s="11">
        <v>29963</v>
      </c>
      <c r="U28" s="11">
        <v>29427</v>
      </c>
      <c r="V28" s="11">
        <v>31441</v>
      </c>
      <c r="W28" s="11">
        <v>27342</v>
      </c>
      <c r="X28" s="11">
        <v>24406</v>
      </c>
      <c r="Y28" s="11">
        <v>22417</v>
      </c>
      <c r="Z28" s="11">
        <v>20834</v>
      </c>
      <c r="AA28" s="11">
        <v>21623</v>
      </c>
      <c r="AB28" s="11">
        <v>19145</v>
      </c>
      <c r="AC28" s="11">
        <v>16940</v>
      </c>
      <c r="AD28" s="11">
        <v>16161</v>
      </c>
      <c r="AE28" s="11">
        <v>15041</v>
      </c>
      <c r="AF28" s="11">
        <v>13873</v>
      </c>
      <c r="AG28" s="11">
        <v>12021</v>
      </c>
      <c r="AH28" s="11">
        <v>11051.93</v>
      </c>
      <c r="AI28" s="11">
        <v>10222.43</v>
      </c>
      <c r="AJ28" s="11">
        <v>9278.1869999999999</v>
      </c>
      <c r="AK28" s="11">
        <v>8282.5360000000001</v>
      </c>
      <c r="AL28" s="11">
        <v>7450.6120000000001</v>
      </c>
      <c r="AM28" s="11">
        <v>8355.56</v>
      </c>
      <c r="AN28" s="11">
        <v>8373.4380000000001</v>
      </c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082B-F963-4605-85F1-BB7FB11B7F2F}">
  <dimension ref="A1:Z158"/>
  <sheetViews>
    <sheetView showGridLines="0" workbookViewId="0">
      <selection sqref="A1:Z1"/>
    </sheetView>
  </sheetViews>
  <sheetFormatPr defaultColWidth="25.7109375" defaultRowHeight="15" x14ac:dyDescent="0.25"/>
  <cols>
    <col min="10" max="10" width="29.7109375" bestFit="1" customWidth="1"/>
    <col min="12" max="12" width="29.28515625" bestFit="1" customWidth="1"/>
    <col min="18" max="18" width="27.85546875" bestFit="1" customWidth="1"/>
    <col min="22" max="22" width="38.42578125" bestFit="1" customWidth="1"/>
    <col min="26" max="26" width="38.85546875" bestFit="1" customWidth="1"/>
  </cols>
  <sheetData>
    <row r="1" spans="1:26" x14ac:dyDescent="0.25">
      <c r="A1" s="12" t="s">
        <v>24</v>
      </c>
      <c r="B1" s="12" t="s">
        <v>25</v>
      </c>
      <c r="C1" s="12" t="s">
        <v>26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</row>
    <row r="2" spans="1:26" x14ac:dyDescent="0.25">
      <c r="A2" s="13" t="s">
        <v>27</v>
      </c>
      <c r="B2" s="14">
        <f t="shared" ref="B2:B40" ca="1" si="0">TODAY()</f>
        <v>46088</v>
      </c>
      <c r="C2" s="13">
        <v>2024</v>
      </c>
      <c r="D2" s="13">
        <f>INDEX(Raw!$B$4:$AN$28, MATCH(D$1, Raw!$A$4:$A$28, 0), MATCH($C2, Raw!$B$1:$AN$1, 0))</f>
        <v>14571</v>
      </c>
      <c r="E2" s="13">
        <f>INDEX(Raw!$B$4:$AN$28, MATCH(E$1, Raw!$A$4:$A$28, 0), MATCH($C2, Raw!$B$1:$AN$1, 0))</f>
        <v>3569</v>
      </c>
      <c r="F2" s="13">
        <f>INDEX(Raw!$B$4:$AN$28, MATCH(F$1, Raw!$A$4:$A$28, 0), MATCH($C2, Raw!$B$1:$AN$1, 0))</f>
        <v>4728</v>
      </c>
      <c r="G2" s="13">
        <f>INDEX(Raw!$B$4:$AN$28, MATCH(G$1, Raw!$A$4:$A$28, 0), MATCH($C2, Raw!$B$1:$AN$1, 0))</f>
        <v>3129</v>
      </c>
      <c r="H2" s="13">
        <f>INDEX(Raw!$B$4:$AN$28, MATCH(H$1, Raw!$A$4:$A$28, 0), MATCH($C2, Raw!$B$1:$AN$1, 0))</f>
        <v>0</v>
      </c>
      <c r="I2" s="13">
        <f>INDEX(Raw!$B$4:$AN$28, MATCH(I$1, Raw!$A$4:$A$28, 0), MATCH($C2, Raw!$B$1:$AN$1, 0))</f>
        <v>25997</v>
      </c>
      <c r="J2" s="13">
        <f>INDEX(Raw!$B$4:$AN$28, MATCH(J$1, Raw!$A$4:$A$28, 0), MATCH($C2, Raw!$B$1:$AN$1, 0))</f>
        <v>10303</v>
      </c>
      <c r="K2" s="13">
        <f>INDEX(Raw!$B$4:$AN$28, MATCH(K$1, Raw!$A$4:$A$28, 0), MATCH($C2, Raw!$B$1:$AN$1, 0))</f>
        <v>18087</v>
      </c>
      <c r="L2" s="13">
        <f>INDEX(Raw!$B$4:$AN$28, MATCH(L$1, Raw!$A$4:$A$28, 0), MATCH($C2, Raw!$B$1:$AN$1, 0))</f>
        <v>31440</v>
      </c>
      <c r="M2" s="13">
        <f>INDEX(Raw!$B$4:$AN$28, MATCH(M$1, Raw!$A$4:$A$28, 0), MATCH($C2, Raw!$B$1:$AN$1, 0))</f>
        <v>13403</v>
      </c>
      <c r="N2" s="13">
        <f>INDEX(Raw!$B$4:$AN$28, MATCH(N$1, Raw!$A$4:$A$28, 0), MATCH($C2, Raw!$B$1:$AN$1, 0))</f>
        <v>74552</v>
      </c>
      <c r="O2" s="13">
        <f>INDEX(Raw!$B$4:$AN$28, MATCH(O$1, Raw!$A$4:$A$28, 0), MATCH($C2, Raw!$B$1:$AN$1, 0))</f>
        <v>100549</v>
      </c>
      <c r="P2" s="13">
        <f>INDEX(Raw!$B$4:$AN$28, MATCH(P$1, Raw!$A$4:$A$28, 0), MATCH($C2, Raw!$B$1:$AN$1, 0))</f>
        <v>25249</v>
      </c>
      <c r="Q2" s="13">
        <f>INDEX(Raw!$B$4:$AN$28, MATCH(Q$1, Raw!$A$4:$A$28, 0), MATCH($C2, Raw!$B$1:$AN$1, 0))</f>
        <v>42375</v>
      </c>
      <c r="R2" s="13">
        <f>INDEX(Raw!$B$4:$AN$28, MATCH(R$1, Raw!$A$4:$A$28, 0), MATCH($C2, Raw!$B$1:$AN$1, 0))</f>
        <v>4084</v>
      </c>
      <c r="S2" s="13">
        <f>INDEX(Raw!$B$4:$AN$28, MATCH(S$1, Raw!$A$4:$A$28, 0), MATCH($C2, Raw!$B$1:$AN$1, 0))</f>
        <v>48928</v>
      </c>
      <c r="T2" s="13">
        <f>INDEX(Raw!$B$4:$AN$28, MATCH(T$1, Raw!$A$4:$A$28, 0), MATCH($C2, Raw!$B$1:$AN$1, 0))</f>
        <v>74177</v>
      </c>
      <c r="U2" s="13">
        <f>INDEX(Raw!$B$4:$AN$28, MATCH(U$1, Raw!$A$4:$A$28, 0), MATCH($C2, Raw!$B$1:$AN$1, 0))</f>
        <v>1760</v>
      </c>
      <c r="V2" s="13">
        <f>INDEX(Raw!$B$4:$AN$28, MATCH(V$1, Raw!$A$4:$A$28, 0), MATCH($C2, Raw!$B$1:$AN$1, 0))</f>
        <v>76054</v>
      </c>
      <c r="W2" s="13">
        <f>INDEX(Raw!$B$4:$AN$28, MATCH(W$1, Raw!$A$4:$A$28, 0), MATCH($C2, Raw!$B$1:$AN$1, 0))</f>
        <v>-16843</v>
      </c>
      <c r="X2" s="13">
        <f>INDEX(Raw!$B$4:$AN$28, MATCH(X$1, Raw!$A$4:$A$28, 0), MATCH($C2, Raw!$B$1:$AN$1, 0))</f>
        <v>0</v>
      </c>
      <c r="Y2" s="13">
        <f>INDEX(Raw!$B$4:$AN$28, MATCH(Y$1, Raw!$A$4:$A$28, 0), MATCH($C2, Raw!$B$1:$AN$1, 0))</f>
        <v>26372</v>
      </c>
      <c r="Z2" s="13">
        <f>INDEX(Raw!$B$4:$AN$28, MATCH(Z$1, Raw!$A$4:$A$28, 0), MATCH($C2, Raw!$B$1:$AN$1, 0))</f>
        <v>100549</v>
      </c>
    </row>
    <row r="3" spans="1:26" x14ac:dyDescent="0.25">
      <c r="A3" s="13" t="s">
        <v>27</v>
      </c>
      <c r="B3" s="14">
        <f t="shared" ca="1" si="0"/>
        <v>46088</v>
      </c>
      <c r="C3" s="13">
        <v>2023</v>
      </c>
      <c r="D3" s="13">
        <f>INDEX(Raw!$B$4:$AN$28, MATCH(D$1, Raw!$A$4:$A$28, 0), MATCH($C3, Raw!$B$1:$AN$1, 0))</f>
        <v>13663</v>
      </c>
      <c r="E3" s="13">
        <f>INDEX(Raw!$B$4:$AN$28, MATCH(E$1, Raw!$A$4:$A$28, 0), MATCH($C3, Raw!$B$1:$AN$1, 0))</f>
        <v>3410</v>
      </c>
      <c r="F3" s="13">
        <f>INDEX(Raw!$B$4:$AN$28, MATCH(F$1, Raw!$A$4:$A$28, 0), MATCH($C3, Raw!$B$1:$AN$1, 0))</f>
        <v>4424</v>
      </c>
      <c r="G3" s="13">
        <f>INDEX(Raw!$B$4:$AN$28, MATCH(G$1, Raw!$A$4:$A$28, 0), MATCH($C3, Raw!$B$1:$AN$1, 0))</f>
        <v>5235</v>
      </c>
      <c r="H3" s="13">
        <f>INDEX(Raw!$B$4:$AN$28, MATCH(H$1, Raw!$A$4:$A$28, 0), MATCH($C3, Raw!$B$1:$AN$1, 0))</f>
        <v>0</v>
      </c>
      <c r="I3" s="13">
        <f>INDEX(Raw!$B$4:$AN$28, MATCH(I$1, Raw!$A$4:$A$28, 0), MATCH($C3, Raw!$B$1:$AN$1, 0))</f>
        <v>26732</v>
      </c>
      <c r="J3" s="13">
        <f>INDEX(Raw!$B$4:$AN$28, MATCH(J$1, Raw!$A$4:$A$28, 0), MATCH($C3, Raw!$B$1:$AN$1, 0))</f>
        <v>9236</v>
      </c>
      <c r="K3" s="13">
        <f>INDEX(Raw!$B$4:$AN$28, MATCH(K$1, Raw!$A$4:$A$28, 0), MATCH($C3, Raw!$B$1:$AN$1, 0))</f>
        <v>19671</v>
      </c>
      <c r="L3" s="13">
        <f>INDEX(Raw!$B$4:$AN$28, MATCH(L$1, Raw!$A$4:$A$28, 0), MATCH($C3, Raw!$B$1:$AN$1, 0))</f>
        <v>32707</v>
      </c>
      <c r="M3" s="13">
        <f>INDEX(Raw!$B$4:$AN$28, MATCH(M$1, Raw!$A$4:$A$28, 0), MATCH($C3, Raw!$B$1:$AN$1, 0))</f>
        <v>7796</v>
      </c>
      <c r="N3" s="13">
        <f>INDEX(Raw!$B$4:$AN$28, MATCH(N$1, Raw!$A$4:$A$28, 0), MATCH($C3, Raw!$B$1:$AN$1, 0))</f>
        <v>70971</v>
      </c>
      <c r="O3" s="13">
        <f>INDEX(Raw!$B$4:$AN$28, MATCH(O$1, Raw!$A$4:$A$28, 0), MATCH($C3, Raw!$B$1:$AN$1, 0))</f>
        <v>97703</v>
      </c>
      <c r="P3" s="13">
        <f>INDEX(Raw!$B$4:$AN$28, MATCH(P$1, Raw!$A$4:$A$28, 0), MATCH($C3, Raw!$B$1:$AN$1, 0))</f>
        <v>23571</v>
      </c>
      <c r="Q3" s="13">
        <f>INDEX(Raw!$B$4:$AN$28, MATCH(Q$1, Raw!$A$4:$A$28, 0), MATCH($C3, Raw!$B$1:$AN$1, 0))</f>
        <v>35547</v>
      </c>
      <c r="R3" s="13">
        <f>INDEX(Raw!$B$4:$AN$28, MATCH(R$1, Raw!$A$4:$A$28, 0), MATCH($C3, Raw!$B$1:$AN$1, 0))</f>
        <v>8466</v>
      </c>
      <c r="S3" s="13">
        <f>INDEX(Raw!$B$4:$AN$28, MATCH(S$1, Raw!$A$4:$A$28, 0), MATCH($C3, Raw!$B$1:$AN$1, 0))</f>
        <v>46652</v>
      </c>
      <c r="T3" s="13">
        <f>INDEX(Raw!$B$4:$AN$28, MATCH(T$1, Raw!$A$4:$A$28, 0), MATCH($C3, Raw!$B$1:$AN$1, 0))</f>
        <v>70223</v>
      </c>
      <c r="U3" s="13">
        <f>INDEX(Raw!$B$4:$AN$28, MATCH(U$1, Raw!$A$4:$A$28, 0), MATCH($C3, Raw!$B$1:$AN$1, 0))</f>
        <v>1760</v>
      </c>
      <c r="V3" s="13">
        <f>INDEX(Raw!$B$4:$AN$28, MATCH(V$1, Raw!$A$4:$A$28, 0), MATCH($C3, Raw!$B$1:$AN$1, 0))</f>
        <v>73782</v>
      </c>
      <c r="W3" s="13">
        <f>INDEX(Raw!$B$4:$AN$28, MATCH(W$1, Raw!$A$4:$A$28, 0), MATCH($C3, Raw!$B$1:$AN$1, 0))</f>
        <v>-14275</v>
      </c>
      <c r="X3" s="13">
        <f>INDEX(Raw!$B$4:$AN$28, MATCH(X$1, Raw!$A$4:$A$28, 0), MATCH($C3, Raw!$B$1:$AN$1, 0))</f>
        <v>0</v>
      </c>
      <c r="Y3" s="13">
        <f>INDEX(Raw!$B$4:$AN$28, MATCH(Y$1, Raw!$A$4:$A$28, 0), MATCH($C3, Raw!$B$1:$AN$1, 0))</f>
        <v>27480</v>
      </c>
      <c r="Z3" s="13">
        <f>INDEX(Raw!$B$4:$AN$28, MATCH(Z$1, Raw!$A$4:$A$28, 0), MATCH($C3, Raw!$B$1:$AN$1, 0))</f>
        <v>97703</v>
      </c>
    </row>
    <row r="4" spans="1:26" x14ac:dyDescent="0.25">
      <c r="A4" s="13" t="s">
        <v>27</v>
      </c>
      <c r="B4" s="14">
        <f t="shared" ca="1" si="0"/>
        <v>46088</v>
      </c>
      <c r="C4" s="13">
        <v>2022</v>
      </c>
      <c r="D4" s="13">
        <f>INDEX(Raw!$B$4:$AN$28, MATCH(D$1, Raw!$A$4:$A$28, 0), MATCH($C4, Raw!$B$1:$AN$1, 0))</f>
        <v>11631</v>
      </c>
      <c r="E4" s="13">
        <f>INDEX(Raw!$B$4:$AN$28, MATCH(E$1, Raw!$A$4:$A$28, 0), MATCH($C4, Raw!$B$1:$AN$1, 0))</f>
        <v>3487</v>
      </c>
      <c r="F4" s="13">
        <f>INDEX(Raw!$B$4:$AN$28, MATCH(F$1, Raw!$A$4:$A$28, 0), MATCH($C4, Raw!$B$1:$AN$1, 0))</f>
        <v>4233</v>
      </c>
      <c r="G4" s="13">
        <f>INDEX(Raw!$B$4:$AN$28, MATCH(G$1, Raw!$A$4:$A$28, 0), MATCH($C4, Raw!$B$1:$AN$1, 0))</f>
        <v>3240</v>
      </c>
      <c r="H4" s="13">
        <f>INDEX(Raw!$B$4:$AN$28, MATCH(H$1, Raw!$A$4:$A$28, 0), MATCH($C4, Raw!$B$1:$AN$1, 0))</f>
        <v>0</v>
      </c>
      <c r="I4" s="13">
        <f>INDEX(Raw!$B$4:$AN$28, MATCH(I$1, Raw!$A$4:$A$28, 0), MATCH($C4, Raw!$B$1:$AN$1, 0))</f>
        <v>22591</v>
      </c>
      <c r="J4" s="13">
        <f>INDEX(Raw!$B$4:$AN$28, MATCH(J$1, Raw!$A$4:$A$28, 0), MATCH($C4, Raw!$B$1:$AN$1, 0))</f>
        <v>9841</v>
      </c>
      <c r="K4" s="13">
        <f>INDEX(Raw!$B$4:$AN$28, MATCH(K$1, Raw!$A$4:$A$28, 0), MATCH($C4, Raw!$B$1:$AN$1, 0))</f>
        <v>18765</v>
      </c>
      <c r="L4" s="13">
        <f>INDEX(Raw!$B$4:$AN$28, MATCH(L$1, Raw!$A$4:$A$28, 0), MATCH($C4, Raw!$B$1:$AN$1, 0))</f>
        <v>33631</v>
      </c>
      <c r="M4" s="13">
        <f>INDEX(Raw!$B$4:$AN$28, MATCH(M$1, Raw!$A$4:$A$28, 0), MATCH($C4, Raw!$B$1:$AN$1, 0))</f>
        <v>6189</v>
      </c>
      <c r="N4" s="13">
        <f>INDEX(Raw!$B$4:$AN$28, MATCH(N$1, Raw!$A$4:$A$28, 0), MATCH($C4, Raw!$B$1:$AN$1, 0))</f>
        <v>70172</v>
      </c>
      <c r="O4" s="13">
        <f>INDEX(Raw!$B$4:$AN$28, MATCH(O$1, Raw!$A$4:$A$28, 0), MATCH($C4, Raw!$B$1:$AN$1, 0))</f>
        <v>92763</v>
      </c>
      <c r="P4" s="13">
        <f>INDEX(Raw!$B$4:$AN$28, MATCH(P$1, Raw!$A$4:$A$28, 0), MATCH($C4, Raw!$B$1:$AN$1, 0))</f>
        <v>19724</v>
      </c>
      <c r="Q4" s="13">
        <f>INDEX(Raw!$B$4:$AN$28, MATCH(Q$1, Raw!$A$4:$A$28, 0), MATCH($C4, Raw!$B$1:$AN$1, 0))</f>
        <v>36377</v>
      </c>
      <c r="R4" s="13">
        <f>INDEX(Raw!$B$4:$AN$28, MATCH(R$1, Raw!$A$4:$A$28, 0), MATCH($C4, Raw!$B$1:$AN$1, 0))</f>
        <v>7922</v>
      </c>
      <c r="S4" s="13">
        <f>INDEX(Raw!$B$4:$AN$28, MATCH(S$1, Raw!$A$4:$A$28, 0), MATCH($C4, Raw!$B$1:$AN$1, 0))</f>
        <v>47213</v>
      </c>
      <c r="T4" s="13">
        <f>INDEX(Raw!$B$4:$AN$28, MATCH(T$1, Raw!$A$4:$A$28, 0), MATCH($C4, Raw!$B$1:$AN$1, 0))</f>
        <v>66937</v>
      </c>
      <c r="U4" s="13">
        <f>INDEX(Raw!$B$4:$AN$28, MATCH(U$1, Raw!$A$4:$A$28, 0), MATCH($C4, Raw!$B$1:$AN$1, 0))</f>
        <v>1760</v>
      </c>
      <c r="V4" s="13">
        <f>INDEX(Raw!$B$4:$AN$28, MATCH(V$1, Raw!$A$4:$A$28, 0), MATCH($C4, Raw!$B$1:$AN$1, 0))</f>
        <v>71019</v>
      </c>
      <c r="W4" s="13">
        <f>INDEX(Raw!$B$4:$AN$28, MATCH(W$1, Raw!$A$4:$A$28, 0), MATCH($C4, Raw!$B$1:$AN$1, 0))</f>
        <v>-14895</v>
      </c>
      <c r="X4" s="13">
        <f>INDEX(Raw!$B$4:$AN$28, MATCH(X$1, Raw!$A$4:$A$28, 0), MATCH($C4, Raw!$B$1:$AN$1, 0))</f>
        <v>0</v>
      </c>
      <c r="Y4" s="13">
        <f>INDEX(Raw!$B$4:$AN$28, MATCH(Y$1, Raw!$A$4:$A$28, 0), MATCH($C4, Raw!$B$1:$AN$1, 0))</f>
        <v>25826</v>
      </c>
      <c r="Z4" s="13">
        <f>INDEX(Raw!$B$4:$AN$28, MATCH(Z$1, Raw!$A$4:$A$28, 0), MATCH($C4, Raw!$B$1:$AN$1, 0))</f>
        <v>92763</v>
      </c>
    </row>
    <row r="5" spans="1:26" x14ac:dyDescent="0.25">
      <c r="A5" s="13" t="s">
        <v>27</v>
      </c>
      <c r="B5" s="14">
        <f t="shared" ca="1" si="0"/>
        <v>46088</v>
      </c>
      <c r="C5" s="13">
        <v>2021</v>
      </c>
      <c r="D5" s="13">
        <f>INDEX(Raw!$B$4:$AN$28, MATCH(D$1, Raw!$A$4:$A$28, 0), MATCH($C5, Raw!$B$1:$AN$1, 0))</f>
        <v>12625</v>
      </c>
      <c r="E5" s="13">
        <f>INDEX(Raw!$B$4:$AN$28, MATCH(E$1, Raw!$A$4:$A$28, 0), MATCH($C5, Raw!$B$1:$AN$1, 0))</f>
        <v>3512</v>
      </c>
      <c r="F5" s="13">
        <f>INDEX(Raw!$B$4:$AN$28, MATCH(F$1, Raw!$A$4:$A$28, 0), MATCH($C5, Raw!$B$1:$AN$1, 0))</f>
        <v>3414</v>
      </c>
      <c r="G5" s="13">
        <f>INDEX(Raw!$B$4:$AN$28, MATCH(G$1, Raw!$A$4:$A$28, 0), MATCH($C5, Raw!$B$1:$AN$1, 0))</f>
        <v>2994</v>
      </c>
      <c r="H5" s="13">
        <f>INDEX(Raw!$B$4:$AN$28, MATCH(H$1, Raw!$A$4:$A$28, 0), MATCH($C5, Raw!$B$1:$AN$1, 0))</f>
        <v>0</v>
      </c>
      <c r="I5" s="13">
        <f>INDEX(Raw!$B$4:$AN$28, MATCH(I$1, Raw!$A$4:$A$28, 0), MATCH($C5, Raw!$B$1:$AN$1, 0))</f>
        <v>22545</v>
      </c>
      <c r="J5" s="13">
        <f>INDEX(Raw!$B$4:$AN$28, MATCH(J$1, Raw!$A$4:$A$28, 0), MATCH($C5, Raw!$B$1:$AN$1, 0))</f>
        <v>9920</v>
      </c>
      <c r="K5" s="13">
        <f>INDEX(Raw!$B$4:$AN$28, MATCH(K$1, Raw!$A$4:$A$28, 0), MATCH($C5, Raw!$B$1:$AN$1, 0))</f>
        <v>18416</v>
      </c>
      <c r="L5" s="13">
        <f>INDEX(Raw!$B$4:$AN$28, MATCH(L$1, Raw!$A$4:$A$28, 0), MATCH($C5, Raw!$B$1:$AN$1, 0))</f>
        <v>34613</v>
      </c>
      <c r="M5" s="13">
        <f>INDEX(Raw!$B$4:$AN$28, MATCH(M$1, Raw!$A$4:$A$28, 0), MATCH($C5, Raw!$B$1:$AN$1, 0))</f>
        <v>6731</v>
      </c>
      <c r="N5" s="13">
        <f>INDEX(Raw!$B$4:$AN$28, MATCH(N$1, Raw!$A$4:$A$28, 0), MATCH($C5, Raw!$B$1:$AN$1, 0))</f>
        <v>71809</v>
      </c>
      <c r="O5" s="13">
        <f>INDEX(Raw!$B$4:$AN$28, MATCH(O$1, Raw!$A$4:$A$28, 0), MATCH($C5, Raw!$B$1:$AN$1, 0))</f>
        <v>94354</v>
      </c>
      <c r="P5" s="13">
        <f>INDEX(Raw!$B$4:$AN$28, MATCH(P$1, Raw!$A$4:$A$28, 0), MATCH($C5, Raw!$B$1:$AN$1, 0))</f>
        <v>19950</v>
      </c>
      <c r="Q5" s="13">
        <f>INDEX(Raw!$B$4:$AN$28, MATCH(Q$1, Raw!$A$4:$A$28, 0), MATCH($C5, Raw!$B$1:$AN$1, 0))</f>
        <v>38116</v>
      </c>
      <c r="R5" s="13">
        <f>INDEX(Raw!$B$4:$AN$28, MATCH(R$1, Raw!$A$4:$A$28, 0), MATCH($C5, Raw!$B$1:$AN$1, 0))</f>
        <v>8607</v>
      </c>
      <c r="S5" s="13">
        <f>INDEX(Raw!$B$4:$AN$28, MATCH(S$1, Raw!$A$4:$A$28, 0), MATCH($C5, Raw!$B$1:$AN$1, 0))</f>
        <v>49544</v>
      </c>
      <c r="T5" s="13">
        <f>INDEX(Raw!$B$4:$AN$28, MATCH(T$1, Raw!$A$4:$A$28, 0), MATCH($C5, Raw!$B$1:$AN$1, 0))</f>
        <v>69494</v>
      </c>
      <c r="U5" s="13">
        <f>INDEX(Raw!$B$4:$AN$28, MATCH(U$1, Raw!$A$4:$A$28, 0), MATCH($C5, Raw!$B$1:$AN$1, 0))</f>
        <v>1760</v>
      </c>
      <c r="V5" s="13">
        <f>INDEX(Raw!$B$4:$AN$28, MATCH(V$1, Raw!$A$4:$A$28, 0), MATCH($C5, Raw!$B$1:$AN$1, 0))</f>
        <v>69094</v>
      </c>
      <c r="W5" s="13">
        <f>INDEX(Raw!$B$4:$AN$28, MATCH(W$1, Raw!$A$4:$A$28, 0), MATCH($C5, Raw!$B$1:$AN$1, 0))</f>
        <v>-14330</v>
      </c>
      <c r="X5" s="13">
        <f>INDEX(Raw!$B$4:$AN$28, MATCH(X$1, Raw!$A$4:$A$28, 0), MATCH($C5, Raw!$B$1:$AN$1, 0))</f>
        <v>0</v>
      </c>
      <c r="Y5" s="13">
        <f>INDEX(Raw!$B$4:$AN$28, MATCH(Y$1, Raw!$A$4:$A$28, 0), MATCH($C5, Raw!$B$1:$AN$1, 0))</f>
        <v>24860</v>
      </c>
      <c r="Z5" s="13">
        <f>INDEX(Raw!$B$4:$AN$28, MATCH(Z$1, Raw!$A$4:$A$28, 0), MATCH($C5, Raw!$B$1:$AN$1, 0))</f>
        <v>94354</v>
      </c>
    </row>
    <row r="6" spans="1:26" x14ac:dyDescent="0.25">
      <c r="A6" s="13" t="s">
        <v>27</v>
      </c>
      <c r="B6" s="14">
        <f t="shared" ca="1" si="0"/>
        <v>46088</v>
      </c>
      <c r="C6" s="13">
        <v>2020</v>
      </c>
      <c r="D6" s="13">
        <f>INDEX(Raw!$B$4:$AN$28, MATCH(D$1, Raw!$A$4:$A$28, 0), MATCH($C6, Raw!$B$1:$AN$1, 0))</f>
        <v>10914</v>
      </c>
      <c r="E6" s="13">
        <f>INDEX(Raw!$B$4:$AN$28, MATCH(E$1, Raw!$A$4:$A$28, 0), MATCH($C6, Raw!$B$1:$AN$1, 0))</f>
        <v>3144</v>
      </c>
      <c r="F6" s="13">
        <f>INDEX(Raw!$B$4:$AN$28, MATCH(F$1, Raw!$A$4:$A$28, 0), MATCH($C6, Raw!$B$1:$AN$1, 0))</f>
        <v>3266</v>
      </c>
      <c r="G6" s="13">
        <f>INDEX(Raw!$B$4:$AN$28, MATCH(G$1, Raw!$A$4:$A$28, 0), MATCH($C6, Raw!$B$1:$AN$1, 0))</f>
        <v>1916</v>
      </c>
      <c r="H6" s="13">
        <f>INDEX(Raw!$B$4:$AN$28, MATCH(H$1, Raw!$A$4:$A$28, 0), MATCH($C6, Raw!$B$1:$AN$1, 0))</f>
        <v>0</v>
      </c>
      <c r="I6" s="13">
        <f>INDEX(Raw!$B$4:$AN$28, MATCH(I$1, Raw!$A$4:$A$28, 0), MATCH($C6, Raw!$B$1:$AN$1, 0))</f>
        <v>19240</v>
      </c>
      <c r="J6" s="13">
        <f>INDEX(Raw!$B$4:$AN$28, MATCH(J$1, Raw!$A$4:$A$28, 0), MATCH($C6, Raw!$B$1:$AN$1, 0))</f>
        <v>10777</v>
      </c>
      <c r="K6" s="13">
        <f>INDEX(Raw!$B$4:$AN$28, MATCH(K$1, Raw!$A$4:$A$28, 0), MATCH($C6, Raw!$B$1:$AN$1, 0))</f>
        <v>20085</v>
      </c>
      <c r="L6" s="13">
        <f>INDEX(Raw!$B$4:$AN$28, MATCH(L$1, Raw!$A$4:$A$28, 0), MATCH($C6, Raw!$B$1:$AN$1, 0))</f>
        <v>28550</v>
      </c>
      <c r="M6" s="13">
        <f>INDEX(Raw!$B$4:$AN$28, MATCH(M$1, Raw!$A$4:$A$28, 0), MATCH($C6, Raw!$B$1:$AN$1, 0))</f>
        <v>6184</v>
      </c>
      <c r="N6" s="13">
        <f>INDEX(Raw!$B$4:$AN$28, MATCH(N$1, Raw!$A$4:$A$28, 0), MATCH($C6, Raw!$B$1:$AN$1, 0))</f>
        <v>68056</v>
      </c>
      <c r="O6" s="13">
        <f>INDEX(Raw!$B$4:$AN$28, MATCH(O$1, Raw!$A$4:$A$28, 0), MATCH($C6, Raw!$B$1:$AN$1, 0))</f>
        <v>87296</v>
      </c>
      <c r="P6" s="13">
        <f>INDEX(Raw!$B$4:$AN$28, MATCH(P$1, Raw!$A$4:$A$28, 0), MATCH($C6, Raw!$B$1:$AN$1, 0))</f>
        <v>14601</v>
      </c>
      <c r="Q6" s="13">
        <f>INDEX(Raw!$B$4:$AN$28, MATCH(Q$1, Raw!$A$4:$A$28, 0), MATCH($C6, Raw!$B$1:$AN$1, 0))</f>
        <v>40125</v>
      </c>
      <c r="R6" s="13">
        <f>INDEX(Raw!$B$4:$AN$28, MATCH(R$1, Raw!$A$4:$A$28, 0), MATCH($C6, Raw!$B$1:$AN$1, 0))</f>
        <v>9453</v>
      </c>
      <c r="S6" s="13">
        <f>INDEX(Raw!$B$4:$AN$28, MATCH(S$1, Raw!$A$4:$A$28, 0), MATCH($C6, Raw!$B$1:$AN$1, 0))</f>
        <v>51411</v>
      </c>
      <c r="T6" s="13">
        <f>INDEX(Raw!$B$4:$AN$28, MATCH(T$1, Raw!$A$4:$A$28, 0), MATCH($C6, Raw!$B$1:$AN$1, 0))</f>
        <v>66012</v>
      </c>
      <c r="U6" s="13">
        <f>INDEX(Raw!$B$4:$AN$28, MATCH(U$1, Raw!$A$4:$A$28, 0), MATCH($C6, Raw!$B$1:$AN$1, 0))</f>
        <v>1760</v>
      </c>
      <c r="V6" s="13">
        <f>INDEX(Raw!$B$4:$AN$28, MATCH(V$1, Raw!$A$4:$A$28, 0), MATCH($C6, Raw!$B$1:$AN$1, 0))</f>
        <v>66555</v>
      </c>
      <c r="W6" s="13">
        <f>INDEX(Raw!$B$4:$AN$28, MATCH(W$1, Raw!$A$4:$A$28, 0), MATCH($C6, Raw!$B$1:$AN$1, 0))</f>
        <v>-14601</v>
      </c>
      <c r="X6" s="13">
        <f>INDEX(Raw!$B$4:$AN$28, MATCH(X$1, Raw!$A$4:$A$28, 0), MATCH($C6, Raw!$B$1:$AN$1, 0))</f>
        <v>0</v>
      </c>
      <c r="Y6" s="13">
        <f>INDEX(Raw!$B$4:$AN$28, MATCH(Y$1, Raw!$A$4:$A$28, 0), MATCH($C6, Raw!$B$1:$AN$1, 0))</f>
        <v>21284</v>
      </c>
      <c r="Z6" s="13">
        <f>INDEX(Raw!$B$4:$AN$28, MATCH(Z$1, Raw!$A$4:$A$28, 0), MATCH($C6, Raw!$B$1:$AN$1, 0))</f>
        <v>87296</v>
      </c>
    </row>
    <row r="7" spans="1:26" x14ac:dyDescent="0.25">
      <c r="A7" s="13" t="s">
        <v>27</v>
      </c>
      <c r="B7" s="14">
        <f t="shared" ca="1" si="0"/>
        <v>46088</v>
      </c>
      <c r="C7" s="13">
        <v>2019</v>
      </c>
      <c r="D7" s="13">
        <f>INDEX(Raw!$B$4:$AN$28, MATCH(D$1, Raw!$A$4:$A$28, 0), MATCH($C7, Raw!$B$1:$AN$1, 0))</f>
        <v>11175</v>
      </c>
      <c r="E7" s="13">
        <f>INDEX(Raw!$B$4:$AN$28, MATCH(E$1, Raw!$A$4:$A$28, 0), MATCH($C7, Raw!$B$1:$AN$1, 0))</f>
        <v>3971</v>
      </c>
      <c r="F7" s="13">
        <f>INDEX(Raw!$B$4:$AN$28, MATCH(F$1, Raw!$A$4:$A$28, 0), MATCH($C7, Raw!$B$1:$AN$1, 0))</f>
        <v>3379</v>
      </c>
      <c r="G7" s="13">
        <f>INDEX(Raw!$B$4:$AN$28, MATCH(G$1, Raw!$A$4:$A$28, 0), MATCH($C7, Raw!$B$1:$AN$1, 0))</f>
        <v>1886</v>
      </c>
      <c r="H7" s="13">
        <f>INDEX(Raw!$B$4:$AN$28, MATCH(H$1, Raw!$A$4:$A$28, 0), MATCH($C7, Raw!$B$1:$AN$1, 0))</f>
        <v>0</v>
      </c>
      <c r="I7" s="13">
        <f>INDEX(Raw!$B$4:$AN$28, MATCH(I$1, Raw!$A$4:$A$28, 0), MATCH($C7, Raw!$B$1:$AN$1, 0))</f>
        <v>20411</v>
      </c>
      <c r="J7" s="13">
        <f>INDEX(Raw!$B$4:$AN$28, MATCH(J$1, Raw!$A$4:$A$28, 0), MATCH($C7, Raw!$B$1:$AN$1, 0))</f>
        <v>10838</v>
      </c>
      <c r="K7" s="13">
        <f>INDEX(Raw!$B$4:$AN$28, MATCH(K$1, Raw!$A$4:$A$28, 0), MATCH($C7, Raw!$B$1:$AN$1, 0))</f>
        <v>19879</v>
      </c>
      <c r="L7" s="13">
        <f>INDEX(Raw!$B$4:$AN$28, MATCH(L$1, Raw!$A$4:$A$28, 0), MATCH($C7, Raw!$B$1:$AN$1, 0))</f>
        <v>26766</v>
      </c>
      <c r="M7" s="13">
        <f>INDEX(Raw!$B$4:$AN$28, MATCH(M$1, Raw!$A$4:$A$28, 0), MATCH($C7, Raw!$B$1:$AN$1, 0))</f>
        <v>6075</v>
      </c>
      <c r="N7" s="13">
        <f>INDEX(Raw!$B$4:$AN$28, MATCH(N$1, Raw!$A$4:$A$28, 0), MATCH($C7, Raw!$B$1:$AN$1, 0))</f>
        <v>65970</v>
      </c>
      <c r="O7" s="13">
        <f>INDEX(Raw!$B$4:$AN$28, MATCH(O$1, Raw!$A$4:$A$28, 0), MATCH($C7, Raw!$B$1:$AN$1, 0))</f>
        <v>86381</v>
      </c>
      <c r="P7" s="13">
        <f>INDEX(Raw!$B$4:$AN$28, MATCH(P$1, Raw!$A$4:$A$28, 0), MATCH($C7, Raw!$B$1:$AN$1, 0))</f>
        <v>26973</v>
      </c>
      <c r="Q7" s="13">
        <f>INDEX(Raw!$B$4:$AN$28, MATCH(Q$1, Raw!$A$4:$A$28, 0), MATCH($C7, Raw!$B$1:$AN$1, 0))</f>
        <v>27516</v>
      </c>
      <c r="R7" s="13">
        <f>INDEX(Raw!$B$4:$AN$28, MATCH(R$1, Raw!$A$4:$A$28, 0), MATCH($C7, Raw!$B$1:$AN$1, 0))</f>
        <v>8510</v>
      </c>
      <c r="S7" s="13">
        <f>INDEX(Raw!$B$4:$AN$28, MATCH(S$1, Raw!$A$4:$A$28, 0), MATCH($C7, Raw!$B$1:$AN$1, 0))</f>
        <v>38310</v>
      </c>
      <c r="T7" s="13">
        <f>INDEX(Raw!$B$4:$AN$28, MATCH(T$1, Raw!$A$4:$A$28, 0), MATCH($C7, Raw!$B$1:$AN$1, 0))</f>
        <v>65283</v>
      </c>
      <c r="U7" s="13">
        <f>INDEX(Raw!$B$4:$AN$28, MATCH(U$1, Raw!$A$4:$A$28, 0), MATCH($C7, Raw!$B$1:$AN$1, 0))</f>
        <v>1760</v>
      </c>
      <c r="V7" s="13">
        <f>INDEX(Raw!$B$4:$AN$28, MATCH(V$1, Raw!$A$4:$A$28, 0), MATCH($C7, Raw!$B$1:$AN$1, 0))</f>
        <v>65855</v>
      </c>
      <c r="W7" s="13">
        <f>INDEX(Raw!$B$4:$AN$28, MATCH(W$1, Raw!$A$4:$A$28, 0), MATCH($C7, Raw!$B$1:$AN$1, 0))</f>
        <v>-13544</v>
      </c>
      <c r="X7" s="13">
        <f>INDEX(Raw!$B$4:$AN$28, MATCH(X$1, Raw!$A$4:$A$28, 0), MATCH($C7, Raw!$B$1:$AN$1, 0))</f>
        <v>0</v>
      </c>
      <c r="Y7" s="13">
        <f>INDEX(Raw!$B$4:$AN$28, MATCH(Y$1, Raw!$A$4:$A$28, 0), MATCH($C7, Raw!$B$1:$AN$1, 0))</f>
        <v>21098</v>
      </c>
      <c r="Z7" s="13">
        <f>INDEX(Raw!$B$4:$AN$28, MATCH(Z$1, Raw!$A$4:$A$28, 0), MATCH($C7, Raw!$B$1:$AN$1, 0))</f>
        <v>86381</v>
      </c>
    </row>
    <row r="8" spans="1:26" x14ac:dyDescent="0.25">
      <c r="A8" s="13" t="s">
        <v>27</v>
      </c>
      <c r="B8" s="14">
        <f t="shared" ca="1" si="0"/>
        <v>46088</v>
      </c>
      <c r="C8" s="13">
        <v>2018</v>
      </c>
      <c r="D8" s="13">
        <f>INDEX(Raw!$B$4:$AN$28, MATCH(D$1, Raw!$A$4:$A$28, 0), MATCH($C8, Raw!$B$1:$AN$1, 0))</f>
        <v>16115</v>
      </c>
      <c r="E8" s="13">
        <f>INDEX(Raw!$B$4:$AN$28, MATCH(E$1, Raw!$A$4:$A$28, 0), MATCH($C8, Raw!$B$1:$AN$1, 0))</f>
        <v>3685</v>
      </c>
      <c r="F8" s="13">
        <f>INDEX(Raw!$B$4:$AN$28, MATCH(F$1, Raw!$A$4:$A$28, 0), MATCH($C8, Raw!$B$1:$AN$1, 0))</f>
        <v>3071</v>
      </c>
      <c r="G8" s="13">
        <f>INDEX(Raw!$B$4:$AN$28, MATCH(G$1, Raw!$A$4:$A$28, 0), MATCH($C8, Raw!$B$1:$AN$1, 0))</f>
        <v>2059</v>
      </c>
      <c r="H8" s="13">
        <f>INDEX(Raw!$B$4:$AN$28, MATCH(H$1, Raw!$A$4:$A$28, 0), MATCH($C8, Raw!$B$1:$AN$1, 0))</f>
        <v>0</v>
      </c>
      <c r="I8" s="13">
        <f>INDEX(Raw!$B$4:$AN$28, MATCH(I$1, Raw!$A$4:$A$28, 0), MATCH($C8, Raw!$B$1:$AN$1, 0))</f>
        <v>24930</v>
      </c>
      <c r="J8" s="13">
        <f>INDEX(Raw!$B$4:$AN$28, MATCH(J$1, Raw!$A$4:$A$28, 0), MATCH($C8, Raw!$B$1:$AN$1, 0))</f>
        <v>9598</v>
      </c>
      <c r="K8" s="13">
        <f>INDEX(Raw!$B$4:$AN$28, MATCH(K$1, Raw!$A$4:$A$28, 0), MATCH($C8, Raw!$B$1:$AN$1, 0))</f>
        <v>20279</v>
      </c>
      <c r="L8" s="13">
        <f>INDEX(Raw!$B$4:$AN$28, MATCH(L$1, Raw!$A$4:$A$28, 0), MATCH($C8, Raw!$B$1:$AN$1, 0))</f>
        <v>21587</v>
      </c>
      <c r="M8" s="13">
        <f>INDEX(Raw!$B$4:$AN$28, MATCH(M$1, Raw!$A$4:$A$28, 0), MATCH($C8, Raw!$B$1:$AN$1, 0))</f>
        <v>4148</v>
      </c>
      <c r="N8" s="13">
        <f>INDEX(Raw!$B$4:$AN$28, MATCH(N$1, Raw!$A$4:$A$28, 0), MATCH($C8, Raw!$B$1:$AN$1, 0))</f>
        <v>58286</v>
      </c>
      <c r="O8" s="13">
        <f>INDEX(Raw!$B$4:$AN$28, MATCH(O$1, Raw!$A$4:$A$28, 0), MATCH($C8, Raw!$B$1:$AN$1, 0))</f>
        <v>83216</v>
      </c>
      <c r="P8" s="13">
        <f>INDEX(Raw!$B$4:$AN$28, MATCH(P$1, Raw!$A$4:$A$28, 0), MATCH($C8, Raw!$B$1:$AN$1, 0))</f>
        <v>28782</v>
      </c>
      <c r="Q8" s="13">
        <f>INDEX(Raw!$B$4:$AN$28, MATCH(Q$1, Raw!$A$4:$A$28, 0), MATCH($C8, Raw!$B$1:$AN$1, 0))</f>
        <v>25376</v>
      </c>
      <c r="R8" s="13">
        <f>INDEX(Raw!$B$4:$AN$28, MATCH(R$1, Raw!$A$4:$A$28, 0), MATCH($C8, Raw!$B$1:$AN$1, 0))</f>
        <v>7646</v>
      </c>
      <c r="S8" s="13">
        <f>INDEX(Raw!$B$4:$AN$28, MATCH(S$1, Raw!$A$4:$A$28, 0), MATCH($C8, Raw!$B$1:$AN$1, 0))</f>
        <v>35376</v>
      </c>
      <c r="T8" s="13">
        <f>INDEX(Raw!$B$4:$AN$28, MATCH(T$1, Raw!$A$4:$A$28, 0), MATCH($C8, Raw!$B$1:$AN$1, 0))</f>
        <v>64158</v>
      </c>
      <c r="U8" s="13">
        <f>INDEX(Raw!$B$4:$AN$28, MATCH(U$1, Raw!$A$4:$A$28, 0), MATCH($C8, Raw!$B$1:$AN$1, 0))</f>
        <v>1760</v>
      </c>
      <c r="V8" s="13">
        <f>INDEX(Raw!$B$4:$AN$28, MATCH(V$1, Raw!$A$4:$A$28, 0), MATCH($C8, Raw!$B$1:$AN$1, 0))</f>
        <v>63234</v>
      </c>
      <c r="W8" s="13">
        <f>INDEX(Raw!$B$4:$AN$28, MATCH(W$1, Raw!$A$4:$A$28, 0), MATCH($C8, Raw!$B$1:$AN$1, 0))</f>
        <v>-12814</v>
      </c>
      <c r="X8" s="13">
        <f>INDEX(Raw!$B$4:$AN$28, MATCH(X$1, Raw!$A$4:$A$28, 0), MATCH($C8, Raw!$B$1:$AN$1, 0))</f>
        <v>0</v>
      </c>
      <c r="Y8" s="13">
        <f>INDEX(Raw!$B$4:$AN$28, MATCH(Y$1, Raw!$A$4:$A$28, 0), MATCH($C8, Raw!$B$1:$AN$1, 0))</f>
        <v>19058</v>
      </c>
      <c r="Z8" s="13">
        <f>INDEX(Raw!$B$4:$AN$28, MATCH(Z$1, Raw!$A$4:$A$28, 0), MATCH($C8, Raw!$B$1:$AN$1, 0))</f>
        <v>83216</v>
      </c>
    </row>
    <row r="9" spans="1:26" x14ac:dyDescent="0.25">
      <c r="A9" s="13" t="s">
        <v>27</v>
      </c>
      <c r="B9" s="14">
        <f t="shared" ca="1" si="0"/>
        <v>46088</v>
      </c>
      <c r="C9" s="13">
        <v>2017</v>
      </c>
      <c r="D9" s="13">
        <f>INDEX(Raw!$B$4:$AN$28, MATCH(D$1, Raw!$A$4:$A$28, 0), MATCH($C9, Raw!$B$1:$AN$1, 0))</f>
        <v>20675</v>
      </c>
      <c r="E9" s="13">
        <f>INDEX(Raw!$B$4:$AN$28, MATCH(E$1, Raw!$A$4:$A$28, 0), MATCH($C9, Raw!$B$1:$AN$1, 0))</f>
        <v>3667</v>
      </c>
      <c r="F9" s="13">
        <f>INDEX(Raw!$B$4:$AN$28, MATCH(F$1, Raw!$A$4:$A$28, 0), MATCH($C9, Raw!$B$1:$AN$1, 0))</f>
        <v>2655</v>
      </c>
      <c r="G9" s="13">
        <f>INDEX(Raw!$B$4:$AN$28, MATCH(G$1, Raw!$A$4:$A$28, 0), MATCH($C9, Raw!$B$1:$AN$1, 0))</f>
        <v>2000</v>
      </c>
      <c r="H9" s="13">
        <f>INDEX(Raw!$B$4:$AN$28, MATCH(H$1, Raw!$A$4:$A$28, 0), MATCH($C9, Raw!$B$1:$AN$1, 0))</f>
        <v>219</v>
      </c>
      <c r="I9" s="13">
        <f>INDEX(Raw!$B$4:$AN$28, MATCH(I$1, Raw!$A$4:$A$28, 0), MATCH($C9, Raw!$B$1:$AN$1, 0))</f>
        <v>36545</v>
      </c>
      <c r="J9" s="13">
        <f>INDEX(Raw!$B$4:$AN$28, MATCH(J$1, Raw!$A$4:$A$28, 0), MATCH($C9, Raw!$B$1:$AN$1, 0))</f>
        <v>8203</v>
      </c>
      <c r="K9" s="13">
        <f>INDEX(Raw!$B$4:$AN$28, MATCH(K$1, Raw!$A$4:$A$28, 0), MATCH($C9, Raw!$B$1:$AN$1, 0))</f>
        <v>21952</v>
      </c>
      <c r="L9" s="13">
        <f>INDEX(Raw!$B$4:$AN$28, MATCH(L$1, Raw!$A$4:$A$28, 0), MATCH($C9, Raw!$B$1:$AN$1, 0))</f>
        <v>16636</v>
      </c>
      <c r="M9" s="13">
        <f>INDEX(Raw!$B$4:$AN$28, MATCH(M$1, Raw!$A$4:$A$28, 0), MATCH($C9, Raw!$B$1:$AN$1, 0))</f>
        <v>4230</v>
      </c>
      <c r="N9" s="13">
        <f>INDEX(Raw!$B$4:$AN$28, MATCH(N$1, Raw!$A$4:$A$28, 0), MATCH($C9, Raw!$B$1:$AN$1, 0))</f>
        <v>51351</v>
      </c>
      <c r="O9" s="13">
        <f>INDEX(Raw!$B$4:$AN$28, MATCH(O$1, Raw!$A$4:$A$28, 0), MATCH($C9, Raw!$B$1:$AN$1, 0))</f>
        <v>87896</v>
      </c>
      <c r="P9" s="13">
        <f>INDEX(Raw!$B$4:$AN$28, MATCH(P$1, Raw!$A$4:$A$28, 0), MATCH($C9, Raw!$B$1:$AN$1, 0))</f>
        <v>27194</v>
      </c>
      <c r="Q9" s="13">
        <f>INDEX(Raw!$B$4:$AN$28, MATCH(Q$1, Raw!$A$4:$A$28, 0), MATCH($C9, Raw!$B$1:$AN$1, 0))</f>
        <v>31182</v>
      </c>
      <c r="R9" s="13">
        <f>INDEX(Raw!$B$4:$AN$28, MATCH(R$1, Raw!$A$4:$A$28, 0), MATCH($C9, Raw!$B$1:$AN$1, 0))</f>
        <v>8021</v>
      </c>
      <c r="S9" s="13">
        <f>INDEX(Raw!$B$4:$AN$28, MATCH(S$1, Raw!$A$4:$A$28, 0), MATCH($C9, Raw!$B$1:$AN$1, 0))</f>
        <v>41725</v>
      </c>
      <c r="T9" s="13">
        <f>INDEX(Raw!$B$4:$AN$28, MATCH(T$1, Raw!$A$4:$A$28, 0), MATCH($C9, Raw!$B$1:$AN$1, 0))</f>
        <v>68919</v>
      </c>
      <c r="U9" s="13">
        <f>INDEX(Raw!$B$4:$AN$28, MATCH(U$1, Raw!$A$4:$A$28, 0), MATCH($C9, Raw!$B$1:$AN$1, 0))</f>
        <v>1760</v>
      </c>
      <c r="V9" s="13">
        <f>INDEX(Raw!$B$4:$AN$28, MATCH(V$1, Raw!$A$4:$A$28, 0), MATCH($C9, Raw!$B$1:$AN$1, 0))</f>
        <v>60430</v>
      </c>
      <c r="W9" s="13">
        <f>INDEX(Raw!$B$4:$AN$28, MATCH(W$1, Raw!$A$4:$A$28, 0), MATCH($C9, Raw!$B$1:$AN$1, 0))</f>
        <v>-10305</v>
      </c>
      <c r="X9" s="13">
        <f>INDEX(Raw!$B$4:$AN$28, MATCH(X$1, Raw!$A$4:$A$28, 0), MATCH($C9, Raw!$B$1:$AN$1, 0))</f>
        <v>0</v>
      </c>
      <c r="Y9" s="13">
        <f>INDEX(Raw!$B$4:$AN$28, MATCH(Y$1, Raw!$A$4:$A$28, 0), MATCH($C9, Raw!$B$1:$AN$1, 0))</f>
        <v>18977</v>
      </c>
      <c r="Z9" s="13">
        <f>INDEX(Raw!$B$4:$AN$28, MATCH(Z$1, Raw!$A$4:$A$28, 0), MATCH($C9, Raw!$B$1:$AN$1, 0))</f>
        <v>87896</v>
      </c>
    </row>
    <row r="10" spans="1:26" x14ac:dyDescent="0.25">
      <c r="A10" s="13" t="s">
        <v>27</v>
      </c>
      <c r="B10" s="14">
        <f t="shared" ca="1" si="0"/>
        <v>46088</v>
      </c>
      <c r="C10" s="13">
        <v>2016</v>
      </c>
      <c r="D10" s="13">
        <f>INDEX(Raw!$B$4:$AN$28, MATCH(D$1, Raw!$A$4:$A$28, 0), MATCH($C10, Raw!$B$1:$AN$1, 0))</f>
        <v>22201</v>
      </c>
      <c r="E10" s="13">
        <f>INDEX(Raw!$B$4:$AN$28, MATCH(E$1, Raw!$A$4:$A$28, 0), MATCH($C10, Raw!$B$1:$AN$1, 0))</f>
        <v>3856</v>
      </c>
      <c r="F10" s="13">
        <f>INDEX(Raw!$B$4:$AN$28, MATCH(F$1, Raw!$A$4:$A$28, 0), MATCH($C10, Raw!$B$1:$AN$1, 0))</f>
        <v>2675</v>
      </c>
      <c r="G10" s="13">
        <f>INDEX(Raw!$B$4:$AN$28, MATCH(G$1, Raw!$A$4:$A$28, 0), MATCH($C10, Raw!$B$1:$AN$1, 0))</f>
        <v>2481</v>
      </c>
      <c r="H10" s="13">
        <f>INDEX(Raw!$B$4:$AN$28, MATCH(H$1, Raw!$A$4:$A$28, 0), MATCH($C10, Raw!$B$1:$AN$1, 0))</f>
        <v>2797</v>
      </c>
      <c r="I10" s="13">
        <f>INDEX(Raw!$B$4:$AN$28, MATCH(I$1, Raw!$A$4:$A$28, 0), MATCH($C10, Raw!$B$1:$AN$1, 0))</f>
        <v>34010</v>
      </c>
      <c r="J10" s="13">
        <f>INDEX(Raw!$B$4:$AN$28, MATCH(J$1, Raw!$A$4:$A$28, 0), MATCH($C10, Raw!$B$1:$AN$1, 0))</f>
        <v>10635</v>
      </c>
      <c r="K10" s="13">
        <f>INDEX(Raw!$B$4:$AN$28, MATCH(K$1, Raw!$A$4:$A$28, 0), MATCH($C10, Raw!$B$1:$AN$1, 0))</f>
        <v>17249</v>
      </c>
      <c r="L10" s="13">
        <f>INDEX(Raw!$B$4:$AN$28, MATCH(L$1, Raw!$A$4:$A$28, 0), MATCH($C10, Raw!$B$1:$AN$1, 0))</f>
        <v>21128</v>
      </c>
      <c r="M10" s="13">
        <f>INDEX(Raw!$B$4:$AN$28, MATCH(M$1, Raw!$A$4:$A$28, 0), MATCH($C10, Raw!$B$1:$AN$1, 0))</f>
        <v>4248</v>
      </c>
      <c r="N10" s="13">
        <f>INDEX(Raw!$B$4:$AN$28, MATCH(N$1, Raw!$A$4:$A$28, 0), MATCH($C10, Raw!$B$1:$AN$1, 0))</f>
        <v>53260</v>
      </c>
      <c r="O10" s="13">
        <f>INDEX(Raw!$B$4:$AN$28, MATCH(O$1, Raw!$A$4:$A$28, 0), MATCH($C10, Raw!$B$1:$AN$1, 0))</f>
        <v>87270</v>
      </c>
      <c r="P10" s="13">
        <f>INDEX(Raw!$B$4:$AN$28, MATCH(P$1, Raw!$A$4:$A$28, 0), MATCH($C10, Raw!$B$1:$AN$1, 0))</f>
        <v>26532</v>
      </c>
      <c r="Q10" s="13">
        <f>INDEX(Raw!$B$4:$AN$28, MATCH(Q$1, Raw!$A$4:$A$28, 0), MATCH($C10, Raw!$B$1:$AN$1, 0))</f>
        <v>29684</v>
      </c>
      <c r="R10" s="13">
        <f>INDEX(Raw!$B$4:$AN$28, MATCH(R$1, Raw!$A$4:$A$28, 0), MATCH($C10, Raw!$B$1:$AN$1, 0))</f>
        <v>4081</v>
      </c>
      <c r="S10" s="13">
        <f>INDEX(Raw!$B$4:$AN$28, MATCH(S$1, Raw!$A$4:$A$28, 0), MATCH($C10, Raw!$B$1:$AN$1, 0))</f>
        <v>37518</v>
      </c>
      <c r="T10" s="13">
        <f>INDEX(Raw!$B$4:$AN$28, MATCH(T$1, Raw!$A$4:$A$28, 0), MATCH($C10, Raw!$B$1:$AN$1, 0))</f>
        <v>64050</v>
      </c>
      <c r="U10" s="13">
        <f>INDEX(Raw!$B$4:$AN$28, MATCH(U$1, Raw!$A$4:$A$28, 0), MATCH($C10, Raw!$B$1:$AN$1, 0))</f>
        <v>1760</v>
      </c>
      <c r="V10" s="13">
        <f>INDEX(Raw!$B$4:$AN$28, MATCH(V$1, Raw!$A$4:$A$28, 0), MATCH($C10, Raw!$B$1:$AN$1, 0))</f>
        <v>65502</v>
      </c>
      <c r="W10" s="13">
        <f>INDEX(Raw!$B$4:$AN$28, MATCH(W$1, Raw!$A$4:$A$28, 0), MATCH($C10, Raw!$B$1:$AN$1, 0))</f>
        <v>-11205</v>
      </c>
      <c r="X10" s="13">
        <f>INDEX(Raw!$B$4:$AN$28, MATCH(X$1, Raw!$A$4:$A$28, 0), MATCH($C10, Raw!$B$1:$AN$1, 0))</f>
        <v>0</v>
      </c>
      <c r="Y10" s="13">
        <f>INDEX(Raw!$B$4:$AN$28, MATCH(Y$1, Raw!$A$4:$A$28, 0), MATCH($C10, Raw!$B$1:$AN$1, 0))</f>
        <v>23220</v>
      </c>
      <c r="Z10" s="13">
        <f>INDEX(Raw!$B$4:$AN$28, MATCH(Z$1, Raw!$A$4:$A$28, 0), MATCH($C10, Raw!$B$1:$AN$1, 0))</f>
        <v>87270</v>
      </c>
    </row>
    <row r="11" spans="1:26" x14ac:dyDescent="0.25">
      <c r="A11" s="13" t="s">
        <v>27</v>
      </c>
      <c r="B11" s="14">
        <f t="shared" ca="1" si="0"/>
        <v>46088</v>
      </c>
      <c r="C11" s="13">
        <v>2015</v>
      </c>
      <c r="D11" s="13">
        <f>INDEX(Raw!$B$4:$AN$28, MATCH(D$1, Raw!$A$4:$A$28, 0), MATCH($C11, Raw!$B$1:$AN$1, 0))</f>
        <v>19900</v>
      </c>
      <c r="E11" s="13">
        <f>INDEX(Raw!$B$4:$AN$28, MATCH(E$1, Raw!$A$4:$A$28, 0), MATCH($C11, Raw!$B$1:$AN$1, 0))</f>
        <v>3941</v>
      </c>
      <c r="F11" s="13">
        <f>INDEX(Raw!$B$4:$AN$28, MATCH(F$1, Raw!$A$4:$A$28, 0), MATCH($C11, Raw!$B$1:$AN$1, 0))</f>
        <v>2902</v>
      </c>
      <c r="G11" s="13">
        <f>INDEX(Raw!$B$4:$AN$28, MATCH(G$1, Raw!$A$4:$A$28, 0), MATCH($C11, Raw!$B$1:$AN$1, 0))</f>
        <v>2752</v>
      </c>
      <c r="H11" s="13">
        <f>INDEX(Raw!$B$4:$AN$28, MATCH(H$1, Raw!$A$4:$A$28, 0), MATCH($C11, Raw!$B$1:$AN$1, 0))</f>
        <v>3900</v>
      </c>
      <c r="I11" s="13">
        <f>INDEX(Raw!$B$4:$AN$28, MATCH(I$1, Raw!$A$4:$A$28, 0), MATCH($C11, Raw!$B$1:$AN$1, 0))</f>
        <v>33395</v>
      </c>
      <c r="J11" s="13">
        <f>INDEX(Raw!$B$4:$AN$28, MATCH(J$1, Raw!$A$4:$A$28, 0), MATCH($C11, Raw!$B$1:$AN$1, 0))</f>
        <v>12571</v>
      </c>
      <c r="K11" s="13">
        <f>INDEX(Raw!$B$4:$AN$28, MATCH(K$1, Raw!$A$4:$A$28, 0), MATCH($C11, Raw!$B$1:$AN$1, 0))</f>
        <v>15788</v>
      </c>
      <c r="L11" s="13">
        <f>INDEX(Raw!$B$4:$AN$28, MATCH(L$1, Raw!$A$4:$A$28, 0), MATCH($C11, Raw!$B$1:$AN$1, 0))</f>
        <v>24132</v>
      </c>
      <c r="M11" s="13">
        <f>INDEX(Raw!$B$4:$AN$28, MATCH(M$1, Raw!$A$4:$A$28, 0), MATCH($C11, Raw!$B$1:$AN$1, 0))</f>
        <v>4110</v>
      </c>
      <c r="N11" s="13">
        <f>INDEX(Raw!$B$4:$AN$28, MATCH(N$1, Raw!$A$4:$A$28, 0), MATCH($C11, Raw!$B$1:$AN$1, 0))</f>
        <v>56601</v>
      </c>
      <c r="O11" s="13">
        <f>INDEX(Raw!$B$4:$AN$28, MATCH(O$1, Raw!$A$4:$A$28, 0), MATCH($C11, Raw!$B$1:$AN$1, 0))</f>
        <v>89996</v>
      </c>
      <c r="P11" s="13">
        <f>INDEX(Raw!$B$4:$AN$28, MATCH(P$1, Raw!$A$4:$A$28, 0), MATCH($C11, Raw!$B$1:$AN$1, 0))</f>
        <v>26929</v>
      </c>
      <c r="Q11" s="13">
        <f>INDEX(Raw!$B$4:$AN$28, MATCH(Q$1, Raw!$A$4:$A$28, 0), MATCH($C11, Raw!$B$1:$AN$1, 0))</f>
        <v>28311</v>
      </c>
      <c r="R11" s="13">
        <f>INDEX(Raw!$B$4:$AN$28, MATCH(R$1, Raw!$A$4:$A$28, 0), MATCH($C11, Raw!$B$1:$AN$1, 0))</f>
        <v>4301</v>
      </c>
      <c r="S11" s="13">
        <f>INDEX(Raw!$B$4:$AN$28, MATCH(S$1, Raw!$A$4:$A$28, 0), MATCH($C11, Raw!$B$1:$AN$1, 0))</f>
        <v>37303</v>
      </c>
      <c r="T11" s="13">
        <f>INDEX(Raw!$B$4:$AN$28, MATCH(T$1, Raw!$A$4:$A$28, 0), MATCH($C11, Raw!$B$1:$AN$1, 0))</f>
        <v>64232</v>
      </c>
      <c r="U11" s="13">
        <f>INDEX(Raw!$B$4:$AN$28, MATCH(U$1, Raw!$A$4:$A$28, 0), MATCH($C11, Raw!$B$1:$AN$1, 0))</f>
        <v>1760</v>
      </c>
      <c r="V11" s="13">
        <f>INDEX(Raw!$B$4:$AN$28, MATCH(V$1, Raw!$A$4:$A$28, 0), MATCH($C11, Raw!$B$1:$AN$1, 0))</f>
        <v>65018</v>
      </c>
      <c r="W11" s="13">
        <f>INDEX(Raw!$B$4:$AN$28, MATCH(W$1, Raw!$A$4:$A$28, 0), MATCH($C11, Raw!$B$1:$AN$1, 0))</f>
        <v>-10174</v>
      </c>
      <c r="X11" s="13">
        <f>INDEX(Raw!$B$4:$AN$28, MATCH(X$1, Raw!$A$4:$A$28, 0), MATCH($C11, Raw!$B$1:$AN$1, 0))</f>
        <v>0</v>
      </c>
      <c r="Y11" s="13">
        <f>INDEX(Raw!$B$4:$AN$28, MATCH(Y$1, Raw!$A$4:$A$28, 0), MATCH($C11, Raw!$B$1:$AN$1, 0))</f>
        <v>25764</v>
      </c>
      <c r="Z11" s="13">
        <f>INDEX(Raw!$B$4:$AN$28, MATCH(Z$1, Raw!$A$4:$A$28, 0), MATCH($C11, Raw!$B$1:$AN$1, 0))</f>
        <v>89996</v>
      </c>
    </row>
    <row r="12" spans="1:26" x14ac:dyDescent="0.25">
      <c r="A12" s="13" t="s">
        <v>27</v>
      </c>
      <c r="B12" s="14">
        <f t="shared" ca="1" si="0"/>
        <v>46088</v>
      </c>
      <c r="C12" s="13">
        <v>2014</v>
      </c>
      <c r="D12" s="13">
        <f>INDEX(Raw!$B$4:$AN$28, MATCH(D$1, Raw!$A$4:$A$28, 0), MATCH($C12, Raw!$B$1:$AN$1, 0))</f>
        <v>21675</v>
      </c>
      <c r="E12" s="13">
        <f>INDEX(Raw!$B$4:$AN$28, MATCH(E$1, Raw!$A$4:$A$28, 0), MATCH($C12, Raw!$B$1:$AN$1, 0))</f>
        <v>4466</v>
      </c>
      <c r="F12" s="13">
        <f>INDEX(Raw!$B$4:$AN$28, MATCH(F$1, Raw!$A$4:$A$28, 0), MATCH($C12, Raw!$B$1:$AN$1, 0))</f>
        <v>3100</v>
      </c>
      <c r="G12" s="13">
        <f>INDEX(Raw!$B$4:$AN$28, MATCH(G$1, Raw!$A$4:$A$28, 0), MATCH($C12, Raw!$B$1:$AN$1, 0))</f>
        <v>3066</v>
      </c>
      <c r="H12" s="13">
        <f>INDEX(Raw!$B$4:$AN$28, MATCH(H$1, Raw!$A$4:$A$28, 0), MATCH($C12, Raw!$B$1:$AN$1, 0))</f>
        <v>679</v>
      </c>
      <c r="I12" s="13">
        <f>INDEX(Raw!$B$4:$AN$28, MATCH(I$1, Raw!$A$4:$A$28, 0), MATCH($C12, Raw!$B$1:$AN$1, 0))</f>
        <v>32986</v>
      </c>
      <c r="J12" s="13">
        <f>INDEX(Raw!$B$4:$AN$28, MATCH(J$1, Raw!$A$4:$A$28, 0), MATCH($C12, Raw!$B$1:$AN$1, 0))</f>
        <v>14633</v>
      </c>
      <c r="K12" s="13">
        <f>INDEX(Raw!$B$4:$AN$28, MATCH(K$1, Raw!$A$4:$A$28, 0), MATCH($C12, Raw!$B$1:$AN$1, 0))</f>
        <v>13625</v>
      </c>
      <c r="L12" s="13">
        <f>INDEX(Raw!$B$4:$AN$28, MATCH(L$1, Raw!$A$4:$A$28, 0), MATCH($C12, Raw!$B$1:$AN$1, 0))</f>
        <v>26372</v>
      </c>
      <c r="M12" s="13">
        <f>INDEX(Raw!$B$4:$AN$28, MATCH(M$1, Raw!$A$4:$A$28, 0), MATCH($C12, Raw!$B$1:$AN$1, 0))</f>
        <v>4407</v>
      </c>
      <c r="N12" s="13">
        <f>INDEX(Raw!$B$4:$AN$28, MATCH(N$1, Raw!$A$4:$A$28, 0), MATCH($C12, Raw!$B$1:$AN$1, 0))</f>
        <v>59037</v>
      </c>
      <c r="O12" s="13">
        <f>INDEX(Raw!$B$4:$AN$28, MATCH(O$1, Raw!$A$4:$A$28, 0), MATCH($C12, Raw!$B$1:$AN$1, 0))</f>
        <v>92023</v>
      </c>
      <c r="P12" s="13">
        <f>INDEX(Raw!$B$4:$AN$28, MATCH(P$1, Raw!$A$4:$A$28, 0), MATCH($C12, Raw!$B$1:$AN$1, 0))</f>
        <v>32374</v>
      </c>
      <c r="Q12" s="13">
        <f>INDEX(Raw!$B$4:$AN$28, MATCH(Q$1, Raw!$A$4:$A$28, 0), MATCH($C12, Raw!$B$1:$AN$1, 0))</f>
        <v>19063</v>
      </c>
      <c r="R12" s="13">
        <f>INDEX(Raw!$B$4:$AN$28, MATCH(R$1, Raw!$A$4:$A$28, 0), MATCH($C12, Raw!$B$1:$AN$1, 0))</f>
        <v>4389</v>
      </c>
      <c r="S12" s="13">
        <f>INDEX(Raw!$B$4:$AN$28, MATCH(S$1, Raw!$A$4:$A$28, 0), MATCH($C12, Raw!$B$1:$AN$1, 0))</f>
        <v>29088</v>
      </c>
      <c r="T12" s="13">
        <f>INDEX(Raw!$B$4:$AN$28, MATCH(T$1, Raw!$A$4:$A$28, 0), MATCH($C12, Raw!$B$1:$AN$1, 0))</f>
        <v>61462</v>
      </c>
      <c r="U12" s="13">
        <f>INDEX(Raw!$B$4:$AN$28, MATCH(U$1, Raw!$A$4:$A$28, 0), MATCH($C12, Raw!$B$1:$AN$1, 0))</f>
        <v>1760</v>
      </c>
      <c r="V12" s="13">
        <f>INDEX(Raw!$B$4:$AN$28, MATCH(V$1, Raw!$A$4:$A$28, 0), MATCH($C12, Raw!$B$1:$AN$1, 0))</f>
        <v>63408</v>
      </c>
      <c r="W12" s="13">
        <f>INDEX(Raw!$B$4:$AN$28, MATCH(W$1, Raw!$A$4:$A$28, 0), MATCH($C12, Raw!$B$1:$AN$1, 0))</f>
        <v>-5777</v>
      </c>
      <c r="X12" s="13">
        <f>INDEX(Raw!$B$4:$AN$28, MATCH(X$1, Raw!$A$4:$A$28, 0), MATCH($C12, Raw!$B$1:$AN$1, 0))</f>
        <v>0</v>
      </c>
      <c r="Y12" s="13">
        <f>INDEX(Raw!$B$4:$AN$28, MATCH(Y$1, Raw!$A$4:$A$28, 0), MATCH($C12, Raw!$B$1:$AN$1, 0))</f>
        <v>30561</v>
      </c>
      <c r="Z12" s="13">
        <f>INDEX(Raw!$B$4:$AN$28, MATCH(Z$1, Raw!$A$4:$A$28, 0), MATCH($C12, Raw!$B$1:$AN$1, 0))</f>
        <v>92023</v>
      </c>
    </row>
    <row r="13" spans="1:26" x14ac:dyDescent="0.25">
      <c r="A13" s="13" t="s">
        <v>27</v>
      </c>
      <c r="B13" s="14">
        <f t="shared" ca="1" si="0"/>
        <v>46088</v>
      </c>
      <c r="C13" s="13">
        <v>2013</v>
      </c>
      <c r="D13" s="13">
        <f>INDEX(Raw!$B$4:$AN$28, MATCH(D$1, Raw!$A$4:$A$28, 0), MATCH($C13, Raw!$B$1:$AN$1, 0))</f>
        <v>20268</v>
      </c>
      <c r="E13" s="13">
        <f>INDEX(Raw!$B$4:$AN$28, MATCH(E$1, Raw!$A$4:$A$28, 0), MATCH($C13, Raw!$B$1:$AN$1, 0))</f>
        <v>4873</v>
      </c>
      <c r="F13" s="13">
        <f>INDEX(Raw!$B$4:$AN$28, MATCH(F$1, Raw!$A$4:$A$28, 0), MATCH($C13, Raw!$B$1:$AN$1, 0))</f>
        <v>3277</v>
      </c>
      <c r="G13" s="13">
        <f>INDEX(Raw!$B$4:$AN$28, MATCH(G$1, Raw!$A$4:$A$28, 0), MATCH($C13, Raw!$B$1:$AN$1, 0))</f>
        <v>2886</v>
      </c>
      <c r="H13" s="13">
        <f>INDEX(Raw!$B$4:$AN$28, MATCH(H$1, Raw!$A$4:$A$28, 0), MATCH($C13, Raw!$B$1:$AN$1, 0))</f>
        <v>0</v>
      </c>
      <c r="I13" s="13">
        <f>INDEX(Raw!$B$4:$AN$28, MATCH(I$1, Raw!$A$4:$A$28, 0), MATCH($C13, Raw!$B$1:$AN$1, 0))</f>
        <v>31304</v>
      </c>
      <c r="J13" s="13">
        <f>INDEX(Raw!$B$4:$AN$28, MATCH(J$1, Raw!$A$4:$A$28, 0), MATCH($C13, Raw!$B$1:$AN$1, 0))</f>
        <v>14967</v>
      </c>
      <c r="K13" s="13">
        <f>INDEX(Raw!$B$4:$AN$28, MATCH(K$1, Raw!$A$4:$A$28, 0), MATCH($C13, Raw!$B$1:$AN$1, 0))</f>
        <v>11512</v>
      </c>
      <c r="L13" s="13">
        <f>INDEX(Raw!$B$4:$AN$28, MATCH(L$1, Raw!$A$4:$A$28, 0), MATCH($C13, Raw!$B$1:$AN$1, 0))</f>
        <v>27611</v>
      </c>
      <c r="M13" s="13">
        <f>INDEX(Raw!$B$4:$AN$28, MATCH(M$1, Raw!$A$4:$A$28, 0), MATCH($C13, Raw!$B$1:$AN$1, 0))</f>
        <v>4661</v>
      </c>
      <c r="N13" s="13">
        <f>INDEX(Raw!$B$4:$AN$28, MATCH(N$1, Raw!$A$4:$A$28, 0), MATCH($C13, Raw!$B$1:$AN$1, 0))</f>
        <v>58751</v>
      </c>
      <c r="O13" s="13">
        <f>INDEX(Raw!$B$4:$AN$28, MATCH(O$1, Raw!$A$4:$A$28, 0), MATCH($C13, Raw!$B$1:$AN$1, 0))</f>
        <v>90055</v>
      </c>
      <c r="P13" s="13">
        <f>INDEX(Raw!$B$4:$AN$28, MATCH(P$1, Raw!$A$4:$A$28, 0), MATCH($C13, Raw!$B$1:$AN$1, 0))</f>
        <v>27811</v>
      </c>
      <c r="Q13" s="13">
        <f>INDEX(Raw!$B$4:$AN$28, MATCH(Q$1, Raw!$A$4:$A$28, 0), MATCH($C13, Raw!$B$1:$AN$1, 0))</f>
        <v>19154</v>
      </c>
      <c r="R13" s="13">
        <f>INDEX(Raw!$B$4:$AN$28, MATCH(R$1, Raw!$A$4:$A$28, 0), MATCH($C13, Raw!$B$1:$AN$1, 0))</f>
        <v>3498</v>
      </c>
      <c r="S13" s="13">
        <f>INDEX(Raw!$B$4:$AN$28, MATCH(S$1, Raw!$A$4:$A$28, 0), MATCH($C13, Raw!$B$1:$AN$1, 0))</f>
        <v>28804</v>
      </c>
      <c r="T13" s="13">
        <f>INDEX(Raw!$B$4:$AN$28, MATCH(T$1, Raw!$A$4:$A$28, 0), MATCH($C13, Raw!$B$1:$AN$1, 0))</f>
        <v>56615</v>
      </c>
      <c r="U13" s="13">
        <f>INDEX(Raw!$B$4:$AN$28, MATCH(U$1, Raw!$A$4:$A$28, 0), MATCH($C13, Raw!$B$1:$AN$1, 0))</f>
        <v>1760</v>
      </c>
      <c r="V13" s="13">
        <f>INDEX(Raw!$B$4:$AN$28, MATCH(V$1, Raw!$A$4:$A$28, 0), MATCH($C13, Raw!$B$1:$AN$1, 0))</f>
        <v>61660</v>
      </c>
      <c r="W13" s="13">
        <f>INDEX(Raw!$B$4:$AN$28, MATCH(W$1, Raw!$A$4:$A$28, 0), MATCH($C13, Raw!$B$1:$AN$1, 0))</f>
        <v>-3432</v>
      </c>
      <c r="X13" s="13">
        <f>INDEX(Raw!$B$4:$AN$28, MATCH(X$1, Raw!$A$4:$A$28, 0), MATCH($C13, Raw!$B$1:$AN$1, 0))</f>
        <v>0</v>
      </c>
      <c r="Y13" s="13">
        <f>INDEX(Raw!$B$4:$AN$28, MATCH(Y$1, Raw!$A$4:$A$28, 0), MATCH($C13, Raw!$B$1:$AN$1, 0))</f>
        <v>33440</v>
      </c>
      <c r="Z13" s="13">
        <f>INDEX(Raw!$B$4:$AN$28, MATCH(Z$1, Raw!$A$4:$A$28, 0), MATCH($C13, Raw!$B$1:$AN$1, 0))</f>
        <v>90055</v>
      </c>
    </row>
    <row r="14" spans="1:26" x14ac:dyDescent="0.25">
      <c r="A14" s="13" t="s">
        <v>27</v>
      </c>
      <c r="B14" s="14">
        <f t="shared" ca="1" si="0"/>
        <v>46088</v>
      </c>
      <c r="C14" s="13">
        <v>2012</v>
      </c>
      <c r="D14" s="13">
        <f>INDEX(Raw!$B$4:$AN$28, MATCH(D$1, Raw!$A$4:$A$28, 0), MATCH($C14, Raw!$B$1:$AN$1, 0))</f>
        <v>16551</v>
      </c>
      <c r="E14" s="13">
        <f>INDEX(Raw!$B$4:$AN$28, MATCH(E$1, Raw!$A$4:$A$28, 0), MATCH($C14, Raw!$B$1:$AN$1, 0))</f>
        <v>4759</v>
      </c>
      <c r="F14" s="13">
        <f>INDEX(Raw!$B$4:$AN$28, MATCH(F$1, Raw!$A$4:$A$28, 0), MATCH($C14, Raw!$B$1:$AN$1, 0))</f>
        <v>3264</v>
      </c>
      <c r="G14" s="13">
        <f>INDEX(Raw!$B$4:$AN$28, MATCH(G$1, Raw!$A$4:$A$28, 0), MATCH($C14, Raw!$B$1:$AN$1, 0))</f>
        <v>2781</v>
      </c>
      <c r="H14" s="13">
        <f>INDEX(Raw!$B$4:$AN$28, MATCH(H$1, Raw!$A$4:$A$28, 0), MATCH($C14, Raw!$B$1:$AN$1, 0))</f>
        <v>2973</v>
      </c>
      <c r="I14" s="13">
        <f>INDEX(Raw!$B$4:$AN$28, MATCH(I$1, Raw!$A$4:$A$28, 0), MATCH($C14, Raw!$B$1:$AN$1, 0))</f>
        <v>30328</v>
      </c>
      <c r="J14" s="13">
        <f>INDEX(Raw!$B$4:$AN$28, MATCH(J$1, Raw!$A$4:$A$28, 0), MATCH($C14, Raw!$B$1:$AN$1, 0))</f>
        <v>14476</v>
      </c>
      <c r="K14" s="13">
        <f>INDEX(Raw!$B$4:$AN$28, MATCH(K$1, Raw!$A$4:$A$28, 0), MATCH($C14, Raw!$B$1:$AN$1, 0))</f>
        <v>10448</v>
      </c>
      <c r="L14" s="13">
        <f>INDEX(Raw!$B$4:$AN$28, MATCH(L$1, Raw!$A$4:$A$28, 0), MATCH($C14, Raw!$B$1:$AN$1, 0))</f>
        <v>27337</v>
      </c>
      <c r="M14" s="13">
        <f>INDEX(Raw!$B$4:$AN$28, MATCH(M$1, Raw!$A$4:$A$28, 0), MATCH($C14, Raw!$B$1:$AN$1, 0))</f>
        <v>3585</v>
      </c>
      <c r="N14" s="13">
        <f>INDEX(Raw!$B$4:$AN$28, MATCH(N$1, Raw!$A$4:$A$28, 0), MATCH($C14, Raw!$B$1:$AN$1, 0))</f>
        <v>55846</v>
      </c>
      <c r="O14" s="13">
        <f>INDEX(Raw!$B$4:$AN$28, MATCH(O$1, Raw!$A$4:$A$28, 0), MATCH($C14, Raw!$B$1:$AN$1, 0))</f>
        <v>86174</v>
      </c>
      <c r="P14" s="13">
        <f>INDEX(Raw!$B$4:$AN$28, MATCH(P$1, Raw!$A$4:$A$28, 0), MATCH($C14, Raw!$B$1:$AN$1, 0))</f>
        <v>27821</v>
      </c>
      <c r="Q14" s="13">
        <f>INDEX(Raw!$B$4:$AN$28, MATCH(Q$1, Raw!$A$4:$A$28, 0), MATCH($C14, Raw!$B$1:$AN$1, 0))</f>
        <v>14736</v>
      </c>
      <c r="R14" s="13">
        <f>INDEX(Raw!$B$4:$AN$28, MATCH(R$1, Raw!$A$4:$A$28, 0), MATCH($C14, Raw!$B$1:$AN$1, 0))</f>
        <v>5468</v>
      </c>
      <c r="S14" s="13">
        <f>INDEX(Raw!$B$4:$AN$28, MATCH(S$1, Raw!$A$4:$A$28, 0), MATCH($C14, Raw!$B$1:$AN$1, 0))</f>
        <v>25185</v>
      </c>
      <c r="T14" s="13">
        <f>INDEX(Raw!$B$4:$AN$28, MATCH(T$1, Raw!$A$4:$A$28, 0), MATCH($C14, Raw!$B$1:$AN$1, 0))</f>
        <v>53006</v>
      </c>
      <c r="U14" s="13">
        <f>INDEX(Raw!$B$4:$AN$28, MATCH(U$1, Raw!$A$4:$A$28, 0), MATCH($C14, Raw!$B$1:$AN$1, 0))</f>
        <v>1760</v>
      </c>
      <c r="V14" s="13">
        <f>INDEX(Raw!$B$4:$AN$28, MATCH(V$1, Raw!$A$4:$A$28, 0), MATCH($C14, Raw!$B$1:$AN$1, 0))</f>
        <v>58045</v>
      </c>
      <c r="W14" s="13">
        <f>INDEX(Raw!$B$4:$AN$28, MATCH(W$1, Raw!$A$4:$A$28, 0), MATCH($C14, Raw!$B$1:$AN$1, 0))</f>
        <v>-3385</v>
      </c>
      <c r="X14" s="13">
        <f>INDEX(Raw!$B$4:$AN$28, MATCH(X$1, Raw!$A$4:$A$28, 0), MATCH($C14, Raw!$B$1:$AN$1, 0))</f>
        <v>0</v>
      </c>
      <c r="Y14" s="13">
        <f>INDEX(Raw!$B$4:$AN$28, MATCH(Y$1, Raw!$A$4:$A$28, 0), MATCH($C14, Raw!$B$1:$AN$1, 0))</f>
        <v>33168</v>
      </c>
      <c r="Z14" s="13">
        <f>INDEX(Raw!$B$4:$AN$28, MATCH(Z$1, Raw!$A$4:$A$28, 0), MATCH($C14, Raw!$B$1:$AN$1, 0))</f>
        <v>86174</v>
      </c>
    </row>
    <row r="15" spans="1:26" x14ac:dyDescent="0.25">
      <c r="A15" s="13" t="s">
        <v>27</v>
      </c>
      <c r="B15" s="14">
        <f t="shared" ca="1" si="0"/>
        <v>46088</v>
      </c>
      <c r="C15" s="13">
        <v>2011</v>
      </c>
      <c r="D15" s="13">
        <f>INDEX(Raw!$B$4:$AN$28, MATCH(D$1, Raw!$A$4:$A$28, 0), MATCH($C15, Raw!$B$1:$AN$1, 0))</f>
        <v>14035</v>
      </c>
      <c r="E15" s="13">
        <f>INDEX(Raw!$B$4:$AN$28, MATCH(E$1, Raw!$A$4:$A$28, 0), MATCH($C15, Raw!$B$1:$AN$1, 0))</f>
        <v>4920</v>
      </c>
      <c r="F15" s="13">
        <f>INDEX(Raw!$B$4:$AN$28, MATCH(F$1, Raw!$A$4:$A$28, 0), MATCH($C15, Raw!$B$1:$AN$1, 0))</f>
        <v>3092</v>
      </c>
      <c r="G15" s="13">
        <f>INDEX(Raw!$B$4:$AN$28, MATCH(G$1, Raw!$A$4:$A$28, 0), MATCH($C15, Raw!$B$1:$AN$1, 0))</f>
        <v>3450</v>
      </c>
      <c r="H15" s="13">
        <f>INDEX(Raw!$B$4:$AN$28, MATCH(H$1, Raw!$A$4:$A$28, 0), MATCH($C15, Raw!$B$1:$AN$1, 0))</f>
        <v>0</v>
      </c>
      <c r="I15" s="13">
        <f>INDEX(Raw!$B$4:$AN$28, MATCH(I$1, Raw!$A$4:$A$28, 0), MATCH($C15, Raw!$B$1:$AN$1, 0))</f>
        <v>25497</v>
      </c>
      <c r="J15" s="13">
        <f>INDEX(Raw!$B$4:$AN$28, MATCH(J$1, Raw!$A$4:$A$28, 0), MATCH($C15, Raw!$B$1:$AN$1, 0))</f>
        <v>14939</v>
      </c>
      <c r="K15" s="13">
        <f>INDEX(Raw!$B$4:$AN$28, MATCH(K$1, Raw!$A$4:$A$28, 0), MATCH($C15, Raw!$B$1:$AN$1, 0))</f>
        <v>8374</v>
      </c>
      <c r="L15" s="13">
        <f>INDEX(Raw!$B$4:$AN$28, MATCH(L$1, Raw!$A$4:$A$28, 0), MATCH($C15, Raw!$B$1:$AN$1, 0))</f>
        <v>27669</v>
      </c>
      <c r="M15" s="13">
        <f>INDEX(Raw!$B$4:$AN$28, MATCH(M$1, Raw!$A$4:$A$28, 0), MATCH($C15, Raw!$B$1:$AN$1, 0))</f>
        <v>3495</v>
      </c>
      <c r="N15" s="13">
        <f>INDEX(Raw!$B$4:$AN$28, MATCH(N$1, Raw!$A$4:$A$28, 0), MATCH($C15, Raw!$B$1:$AN$1, 0))</f>
        <v>54477</v>
      </c>
      <c r="O15" s="13">
        <f>INDEX(Raw!$B$4:$AN$28, MATCH(O$1, Raw!$A$4:$A$28, 0), MATCH($C15, Raw!$B$1:$AN$1, 0))</f>
        <v>79974</v>
      </c>
      <c r="P15" s="13">
        <f>INDEX(Raw!$B$4:$AN$28, MATCH(P$1, Raw!$A$4:$A$28, 0), MATCH($C15, Raw!$B$1:$AN$1, 0))</f>
        <v>24283</v>
      </c>
      <c r="Q15" s="13">
        <f>INDEX(Raw!$B$4:$AN$28, MATCH(Q$1, Raw!$A$4:$A$28, 0), MATCH($C15, Raw!$B$1:$AN$1, 0))</f>
        <v>13656</v>
      </c>
      <c r="R15" s="13">
        <f>INDEX(Raw!$B$4:$AN$28, MATCH(R$1, Raw!$A$4:$A$28, 0), MATCH($C15, Raw!$B$1:$AN$1, 0))</f>
        <v>5420</v>
      </c>
      <c r="S15" s="13">
        <f>INDEX(Raw!$B$4:$AN$28, MATCH(S$1, Raw!$A$4:$A$28, 0), MATCH($C15, Raw!$B$1:$AN$1, 0))</f>
        <v>23770</v>
      </c>
      <c r="T15" s="13">
        <f>INDEX(Raw!$B$4:$AN$28, MATCH(T$1, Raw!$A$4:$A$28, 0), MATCH($C15, Raw!$B$1:$AN$1, 0))</f>
        <v>48053</v>
      </c>
      <c r="U15" s="13">
        <f>INDEX(Raw!$B$4:$AN$28, MATCH(U$1, Raw!$A$4:$A$28, 0), MATCH($C15, Raw!$B$1:$AN$1, 0))</f>
        <v>1760</v>
      </c>
      <c r="V15" s="13">
        <f>INDEX(Raw!$B$4:$AN$28, MATCH(V$1, Raw!$A$4:$A$28, 0), MATCH($C15, Raw!$B$1:$AN$1, 0))</f>
        <v>53621</v>
      </c>
      <c r="W15" s="13">
        <f>INDEX(Raw!$B$4:$AN$28, MATCH(W$1, Raw!$A$4:$A$28, 0), MATCH($C15, Raw!$B$1:$AN$1, 0))</f>
        <v>-2774</v>
      </c>
      <c r="X15" s="13">
        <f>INDEX(Raw!$B$4:$AN$28, MATCH(X$1, Raw!$A$4:$A$28, 0), MATCH($C15, Raw!$B$1:$AN$1, 0))</f>
        <v>0</v>
      </c>
      <c r="Y15" s="13">
        <f>INDEX(Raw!$B$4:$AN$28, MATCH(Y$1, Raw!$A$4:$A$28, 0), MATCH($C15, Raw!$B$1:$AN$1, 0))</f>
        <v>31921</v>
      </c>
      <c r="Z15" s="13">
        <f>INDEX(Raw!$B$4:$AN$28, MATCH(Z$1, Raw!$A$4:$A$28, 0), MATCH($C15, Raw!$B$1:$AN$1, 0))</f>
        <v>79974</v>
      </c>
    </row>
    <row r="16" spans="1:26" x14ac:dyDescent="0.25">
      <c r="A16" s="13" t="s">
        <v>27</v>
      </c>
      <c r="B16" s="14">
        <f t="shared" ca="1" si="0"/>
        <v>46088</v>
      </c>
      <c r="C16" s="13">
        <v>2010</v>
      </c>
      <c r="D16" s="13">
        <f>INDEX(Raw!$B$4:$AN$28, MATCH(D$1, Raw!$A$4:$A$28, 0), MATCH($C16, Raw!$B$1:$AN$1, 0))</f>
        <v>11337</v>
      </c>
      <c r="E16" s="13">
        <f>INDEX(Raw!$B$4:$AN$28, MATCH(E$1, Raw!$A$4:$A$28, 0), MATCH($C16, Raw!$B$1:$AN$1, 0))</f>
        <v>4430</v>
      </c>
      <c r="F16" s="13">
        <f>INDEX(Raw!$B$4:$AN$28, MATCH(F$1, Raw!$A$4:$A$28, 0), MATCH($C16, Raw!$B$1:$AN$1, 0))</f>
        <v>2650</v>
      </c>
      <c r="G16" s="13">
        <f>INDEX(Raw!$B$4:$AN$28, MATCH(G$1, Raw!$A$4:$A$28, 0), MATCH($C16, Raw!$B$1:$AN$1, 0))</f>
        <v>3162</v>
      </c>
      <c r="H16" s="13">
        <f>INDEX(Raw!$B$4:$AN$28, MATCH(H$1, Raw!$A$4:$A$28, 0), MATCH($C16, Raw!$B$1:$AN$1, 0))</f>
        <v>0</v>
      </c>
      <c r="I16" s="13">
        <f>INDEX(Raw!$B$4:$AN$28, MATCH(I$1, Raw!$A$4:$A$28, 0), MATCH($C16, Raw!$B$1:$AN$1, 0))</f>
        <v>21579</v>
      </c>
      <c r="J16" s="13">
        <f>INDEX(Raw!$B$4:$AN$28, MATCH(J$1, Raw!$A$4:$A$28, 0), MATCH($C16, Raw!$B$1:$AN$1, 0))</f>
        <v>14727</v>
      </c>
      <c r="K16" s="13">
        <f>INDEX(Raw!$B$4:$AN$28, MATCH(K$1, Raw!$A$4:$A$28, 0), MATCH($C16, Raw!$B$1:$AN$1, 0))</f>
        <v>15096</v>
      </c>
      <c r="L16" s="13">
        <f>INDEX(Raw!$B$4:$AN$28, MATCH(L$1, Raw!$A$4:$A$28, 0), MATCH($C16, Raw!$B$1:$AN$1, 0))</f>
        <v>2.3652000000000002</v>
      </c>
      <c r="M16" s="13">
        <f>INDEX(Raw!$B$4:$AN$28, MATCH(M$1, Raw!$A$4:$A$28, 0), MATCH($C16, Raw!$B$1:$AN$1, 0))</f>
        <v>2121</v>
      </c>
      <c r="N16" s="13">
        <f>INDEX(Raw!$B$4:$AN$28, MATCH(N$1, Raw!$A$4:$A$28, 0), MATCH($C16, Raw!$B$1:$AN$1, 0))</f>
        <v>31946.37</v>
      </c>
      <c r="O16" s="13">
        <f>INDEX(Raw!$B$4:$AN$28, MATCH(O$1, Raw!$A$4:$A$28, 0), MATCH($C16, Raw!$B$1:$AN$1, 0))</f>
        <v>72921</v>
      </c>
      <c r="P16" s="13">
        <f>INDEX(Raw!$B$4:$AN$28, MATCH(P$1, Raw!$A$4:$A$28, 0), MATCH($C16, Raw!$B$1:$AN$1, 0))</f>
        <v>18508</v>
      </c>
      <c r="Q16" s="13">
        <f>INDEX(Raw!$B$4:$AN$28, MATCH(Q$1, Raw!$A$4:$A$28, 0), MATCH($C16, Raw!$B$1:$AN$1, 0))</f>
        <v>3.1221000000000001</v>
      </c>
      <c r="R16" s="13">
        <f>INDEX(Raw!$B$4:$AN$28, MATCH(R$1, Raw!$A$4:$A$28, 0), MATCH($C16, Raw!$B$1:$AN$1, 0))</f>
        <v>4794</v>
      </c>
      <c r="S16" s="13">
        <f>INDEX(Raw!$B$4:$AN$28, MATCH(S$1, Raw!$A$4:$A$28, 0), MATCH($C16, Raw!$B$1:$AN$1, 0))</f>
        <v>9058.1219999999994</v>
      </c>
      <c r="T16" s="13">
        <f>INDEX(Raw!$B$4:$AN$28, MATCH(T$1, Raw!$A$4:$A$28, 0), MATCH($C16, Raw!$B$1:$AN$1, 0))</f>
        <v>41604</v>
      </c>
      <c r="U16" s="13">
        <f>INDEX(Raw!$B$4:$AN$28, MATCH(U$1, Raw!$A$4:$A$28, 0), MATCH($C16, Raw!$B$1:$AN$1, 0))</f>
        <v>880</v>
      </c>
      <c r="V16" s="13">
        <f>INDEX(Raw!$B$4:$AN$28, MATCH(V$1, Raw!$A$4:$A$28, 0), MATCH($C16, Raw!$B$1:$AN$1, 0))</f>
        <v>49278</v>
      </c>
      <c r="W16" s="13">
        <f>INDEX(Raw!$B$4:$AN$28, MATCH(W$1, Raw!$A$4:$A$28, 0), MATCH($C16, Raw!$B$1:$AN$1, 0))</f>
        <v>-0.247</v>
      </c>
      <c r="X16" s="13">
        <f>INDEX(Raw!$B$4:$AN$28, MATCH(X$1, Raw!$A$4:$A$28, 0), MATCH($C16, Raw!$B$1:$AN$1, 0))</f>
        <v>0</v>
      </c>
      <c r="Y16" s="13">
        <f>INDEX(Raw!$B$4:$AN$28, MATCH(Y$1, Raw!$A$4:$A$28, 0), MATCH($C16, Raw!$B$1:$AN$1, 0))</f>
        <v>31317</v>
      </c>
      <c r="Z16" s="13">
        <f>INDEX(Raw!$B$4:$AN$28, MATCH(Z$1, Raw!$A$4:$A$28, 0), MATCH($C16, Raw!$B$1:$AN$1, 0))</f>
        <v>72921</v>
      </c>
    </row>
    <row r="17" spans="1:26" x14ac:dyDescent="0.25">
      <c r="A17" s="13" t="s">
        <v>27</v>
      </c>
      <c r="B17" s="14">
        <f t="shared" ca="1" si="0"/>
        <v>46088</v>
      </c>
      <c r="C17" s="13">
        <v>2009</v>
      </c>
      <c r="D17" s="13">
        <f>INDEX(Raw!$B$4:$AN$28, MATCH(D$1, Raw!$A$4:$A$28, 0), MATCH($C17, Raw!$B$1:$AN$1, 0))</f>
        <v>9213</v>
      </c>
      <c r="E17" s="13">
        <f>INDEX(Raw!$B$4:$AN$28, MATCH(E$1, Raw!$A$4:$A$28, 0), MATCH($C17, Raw!$B$1:$AN$1, 0))</f>
        <v>3758</v>
      </c>
      <c r="F17" s="13">
        <f>INDEX(Raw!$B$4:$AN$28, MATCH(F$1, Raw!$A$4:$A$28, 0), MATCH($C17, Raw!$B$1:$AN$1, 0))</f>
        <v>2354</v>
      </c>
      <c r="G17" s="13">
        <f>INDEX(Raw!$B$4:$AN$28, MATCH(G$1, Raw!$A$4:$A$28, 0), MATCH($C17, Raw!$B$1:$AN$1, 0))</f>
        <v>2226</v>
      </c>
      <c r="H17" s="13">
        <f>INDEX(Raw!$B$4:$AN$28, MATCH(H$1, Raw!$A$4:$A$28, 0), MATCH($C17, Raw!$B$1:$AN$1, 0))</f>
        <v>0</v>
      </c>
      <c r="I17" s="13">
        <f>INDEX(Raw!$B$4:$AN$28, MATCH(I$1, Raw!$A$4:$A$28, 0), MATCH($C17, Raw!$B$1:$AN$1, 0))</f>
        <v>17551</v>
      </c>
      <c r="J17" s="13">
        <f>INDEX(Raw!$B$4:$AN$28, MATCH(J$1, Raw!$A$4:$A$28, 0), MATCH($C17, Raw!$B$1:$AN$1, 0))</f>
        <v>9561</v>
      </c>
      <c r="K17" s="13">
        <f>INDEX(Raw!$B$4:$AN$28, MATCH(K$1, Raw!$A$4:$A$28, 0), MATCH($C17, Raw!$B$1:$AN$1, 0))</f>
        <v>8708</v>
      </c>
      <c r="L17" s="13">
        <f>INDEX(Raw!$B$4:$AN$28, MATCH(L$1, Raw!$A$4:$A$28, 0), MATCH($C17, Raw!$B$1:$AN$1, 0))</f>
        <v>10875</v>
      </c>
      <c r="M17" s="13">
        <f>INDEX(Raw!$B$4:$AN$28, MATCH(M$1, Raw!$A$4:$A$28, 0), MATCH($C17, Raw!$B$1:$AN$1, 0))</f>
        <v>1976</v>
      </c>
      <c r="N17" s="13">
        <f>INDEX(Raw!$B$4:$AN$28, MATCH(N$1, Raw!$A$4:$A$28, 0), MATCH($C17, Raw!$B$1:$AN$1, 0))</f>
        <v>31120</v>
      </c>
      <c r="O17" s="13">
        <f>INDEX(Raw!$B$4:$AN$28, MATCH(O$1, Raw!$A$4:$A$28, 0), MATCH($C17, Raw!$B$1:$AN$1, 0))</f>
        <v>48671</v>
      </c>
      <c r="P17" s="13">
        <f>INDEX(Raw!$B$4:$AN$28, MATCH(P$1, Raw!$A$4:$A$28, 0), MATCH($C17, Raw!$B$1:$AN$1, 0))</f>
        <v>13721</v>
      </c>
      <c r="Q17" s="13">
        <f>INDEX(Raw!$B$4:$AN$28, MATCH(Q$1, Raw!$A$4:$A$28, 0), MATCH($C17, Raw!$B$1:$AN$1, 0))</f>
        <v>5059</v>
      </c>
      <c r="R17" s="13">
        <f>INDEX(Raw!$B$4:$AN$28, MATCH(R$1, Raw!$A$4:$A$28, 0), MATCH($C17, Raw!$B$1:$AN$1, 0))</f>
        <v>2965</v>
      </c>
      <c r="S17" s="13">
        <f>INDEX(Raw!$B$4:$AN$28, MATCH(S$1, Raw!$A$4:$A$28, 0), MATCH($C17, Raw!$B$1:$AN$1, 0))</f>
        <v>9604</v>
      </c>
      <c r="T17" s="13">
        <f>INDEX(Raw!$B$4:$AN$28, MATCH(T$1, Raw!$A$4:$A$28, 0), MATCH($C17, Raw!$B$1:$AN$1, 0))</f>
        <v>23325</v>
      </c>
      <c r="U17" s="13">
        <f>INDEX(Raw!$B$4:$AN$28, MATCH(U$1, Raw!$A$4:$A$28, 0), MATCH($C17, Raw!$B$1:$AN$1, 0))</f>
        <v>880</v>
      </c>
      <c r="V17" s="13">
        <f>INDEX(Raw!$B$4:$AN$28, MATCH(V$1, Raw!$A$4:$A$28, 0), MATCH($C17, Raw!$B$1:$AN$1, 0))</f>
        <v>41537</v>
      </c>
      <c r="W17" s="13">
        <f>INDEX(Raw!$B$4:$AN$28, MATCH(W$1, Raw!$A$4:$A$28, 0), MATCH($C17, Raw!$B$1:$AN$1, 0))</f>
        <v>-757</v>
      </c>
      <c r="X17" s="13">
        <f>INDEX(Raw!$B$4:$AN$28, MATCH(X$1, Raw!$A$4:$A$28, 0), MATCH($C17, Raw!$B$1:$AN$1, 0))</f>
        <v>0</v>
      </c>
      <c r="Y17" s="13">
        <f>INDEX(Raw!$B$4:$AN$28, MATCH(Y$1, Raw!$A$4:$A$28, 0), MATCH($C17, Raw!$B$1:$AN$1, 0))</f>
        <v>25346</v>
      </c>
      <c r="Z17" s="13">
        <f>INDEX(Raw!$B$4:$AN$28, MATCH(Z$1, Raw!$A$4:$A$28, 0), MATCH($C17, Raw!$B$1:$AN$1, 0))</f>
        <v>48671</v>
      </c>
    </row>
    <row r="18" spans="1:26" x14ac:dyDescent="0.25">
      <c r="A18" s="13" t="s">
        <v>27</v>
      </c>
      <c r="B18" s="14">
        <f t="shared" ca="1" si="0"/>
        <v>46088</v>
      </c>
      <c r="C18" s="13">
        <v>2008</v>
      </c>
      <c r="D18" s="13">
        <f>INDEX(Raw!$B$4:$AN$28, MATCH(D$1, Raw!$A$4:$A$28, 0), MATCH($C18, Raw!$B$1:$AN$1, 0))</f>
        <v>4979</v>
      </c>
      <c r="E18" s="13">
        <f>INDEX(Raw!$B$4:$AN$28, MATCH(E$1, Raw!$A$4:$A$28, 0), MATCH($C18, Raw!$B$1:$AN$1, 0))</f>
        <v>3090</v>
      </c>
      <c r="F18" s="13">
        <f>INDEX(Raw!$B$4:$AN$28, MATCH(F$1, Raw!$A$4:$A$28, 0), MATCH($C18, Raw!$B$1:$AN$1, 0))</f>
        <v>2187</v>
      </c>
      <c r="G18" s="13">
        <f>INDEX(Raw!$B$4:$AN$28, MATCH(G$1, Raw!$A$4:$A$28, 0), MATCH($C18, Raw!$B$1:$AN$1, 0))</f>
        <v>1920</v>
      </c>
      <c r="H18" s="13">
        <f>INDEX(Raw!$B$4:$AN$28, MATCH(H$1, Raw!$A$4:$A$28, 0), MATCH($C18, Raw!$B$1:$AN$1, 0))</f>
        <v>0</v>
      </c>
      <c r="I18" s="13">
        <f>INDEX(Raw!$B$4:$AN$28, MATCH(I$1, Raw!$A$4:$A$28, 0), MATCH($C18, Raw!$B$1:$AN$1, 0))</f>
        <v>12176</v>
      </c>
      <c r="J18" s="13">
        <f>INDEX(Raw!$B$4:$AN$28, MATCH(J$1, Raw!$A$4:$A$28, 0), MATCH($C18, Raw!$B$1:$AN$1, 0))</f>
        <v>8326</v>
      </c>
      <c r="K18" s="13">
        <f>INDEX(Raw!$B$4:$AN$28, MATCH(K$1, Raw!$A$4:$A$28, 0), MATCH($C18, Raw!$B$1:$AN$1, 0))</f>
        <v>5779</v>
      </c>
      <c r="L18" s="13">
        <f>INDEX(Raw!$B$4:$AN$28, MATCH(L$1, Raw!$A$4:$A$28, 0), MATCH($C18, Raw!$B$1:$AN$1, 0))</f>
        <v>12505</v>
      </c>
      <c r="M18" s="13">
        <f>INDEX(Raw!$B$4:$AN$28, MATCH(M$1, Raw!$A$4:$A$28, 0), MATCH($C18, Raw!$B$1:$AN$1, 0))</f>
        <v>1733</v>
      </c>
      <c r="N18" s="13">
        <f>INDEX(Raw!$B$4:$AN$28, MATCH(N$1, Raw!$A$4:$A$28, 0), MATCH($C18, Raw!$B$1:$AN$1, 0))</f>
        <v>28343</v>
      </c>
      <c r="O18" s="13">
        <f>INDEX(Raw!$B$4:$AN$28, MATCH(O$1, Raw!$A$4:$A$28, 0), MATCH($C18, Raw!$B$1:$AN$1, 0))</f>
        <v>40519</v>
      </c>
      <c r="P18" s="13">
        <f>INDEX(Raw!$B$4:$AN$28, MATCH(P$1, Raw!$A$4:$A$28, 0), MATCH($C18, Raw!$B$1:$AN$1, 0))</f>
        <v>12988</v>
      </c>
      <c r="Q18" s="13">
        <f>INDEX(Raw!$B$4:$AN$28, MATCH(Q$1, Raw!$A$4:$A$28, 0), MATCH($C18, Raw!$B$1:$AN$1, 0))</f>
        <v>2781</v>
      </c>
      <c r="R18" s="13">
        <f>INDEX(Raw!$B$4:$AN$28, MATCH(R$1, Raw!$A$4:$A$28, 0), MATCH($C18, Raw!$B$1:$AN$1, 0))</f>
        <v>3011</v>
      </c>
      <c r="S18" s="13">
        <f>INDEX(Raw!$B$4:$AN$28, MATCH(S$1, Raw!$A$4:$A$28, 0), MATCH($C18, Raw!$B$1:$AN$1, 0))</f>
        <v>6669</v>
      </c>
      <c r="T18" s="13">
        <f>INDEX(Raw!$B$4:$AN$28, MATCH(T$1, Raw!$A$4:$A$28, 0), MATCH($C18, Raw!$B$1:$AN$1, 0))</f>
        <v>19657</v>
      </c>
      <c r="U18" s="13">
        <f>INDEX(Raw!$B$4:$AN$28, MATCH(U$1, Raw!$A$4:$A$28, 0), MATCH($C18, Raw!$B$1:$AN$1, 0))</f>
        <v>880</v>
      </c>
      <c r="V18" s="13">
        <f>INDEX(Raw!$B$4:$AN$28, MATCH(V$1, Raw!$A$4:$A$28, 0), MATCH($C18, Raw!$B$1:$AN$1, 0))</f>
        <v>38513</v>
      </c>
      <c r="W18" s="13">
        <f>INDEX(Raw!$B$4:$AN$28, MATCH(W$1, Raw!$A$4:$A$28, 0), MATCH($C18, Raw!$B$1:$AN$1, 0))</f>
        <v>-2674</v>
      </c>
      <c r="X18" s="13">
        <f>INDEX(Raw!$B$4:$AN$28, MATCH(X$1, Raw!$A$4:$A$28, 0), MATCH($C18, Raw!$B$1:$AN$1, 0))</f>
        <v>0</v>
      </c>
      <c r="Y18" s="13">
        <f>INDEX(Raw!$B$4:$AN$28, MATCH(Y$1, Raw!$A$4:$A$28, 0), MATCH($C18, Raw!$B$1:$AN$1, 0))</f>
        <v>20862</v>
      </c>
      <c r="Z18" s="13">
        <f>INDEX(Raw!$B$4:$AN$28, MATCH(Z$1, Raw!$A$4:$A$28, 0), MATCH($C18, Raw!$B$1:$AN$1, 0))</f>
        <v>40519</v>
      </c>
    </row>
    <row r="19" spans="1:26" x14ac:dyDescent="0.25">
      <c r="A19" s="13" t="s">
        <v>27</v>
      </c>
      <c r="B19" s="14">
        <f t="shared" ca="1" si="0"/>
        <v>46088</v>
      </c>
      <c r="C19" s="13">
        <v>2007</v>
      </c>
      <c r="D19" s="13">
        <f>INDEX(Raw!$B$4:$AN$28, MATCH(D$1, Raw!$A$4:$A$28, 0), MATCH($C19, Raw!$B$1:$AN$1, 0))</f>
        <v>4308</v>
      </c>
      <c r="E19" s="13">
        <f>INDEX(Raw!$B$4:$AN$28, MATCH(E$1, Raw!$A$4:$A$28, 0), MATCH($C19, Raw!$B$1:$AN$1, 0))</f>
        <v>3317</v>
      </c>
      <c r="F19" s="13">
        <f>INDEX(Raw!$B$4:$AN$28, MATCH(F$1, Raw!$A$4:$A$28, 0), MATCH($C19, Raw!$B$1:$AN$1, 0))</f>
        <v>2220</v>
      </c>
      <c r="G19" s="13">
        <f>INDEX(Raw!$B$4:$AN$28, MATCH(G$1, Raw!$A$4:$A$28, 0), MATCH($C19, Raw!$B$1:$AN$1, 0))</f>
        <v>2260</v>
      </c>
      <c r="H19" s="13">
        <f>INDEX(Raw!$B$4:$AN$28, MATCH(H$1, Raw!$A$4:$A$28, 0), MATCH($C19, Raw!$B$1:$AN$1, 0))</f>
        <v>0</v>
      </c>
      <c r="I19" s="13">
        <f>INDEX(Raw!$B$4:$AN$28, MATCH(I$1, Raw!$A$4:$A$28, 0), MATCH($C19, Raw!$B$1:$AN$1, 0))</f>
        <v>12105</v>
      </c>
      <c r="J19" s="13">
        <f>INDEX(Raw!$B$4:$AN$28, MATCH(J$1, Raw!$A$4:$A$28, 0), MATCH($C19, Raw!$B$1:$AN$1, 0))</f>
        <v>8493</v>
      </c>
      <c r="K19" s="13">
        <f>INDEX(Raw!$B$4:$AN$28, MATCH(K$1, Raw!$A$4:$A$28, 0), MATCH($C19, Raw!$B$1:$AN$1, 0))</f>
        <v>7777</v>
      </c>
      <c r="L19" s="13">
        <f>INDEX(Raw!$B$4:$AN$28, MATCH(L$1, Raw!$A$4:$A$28, 0), MATCH($C19, Raw!$B$1:$AN$1, 0))</f>
        <v>12219</v>
      </c>
      <c r="M19" s="13">
        <f>INDEX(Raw!$B$4:$AN$28, MATCH(M$1, Raw!$A$4:$A$28, 0), MATCH($C19, Raw!$B$1:$AN$1, 0))</f>
        <v>2675</v>
      </c>
      <c r="N19" s="13">
        <f>INDEX(Raw!$B$4:$AN$28, MATCH(N$1, Raw!$A$4:$A$28, 0), MATCH($C19, Raw!$B$1:$AN$1, 0))</f>
        <v>31164</v>
      </c>
      <c r="O19" s="13">
        <f>INDEX(Raw!$B$4:$AN$28, MATCH(O$1, Raw!$A$4:$A$28, 0), MATCH($C19, Raw!$B$1:$AN$1, 0))</f>
        <v>43269</v>
      </c>
      <c r="P19" s="13">
        <f>INDEX(Raw!$B$4:$AN$28, MATCH(P$1, Raw!$A$4:$A$28, 0), MATCH($C19, Raw!$B$1:$AN$1, 0))</f>
        <v>13225</v>
      </c>
      <c r="Q19" s="13">
        <f>INDEX(Raw!$B$4:$AN$28, MATCH(Q$1, Raw!$A$4:$A$28, 0), MATCH($C19, Raw!$B$1:$AN$1, 0))</f>
        <v>3277</v>
      </c>
      <c r="R19" s="13">
        <f>INDEX(Raw!$B$4:$AN$28, MATCH(R$1, Raw!$A$4:$A$28, 0), MATCH($C19, Raw!$B$1:$AN$1, 0))</f>
        <v>3133</v>
      </c>
      <c r="S19" s="13">
        <f>INDEX(Raw!$B$4:$AN$28, MATCH(S$1, Raw!$A$4:$A$28, 0), MATCH($C19, Raw!$B$1:$AN$1, 0))</f>
        <v>8300</v>
      </c>
      <c r="T19" s="13">
        <f>INDEX(Raw!$B$4:$AN$28, MATCH(T$1, Raw!$A$4:$A$28, 0), MATCH($C19, Raw!$B$1:$AN$1, 0))</f>
        <v>21525</v>
      </c>
      <c r="U19" s="13">
        <f>INDEX(Raw!$B$4:$AN$28, MATCH(U$1, Raw!$A$4:$A$28, 0), MATCH($C19, Raw!$B$1:$AN$1, 0))</f>
        <v>880</v>
      </c>
      <c r="V19" s="13">
        <f>INDEX(Raw!$B$4:$AN$28, MATCH(V$1, Raw!$A$4:$A$28, 0), MATCH($C19, Raw!$B$1:$AN$1, 0))</f>
        <v>36235</v>
      </c>
      <c r="W19" s="13">
        <f>INDEX(Raw!$B$4:$AN$28, MATCH(W$1, Raw!$A$4:$A$28, 0), MATCH($C19, Raw!$B$1:$AN$1, 0))</f>
        <v>626</v>
      </c>
      <c r="X19" s="13">
        <f>INDEX(Raw!$B$4:$AN$28, MATCH(X$1, Raw!$A$4:$A$28, 0), MATCH($C19, Raw!$B$1:$AN$1, 0))</f>
        <v>0</v>
      </c>
      <c r="Y19" s="13">
        <f>INDEX(Raw!$B$4:$AN$28, MATCH(Y$1, Raw!$A$4:$A$28, 0), MATCH($C19, Raw!$B$1:$AN$1, 0))</f>
        <v>21744</v>
      </c>
      <c r="Z19" s="13">
        <f>INDEX(Raw!$B$4:$AN$28, MATCH(Z$1, Raw!$A$4:$A$28, 0), MATCH($C19, Raw!$B$1:$AN$1, 0))</f>
        <v>43269</v>
      </c>
    </row>
    <row r="20" spans="1:26" x14ac:dyDescent="0.25">
      <c r="A20" s="13" t="s">
        <v>27</v>
      </c>
      <c r="B20" s="14">
        <f t="shared" ca="1" si="0"/>
        <v>46088</v>
      </c>
      <c r="C20" s="13">
        <v>2006</v>
      </c>
      <c r="D20" s="13">
        <f>INDEX(Raw!$B$4:$AN$28, MATCH(D$1, Raw!$A$4:$A$28, 0), MATCH($C20, Raw!$B$1:$AN$1, 0))</f>
        <v>2590</v>
      </c>
      <c r="E20" s="13">
        <f>INDEX(Raw!$B$4:$AN$28, MATCH(E$1, Raw!$A$4:$A$28, 0), MATCH($C20, Raw!$B$1:$AN$1, 0))</f>
        <v>2587</v>
      </c>
      <c r="F20" s="13">
        <f>INDEX(Raw!$B$4:$AN$28, MATCH(F$1, Raw!$A$4:$A$28, 0), MATCH($C20, Raw!$B$1:$AN$1, 0))</f>
        <v>1641</v>
      </c>
      <c r="G20" s="13">
        <f>INDEX(Raw!$B$4:$AN$28, MATCH(G$1, Raw!$A$4:$A$28, 0), MATCH($C20, Raw!$B$1:$AN$1, 0))</f>
        <v>1623</v>
      </c>
      <c r="H20" s="13">
        <f>INDEX(Raw!$B$4:$AN$28, MATCH(H$1, Raw!$A$4:$A$28, 0), MATCH($C20, Raw!$B$1:$AN$1, 0))</f>
        <v>0</v>
      </c>
      <c r="I20" s="13">
        <f>INDEX(Raw!$B$4:$AN$28, MATCH(I$1, Raw!$A$4:$A$28, 0), MATCH($C20, Raw!$B$1:$AN$1, 0))</f>
        <v>8441</v>
      </c>
      <c r="J20" s="13">
        <f>INDEX(Raw!$B$4:$AN$28, MATCH(J$1, Raw!$A$4:$A$28, 0), MATCH($C20, Raw!$B$1:$AN$1, 0))</f>
        <v>6903</v>
      </c>
      <c r="K20" s="13">
        <f>INDEX(Raw!$B$4:$AN$28, MATCH(K$1, Raw!$A$4:$A$28, 0), MATCH($C20, Raw!$B$1:$AN$1, 0))</f>
        <v>6783</v>
      </c>
      <c r="L20" s="13">
        <f>INDEX(Raw!$B$4:$AN$28, MATCH(L$1, Raw!$A$4:$A$28, 0), MATCH($C20, Raw!$B$1:$AN$1, 0))</f>
        <v>5135</v>
      </c>
      <c r="M20" s="13">
        <f>INDEX(Raw!$B$4:$AN$28, MATCH(M$1, Raw!$A$4:$A$28, 0), MATCH($C20, Raw!$B$1:$AN$1, 0))</f>
        <v>2701</v>
      </c>
      <c r="N20" s="13">
        <f>INDEX(Raw!$B$4:$AN$28, MATCH(N$1, Raw!$A$4:$A$28, 0), MATCH($C20, Raw!$B$1:$AN$1, 0))</f>
        <v>21522</v>
      </c>
      <c r="O20" s="13">
        <f>INDEX(Raw!$B$4:$AN$28, MATCH(O$1, Raw!$A$4:$A$28, 0), MATCH($C20, Raw!$B$1:$AN$1, 0))</f>
        <v>29963</v>
      </c>
      <c r="P20" s="13">
        <f>INDEX(Raw!$B$4:$AN$28, MATCH(P$1, Raw!$A$4:$A$28, 0), MATCH($C20, Raw!$B$1:$AN$1, 0))</f>
        <v>8890</v>
      </c>
      <c r="Q20" s="13">
        <f>INDEX(Raw!$B$4:$AN$28, MATCH(Q$1, Raw!$A$4:$A$28, 0), MATCH($C20, Raw!$B$1:$AN$1, 0))</f>
        <v>1314</v>
      </c>
      <c r="R20" s="13">
        <f>INDEX(Raw!$B$4:$AN$28, MATCH(R$1, Raw!$A$4:$A$28, 0), MATCH($C20, Raw!$B$1:$AN$1, 0))</f>
        <v>2231</v>
      </c>
      <c r="S20" s="13">
        <f>INDEX(Raw!$B$4:$AN$28, MATCH(S$1, Raw!$A$4:$A$28, 0), MATCH($C20, Raw!$B$1:$AN$1, 0))</f>
        <v>4153</v>
      </c>
      <c r="T20" s="13">
        <f>INDEX(Raw!$B$4:$AN$28, MATCH(T$1, Raw!$A$4:$A$28, 0), MATCH($C20, Raw!$B$1:$AN$1, 0))</f>
        <v>13043</v>
      </c>
      <c r="U20" s="13">
        <f>INDEX(Raw!$B$4:$AN$28, MATCH(U$1, Raw!$A$4:$A$28, 0), MATCH($C20, Raw!$B$1:$AN$1, 0))</f>
        <v>878</v>
      </c>
      <c r="V20" s="13">
        <f>INDEX(Raw!$B$4:$AN$28, MATCH(V$1, Raw!$A$4:$A$28, 0), MATCH($C20, Raw!$B$1:$AN$1, 0))</f>
        <v>33468</v>
      </c>
      <c r="W20" s="13">
        <f>INDEX(Raw!$B$4:$AN$28, MATCH(W$1, Raw!$A$4:$A$28, 0), MATCH($C20, Raw!$B$1:$AN$1, 0))</f>
        <v>-1291</v>
      </c>
      <c r="X20" s="13">
        <f>INDEX(Raw!$B$4:$AN$28, MATCH(X$1, Raw!$A$4:$A$28, 0), MATCH($C20, Raw!$B$1:$AN$1, 0))</f>
        <v>0</v>
      </c>
      <c r="Y20" s="13">
        <f>INDEX(Raw!$B$4:$AN$28, MATCH(Y$1, Raw!$A$4:$A$28, 0), MATCH($C20, Raw!$B$1:$AN$1, 0))</f>
        <v>16920</v>
      </c>
      <c r="Z20" s="13">
        <f>INDEX(Raw!$B$4:$AN$28, MATCH(Z$1, Raw!$A$4:$A$28, 0), MATCH($C20, Raw!$B$1:$AN$1, 0))</f>
        <v>29963</v>
      </c>
    </row>
    <row r="21" spans="1:26" x14ac:dyDescent="0.25">
      <c r="A21" s="13" t="s">
        <v>27</v>
      </c>
      <c r="B21" s="14">
        <f t="shared" ca="1" si="0"/>
        <v>46088</v>
      </c>
      <c r="C21" s="13">
        <v>2005</v>
      </c>
      <c r="D21" s="13">
        <f>INDEX(Raw!$B$4:$AN$28, MATCH(D$1, Raw!$A$4:$A$28, 0), MATCH($C21, Raw!$B$1:$AN$1, 0))</f>
        <v>4767</v>
      </c>
      <c r="E21" s="13">
        <f>INDEX(Raw!$B$4:$AN$28, MATCH(E$1, Raw!$A$4:$A$28, 0), MATCH($C21, Raw!$B$1:$AN$1, 0))</f>
        <v>2281</v>
      </c>
      <c r="F21" s="13">
        <f>INDEX(Raw!$B$4:$AN$28, MATCH(F$1, Raw!$A$4:$A$28, 0), MATCH($C21, Raw!$B$1:$AN$1, 0))</f>
        <v>1379</v>
      </c>
      <c r="G21" s="13">
        <f>INDEX(Raw!$B$4:$AN$28, MATCH(G$1, Raw!$A$4:$A$28, 0), MATCH($C21, Raw!$B$1:$AN$1, 0))</f>
        <v>1778</v>
      </c>
      <c r="H21" s="13">
        <f>INDEX(Raw!$B$4:$AN$28, MATCH(H$1, Raw!$A$4:$A$28, 0), MATCH($C21, Raw!$B$1:$AN$1, 0))</f>
        <v>0</v>
      </c>
      <c r="I21" s="13">
        <f>INDEX(Raw!$B$4:$AN$28, MATCH(I$1, Raw!$A$4:$A$28, 0), MATCH($C21, Raw!$B$1:$AN$1, 0))</f>
        <v>10205</v>
      </c>
      <c r="J21" s="13">
        <f>INDEX(Raw!$B$4:$AN$28, MATCH(J$1, Raw!$A$4:$A$28, 0), MATCH($C21, Raw!$B$1:$AN$1, 0))</f>
        <v>5831</v>
      </c>
      <c r="K21" s="13">
        <f>INDEX(Raw!$B$4:$AN$28, MATCH(K$1, Raw!$A$4:$A$28, 0), MATCH($C21, Raw!$B$1:$AN$1, 0))</f>
        <v>6922</v>
      </c>
      <c r="L21" s="13">
        <f>INDEX(Raw!$B$4:$AN$28, MATCH(L$1, Raw!$A$4:$A$28, 0), MATCH($C21, Raw!$B$1:$AN$1, 0))</f>
        <v>3821</v>
      </c>
      <c r="M21" s="13">
        <f>INDEX(Raw!$B$4:$AN$28, MATCH(M$1, Raw!$A$4:$A$28, 0), MATCH($C21, Raw!$B$1:$AN$1, 0))</f>
        <v>2648</v>
      </c>
      <c r="N21" s="13">
        <f>INDEX(Raw!$B$4:$AN$28, MATCH(N$1, Raw!$A$4:$A$28, 0), MATCH($C21, Raw!$B$1:$AN$1, 0))</f>
        <v>19222</v>
      </c>
      <c r="O21" s="13">
        <f>INDEX(Raw!$B$4:$AN$28, MATCH(O$1, Raw!$A$4:$A$28, 0), MATCH($C21, Raw!$B$1:$AN$1, 0))</f>
        <v>29427</v>
      </c>
      <c r="P21" s="13">
        <f>INDEX(Raw!$B$4:$AN$28, MATCH(P$1, Raw!$A$4:$A$28, 0), MATCH($C21, Raw!$B$1:$AN$1, 0))</f>
        <v>9836</v>
      </c>
      <c r="Q21" s="13">
        <f>INDEX(Raw!$B$4:$AN$28, MATCH(Q$1, Raw!$A$4:$A$28, 0), MATCH($C21, Raw!$B$1:$AN$1, 0))</f>
        <v>1154</v>
      </c>
      <c r="R21" s="13">
        <f>INDEX(Raw!$B$4:$AN$28, MATCH(R$1, Raw!$A$4:$A$28, 0), MATCH($C21, Raw!$B$1:$AN$1, 0))</f>
        <v>1730</v>
      </c>
      <c r="S21" s="13">
        <f>INDEX(Raw!$B$4:$AN$28, MATCH(S$1, Raw!$A$4:$A$28, 0), MATCH($C21, Raw!$B$1:$AN$1, 0))</f>
        <v>3236</v>
      </c>
      <c r="T21" s="13">
        <f>INDEX(Raw!$B$4:$AN$28, MATCH(T$1, Raw!$A$4:$A$28, 0), MATCH($C21, Raw!$B$1:$AN$1, 0))</f>
        <v>13072</v>
      </c>
      <c r="U21" s="13">
        <f>INDEX(Raw!$B$4:$AN$28, MATCH(U$1, Raw!$A$4:$A$28, 0), MATCH($C21, Raw!$B$1:$AN$1, 0))</f>
        <v>877</v>
      </c>
      <c r="V21" s="13">
        <f>INDEX(Raw!$B$4:$AN$28, MATCH(V$1, Raw!$A$4:$A$28, 0), MATCH($C21, Raw!$B$1:$AN$1, 0))</f>
        <v>31299</v>
      </c>
      <c r="W21" s="13">
        <f>INDEX(Raw!$B$4:$AN$28, MATCH(W$1, Raw!$A$4:$A$28, 0), MATCH($C21, Raw!$B$1:$AN$1, 0))</f>
        <v>-1669</v>
      </c>
      <c r="X21" s="13">
        <f>INDEX(Raw!$B$4:$AN$28, MATCH(X$1, Raw!$A$4:$A$28, 0), MATCH($C21, Raw!$B$1:$AN$1, 0))</f>
        <v>0</v>
      </c>
      <c r="Y21" s="13">
        <f>INDEX(Raw!$B$4:$AN$28, MATCH(Y$1, Raw!$A$4:$A$28, 0), MATCH($C21, Raw!$B$1:$AN$1, 0))</f>
        <v>16355</v>
      </c>
      <c r="Z21" s="13">
        <f>INDEX(Raw!$B$4:$AN$28, MATCH(Z$1, Raw!$A$4:$A$28, 0), MATCH($C21, Raw!$B$1:$AN$1, 0))</f>
        <v>29427</v>
      </c>
    </row>
    <row r="22" spans="1:26" x14ac:dyDescent="0.25">
      <c r="A22" s="13" t="s">
        <v>27</v>
      </c>
      <c r="B22" s="14">
        <f t="shared" ca="1" si="0"/>
        <v>46088</v>
      </c>
      <c r="C22" s="13">
        <v>2004</v>
      </c>
      <c r="D22" s="13">
        <f>INDEX(Raw!$B$4:$AN$28, MATCH(D$1, Raw!$A$4:$A$28, 0), MATCH($C22, Raw!$B$1:$AN$1, 0))</f>
        <v>6768</v>
      </c>
      <c r="E22" s="13">
        <f>INDEX(Raw!$B$4:$AN$28, MATCH(E$1, Raw!$A$4:$A$28, 0), MATCH($C22, Raw!$B$1:$AN$1, 0))</f>
        <v>2244</v>
      </c>
      <c r="F22" s="13">
        <f>INDEX(Raw!$B$4:$AN$28, MATCH(F$1, Raw!$A$4:$A$28, 0), MATCH($C22, Raw!$B$1:$AN$1, 0))</f>
        <v>1420</v>
      </c>
      <c r="G22" s="13">
        <f>INDEX(Raw!$B$4:$AN$28, MATCH(G$1, Raw!$A$4:$A$28, 0), MATCH($C22, Raw!$B$1:$AN$1, 0))</f>
        <v>1849</v>
      </c>
      <c r="H22" s="13">
        <f>INDEX(Raw!$B$4:$AN$28, MATCH(H$1, Raw!$A$4:$A$28, 0), MATCH($C22, Raw!$B$1:$AN$1, 0))</f>
        <v>0</v>
      </c>
      <c r="I22" s="13">
        <f>INDEX(Raw!$B$4:$AN$28, MATCH(I$1, Raw!$A$4:$A$28, 0), MATCH($C22, Raw!$B$1:$AN$1, 0))</f>
        <v>12281</v>
      </c>
      <c r="J22" s="13">
        <f>INDEX(Raw!$B$4:$AN$28, MATCH(J$1, Raw!$A$4:$A$28, 0), MATCH($C22, Raw!$B$1:$AN$1, 0))</f>
        <v>6091</v>
      </c>
      <c r="K22" s="13">
        <f>INDEX(Raw!$B$4:$AN$28, MATCH(K$1, Raw!$A$4:$A$28, 0), MATCH($C22, Raw!$B$1:$AN$1, 0))</f>
        <v>6252</v>
      </c>
      <c r="L22" s="13">
        <f>INDEX(Raw!$B$4:$AN$28, MATCH(L$1, Raw!$A$4:$A$28, 0), MATCH($C22, Raw!$B$1:$AN$1, 0))</f>
        <v>3836</v>
      </c>
      <c r="M22" s="13">
        <f>INDEX(Raw!$B$4:$AN$28, MATCH(M$1, Raw!$A$4:$A$28, 0), MATCH($C22, Raw!$B$1:$AN$1, 0))</f>
        <v>2981</v>
      </c>
      <c r="N22" s="13">
        <f>INDEX(Raw!$B$4:$AN$28, MATCH(N$1, Raw!$A$4:$A$28, 0), MATCH($C22, Raw!$B$1:$AN$1, 0))</f>
        <v>19160</v>
      </c>
      <c r="O22" s="13">
        <f>INDEX(Raw!$B$4:$AN$28, MATCH(O$1, Raw!$A$4:$A$28, 0), MATCH($C22, Raw!$B$1:$AN$1, 0))</f>
        <v>31441</v>
      </c>
      <c r="P22" s="13">
        <f>INDEX(Raw!$B$4:$AN$28, MATCH(P$1, Raw!$A$4:$A$28, 0), MATCH($C22, Raw!$B$1:$AN$1, 0))</f>
        <v>11133</v>
      </c>
      <c r="Q22" s="13">
        <f>INDEX(Raw!$B$4:$AN$28, MATCH(Q$1, Raw!$A$4:$A$28, 0), MATCH($C22, Raw!$B$1:$AN$1, 0))</f>
        <v>1157</v>
      </c>
      <c r="R22" s="13">
        <f>INDEX(Raw!$B$4:$AN$28, MATCH(R$1, Raw!$A$4:$A$28, 0), MATCH($C22, Raw!$B$1:$AN$1, 0))</f>
        <v>2814</v>
      </c>
      <c r="S22" s="13">
        <f>INDEX(Raw!$B$4:$AN$28, MATCH(S$1, Raw!$A$4:$A$28, 0), MATCH($C22, Raw!$B$1:$AN$1, 0))</f>
        <v>4373</v>
      </c>
      <c r="T22" s="13">
        <f>INDEX(Raw!$B$4:$AN$28, MATCH(T$1, Raw!$A$4:$A$28, 0), MATCH($C22, Raw!$B$1:$AN$1, 0))</f>
        <v>15506</v>
      </c>
      <c r="U22" s="13">
        <f>INDEX(Raw!$B$4:$AN$28, MATCH(U$1, Raw!$A$4:$A$28, 0), MATCH($C22, Raw!$B$1:$AN$1, 0))</f>
        <v>875</v>
      </c>
      <c r="V22" s="13">
        <f>INDEX(Raw!$B$4:$AN$28, MATCH(V$1, Raw!$A$4:$A$28, 0), MATCH($C22, Raw!$B$1:$AN$1, 0))</f>
        <v>29105</v>
      </c>
      <c r="W22" s="13">
        <f>INDEX(Raw!$B$4:$AN$28, MATCH(W$1, Raw!$A$4:$A$28, 0), MATCH($C22, Raw!$B$1:$AN$1, 0))</f>
        <v>-1348</v>
      </c>
      <c r="X22" s="13">
        <f>INDEX(Raw!$B$4:$AN$28, MATCH(X$1, Raw!$A$4:$A$28, 0), MATCH($C22, Raw!$B$1:$AN$1, 0))</f>
        <v>0</v>
      </c>
      <c r="Y22" s="13">
        <f>INDEX(Raw!$B$4:$AN$28, MATCH(Y$1, Raw!$A$4:$A$28, 0), MATCH($C22, Raw!$B$1:$AN$1, 0))</f>
        <v>15935</v>
      </c>
      <c r="Z22" s="13">
        <f>INDEX(Raw!$B$4:$AN$28, MATCH(Z$1, Raw!$A$4:$A$28, 0), MATCH($C22, Raw!$B$1:$AN$1, 0))</f>
        <v>31441</v>
      </c>
    </row>
    <row r="23" spans="1:26" x14ac:dyDescent="0.25">
      <c r="A23" s="13" t="s">
        <v>27</v>
      </c>
      <c r="B23" s="14">
        <f t="shared" ca="1" si="0"/>
        <v>46088</v>
      </c>
      <c r="C23" s="13">
        <v>2003</v>
      </c>
      <c r="D23" s="13">
        <f>INDEX(Raw!$B$4:$AN$28, MATCH(D$1, Raw!$A$4:$A$28, 0), MATCH($C23, Raw!$B$1:$AN$1, 0))</f>
        <v>3482</v>
      </c>
      <c r="E23" s="13">
        <f>INDEX(Raw!$B$4:$AN$28, MATCH(E$1, Raw!$A$4:$A$28, 0), MATCH($C23, Raw!$B$1:$AN$1, 0))</f>
        <v>2091</v>
      </c>
      <c r="F23" s="13">
        <f>INDEX(Raw!$B$4:$AN$28, MATCH(F$1, Raw!$A$4:$A$28, 0), MATCH($C23, Raw!$B$1:$AN$1, 0))</f>
        <v>1252</v>
      </c>
      <c r="G23" s="13">
        <f>INDEX(Raw!$B$4:$AN$28, MATCH(G$1, Raw!$A$4:$A$28, 0), MATCH($C23, Raw!$B$1:$AN$1, 0))</f>
        <v>1571</v>
      </c>
      <c r="H23" s="13">
        <f>INDEX(Raw!$B$4:$AN$28, MATCH(H$1, Raw!$A$4:$A$28, 0), MATCH($C23, Raw!$B$1:$AN$1, 0))</f>
        <v>0</v>
      </c>
      <c r="I23" s="13">
        <f>INDEX(Raw!$B$4:$AN$28, MATCH(I$1, Raw!$A$4:$A$28, 0), MATCH($C23, Raw!$B$1:$AN$1, 0))</f>
        <v>8396</v>
      </c>
      <c r="J23" s="13">
        <f>INDEX(Raw!$B$4:$AN$28, MATCH(J$1, Raw!$A$4:$A$28, 0), MATCH($C23, Raw!$B$1:$AN$1, 0))</f>
        <v>6097</v>
      </c>
      <c r="K23" s="13">
        <f>INDEX(Raw!$B$4:$AN$28, MATCH(K$1, Raw!$A$4:$A$28, 0), MATCH($C23, Raw!$B$1:$AN$1, 0))</f>
        <v>5538</v>
      </c>
      <c r="L23" s="13">
        <f>INDEX(Raw!$B$4:$AN$28, MATCH(L$1, Raw!$A$4:$A$28, 0), MATCH($C23, Raw!$B$1:$AN$1, 0))</f>
        <v>3989</v>
      </c>
      <c r="M23" s="13">
        <f>INDEX(Raw!$B$4:$AN$28, MATCH(M$1, Raw!$A$4:$A$28, 0), MATCH($C23, Raw!$B$1:$AN$1, 0))</f>
        <v>3322</v>
      </c>
      <c r="N23" s="13">
        <f>INDEX(Raw!$B$4:$AN$28, MATCH(N$1, Raw!$A$4:$A$28, 0), MATCH($C23, Raw!$B$1:$AN$1, 0))</f>
        <v>18946</v>
      </c>
      <c r="O23" s="13">
        <f>INDEX(Raw!$B$4:$AN$28, MATCH(O$1, Raw!$A$4:$A$28, 0), MATCH($C23, Raw!$B$1:$AN$1, 0))</f>
        <v>27342</v>
      </c>
      <c r="P23" s="13">
        <f>INDEX(Raw!$B$4:$AN$28, MATCH(P$1, Raw!$A$4:$A$28, 0), MATCH($C23, Raw!$B$1:$AN$1, 0))</f>
        <v>7886</v>
      </c>
      <c r="Q23" s="13">
        <f>INDEX(Raw!$B$4:$AN$28, MATCH(Q$1, Raw!$A$4:$A$28, 0), MATCH($C23, Raw!$B$1:$AN$1, 0))</f>
        <v>2517</v>
      </c>
      <c r="R23" s="13">
        <f>INDEX(Raw!$B$4:$AN$28, MATCH(R$1, Raw!$A$4:$A$28, 0), MATCH($C23, Raw!$B$1:$AN$1, 0))</f>
        <v>2512</v>
      </c>
      <c r="S23" s="13">
        <f>INDEX(Raw!$B$4:$AN$28, MATCH(S$1, Raw!$A$4:$A$28, 0), MATCH($C23, Raw!$B$1:$AN$1, 0))</f>
        <v>5366</v>
      </c>
      <c r="T23" s="13">
        <f>INDEX(Raw!$B$4:$AN$28, MATCH(T$1, Raw!$A$4:$A$28, 0), MATCH($C23, Raw!$B$1:$AN$1, 0))</f>
        <v>13252</v>
      </c>
      <c r="U23" s="13">
        <f>INDEX(Raw!$B$4:$AN$28, MATCH(U$1, Raw!$A$4:$A$28, 0), MATCH($C23, Raw!$B$1:$AN$1, 0))</f>
        <v>874</v>
      </c>
      <c r="V23" s="13">
        <f>INDEX(Raw!$B$4:$AN$28, MATCH(V$1, Raw!$A$4:$A$28, 0), MATCH($C23, Raw!$B$1:$AN$1, 0))</f>
        <v>26687</v>
      </c>
      <c r="W23" s="13">
        <f>INDEX(Raw!$B$4:$AN$28, MATCH(W$1, Raw!$A$4:$A$28, 0), MATCH($C23, Raw!$B$1:$AN$1, 0))</f>
        <v>-1995</v>
      </c>
      <c r="X23" s="13">
        <f>INDEX(Raw!$B$4:$AN$28, MATCH(X$1, Raw!$A$4:$A$28, 0), MATCH($C23, Raw!$B$1:$AN$1, 0))</f>
        <v>0</v>
      </c>
      <c r="Y23" s="13">
        <f>INDEX(Raw!$B$4:$AN$28, MATCH(Y$1, Raw!$A$4:$A$28, 0), MATCH($C23, Raw!$B$1:$AN$1, 0))</f>
        <v>14090</v>
      </c>
      <c r="Z23" s="13">
        <f>INDEX(Raw!$B$4:$AN$28, MATCH(Z$1, Raw!$A$4:$A$28, 0), MATCH($C23, Raw!$B$1:$AN$1, 0))</f>
        <v>27342</v>
      </c>
    </row>
    <row r="24" spans="1:26" x14ac:dyDescent="0.25">
      <c r="A24" s="13" t="s">
        <v>27</v>
      </c>
      <c r="B24" s="14">
        <f t="shared" ca="1" si="0"/>
        <v>46088</v>
      </c>
      <c r="C24" s="13">
        <v>2002</v>
      </c>
      <c r="D24" s="13">
        <f>INDEX(Raw!$B$4:$AN$28, MATCH(D$1, Raw!$A$4:$A$28, 0), MATCH($C24, Raw!$B$1:$AN$1, 0))</f>
        <v>2345</v>
      </c>
      <c r="E24" s="13">
        <f>INDEX(Raw!$B$4:$AN$28, MATCH(E$1, Raw!$A$4:$A$28, 0), MATCH($C24, Raw!$B$1:$AN$1, 0))</f>
        <v>2097</v>
      </c>
      <c r="F24" s="13">
        <f>INDEX(Raw!$B$4:$AN$28, MATCH(F$1, Raw!$A$4:$A$28, 0), MATCH($C24, Raw!$B$1:$AN$1, 0))</f>
        <v>1294</v>
      </c>
      <c r="G24" s="13">
        <f>INDEX(Raw!$B$4:$AN$28, MATCH(G$1, Raw!$A$4:$A$28, 0), MATCH($C24, Raw!$B$1:$AN$1, 0))</f>
        <v>1616</v>
      </c>
      <c r="H24" s="13">
        <f>INDEX(Raw!$B$4:$AN$28, MATCH(H$1, Raw!$A$4:$A$28, 0), MATCH($C24, Raw!$B$1:$AN$1, 0))</f>
        <v>0</v>
      </c>
      <c r="I24" s="13">
        <f>INDEX(Raw!$B$4:$AN$28, MATCH(I$1, Raw!$A$4:$A$28, 0), MATCH($C24, Raw!$B$1:$AN$1, 0))</f>
        <v>7352</v>
      </c>
      <c r="J24" s="13">
        <f>INDEX(Raw!$B$4:$AN$28, MATCH(J$1, Raw!$A$4:$A$28, 0), MATCH($C24, Raw!$B$1:$AN$1, 0))</f>
        <v>5911</v>
      </c>
      <c r="K24" s="13">
        <f>INDEX(Raw!$B$4:$AN$28, MATCH(K$1, Raw!$A$4:$A$28, 0), MATCH($C24, Raw!$B$1:$AN$1, 0))</f>
        <v>4991</v>
      </c>
      <c r="L24" s="13">
        <f>INDEX(Raw!$B$4:$AN$28, MATCH(L$1, Raw!$A$4:$A$28, 0), MATCH($C24, Raw!$B$1:$AN$1, 0))</f>
        <v>3458</v>
      </c>
      <c r="M24" s="13">
        <f>INDEX(Raw!$B$4:$AN$28, MATCH(M$1, Raw!$A$4:$A$28, 0), MATCH($C24, Raw!$B$1:$AN$1, 0))</f>
        <v>2694</v>
      </c>
      <c r="N24" s="13">
        <f>INDEX(Raw!$B$4:$AN$28, MATCH(N$1, Raw!$A$4:$A$28, 0), MATCH($C24, Raw!$B$1:$AN$1, 0))</f>
        <v>17054</v>
      </c>
      <c r="O24" s="13">
        <f>INDEX(Raw!$B$4:$AN$28, MATCH(O$1, Raw!$A$4:$A$28, 0), MATCH($C24, Raw!$B$1:$AN$1, 0))</f>
        <v>24406</v>
      </c>
      <c r="P24" s="13">
        <f>INDEX(Raw!$B$4:$AN$28, MATCH(P$1, Raw!$A$4:$A$28, 0), MATCH($C24, Raw!$B$1:$AN$1, 0))</f>
        <v>7341</v>
      </c>
      <c r="Q24" s="13">
        <f>INDEX(Raw!$B$4:$AN$28, MATCH(Q$1, Raw!$A$4:$A$28, 0), MATCH($C24, Raw!$B$1:$AN$1, 0))</f>
        <v>2701</v>
      </c>
      <c r="R24" s="13">
        <f>INDEX(Raw!$B$4:$AN$28, MATCH(R$1, Raw!$A$4:$A$28, 0), MATCH($C24, Raw!$B$1:$AN$1, 0))</f>
        <v>2260</v>
      </c>
      <c r="S24" s="13">
        <f>INDEX(Raw!$B$4:$AN$28, MATCH(S$1, Raw!$A$4:$A$28, 0), MATCH($C24, Raw!$B$1:$AN$1, 0))</f>
        <v>5265</v>
      </c>
      <c r="T24" s="13">
        <f>INDEX(Raw!$B$4:$AN$28, MATCH(T$1, Raw!$A$4:$A$28, 0), MATCH($C24, Raw!$B$1:$AN$1, 0))</f>
        <v>12606</v>
      </c>
      <c r="U24" s="13">
        <f>INDEX(Raw!$B$4:$AN$28, MATCH(U$1, Raw!$A$4:$A$28, 0), MATCH($C24, Raw!$B$1:$AN$1, 0))</f>
        <v>873</v>
      </c>
      <c r="V24" s="13">
        <f>INDEX(Raw!$B$4:$AN$28, MATCH(V$1, Raw!$A$4:$A$28, 0), MATCH($C24, Raw!$B$1:$AN$1, 0))</f>
        <v>24506</v>
      </c>
      <c r="W24" s="13">
        <f>INDEX(Raw!$B$4:$AN$28, MATCH(W$1, Raw!$A$4:$A$28, 0), MATCH($C24, Raw!$B$1:$AN$1, 0))</f>
        <v>-3047</v>
      </c>
      <c r="X24" s="13">
        <f>INDEX(Raw!$B$4:$AN$28, MATCH(X$1, Raw!$A$4:$A$28, 0), MATCH($C24, Raw!$B$1:$AN$1, 0))</f>
        <v>0</v>
      </c>
      <c r="Y24" s="13">
        <f>INDEX(Raw!$B$4:$AN$28, MATCH(Y$1, Raw!$A$4:$A$28, 0), MATCH($C24, Raw!$B$1:$AN$1, 0))</f>
        <v>11800</v>
      </c>
      <c r="Z24" s="13">
        <f>INDEX(Raw!$B$4:$AN$28, MATCH(Z$1, Raw!$A$4:$A$28, 0), MATCH($C24, Raw!$B$1:$AN$1, 0))</f>
        <v>24406</v>
      </c>
    </row>
    <row r="25" spans="1:26" x14ac:dyDescent="0.25">
      <c r="A25" s="13" t="s">
        <v>27</v>
      </c>
      <c r="B25" s="14">
        <f t="shared" ca="1" si="0"/>
        <v>46088</v>
      </c>
      <c r="C25" s="13">
        <v>2001</v>
      </c>
      <c r="D25" s="13">
        <f>INDEX(Raw!$B$4:$AN$28, MATCH(D$1, Raw!$A$4:$A$28, 0), MATCH($C25, Raw!$B$1:$AN$1, 0))</f>
        <v>1934</v>
      </c>
      <c r="E25" s="13">
        <f>INDEX(Raw!$B$4:$AN$28, MATCH(E$1, Raw!$A$4:$A$28, 0), MATCH($C25, Raw!$B$1:$AN$1, 0))</f>
        <v>1882</v>
      </c>
      <c r="F25" s="13">
        <f>INDEX(Raw!$B$4:$AN$28, MATCH(F$1, Raw!$A$4:$A$28, 0), MATCH($C25, Raw!$B$1:$AN$1, 0))</f>
        <v>1055</v>
      </c>
      <c r="G25" s="13">
        <f>INDEX(Raw!$B$4:$AN$28, MATCH(G$1, Raw!$A$4:$A$28, 0), MATCH($C25, Raw!$B$1:$AN$1, 0))</f>
        <v>2300</v>
      </c>
      <c r="H25" s="13">
        <f>INDEX(Raw!$B$4:$AN$28, MATCH(H$1, Raw!$A$4:$A$28, 0), MATCH($C25, Raw!$B$1:$AN$1, 0))</f>
        <v>0</v>
      </c>
      <c r="I25" s="13">
        <f>INDEX(Raw!$B$4:$AN$28, MATCH(I$1, Raw!$A$4:$A$28, 0), MATCH($C25, Raw!$B$1:$AN$1, 0))</f>
        <v>7171</v>
      </c>
      <c r="J25" s="13">
        <f>INDEX(Raw!$B$4:$AN$28, MATCH(J$1, Raw!$A$4:$A$28, 0), MATCH($C25, Raw!$B$1:$AN$1, 0))</f>
        <v>4453</v>
      </c>
      <c r="K25" s="13">
        <f>INDEX(Raw!$B$4:$AN$28, MATCH(K$1, Raw!$A$4:$A$28, 0), MATCH($C25, Raw!$B$1:$AN$1, 0))</f>
        <v>5422</v>
      </c>
      <c r="L25" s="13">
        <f>INDEX(Raw!$B$4:$AN$28, MATCH(L$1, Raw!$A$4:$A$28, 0), MATCH($C25, Raw!$B$1:$AN$1, 0))</f>
        <v>2579</v>
      </c>
      <c r="M25" s="13">
        <f>INDEX(Raw!$B$4:$AN$28, MATCH(M$1, Raw!$A$4:$A$28, 0), MATCH($C25, Raw!$B$1:$AN$1, 0))</f>
        <v>2792</v>
      </c>
      <c r="N25" s="13">
        <f>INDEX(Raw!$B$4:$AN$28, MATCH(N$1, Raw!$A$4:$A$28, 0), MATCH($C25, Raw!$B$1:$AN$1, 0))</f>
        <v>15246</v>
      </c>
      <c r="O25" s="13">
        <f>INDEX(Raw!$B$4:$AN$28, MATCH(O$1, Raw!$A$4:$A$28, 0), MATCH($C25, Raw!$B$1:$AN$1, 0))</f>
        <v>22417</v>
      </c>
      <c r="P25" s="13">
        <f>INDEX(Raw!$B$4:$AN$28, MATCH(P$1, Raw!$A$4:$A$28, 0), MATCH($C25, Raw!$B$1:$AN$1, 0))</f>
        <v>8429</v>
      </c>
      <c r="Q25" s="13">
        <f>INDEX(Raw!$B$4:$AN$28, MATCH(Q$1, Raw!$A$4:$A$28, 0), MATCH($C25, Raw!$B$1:$AN$1, 0))</f>
        <v>1219</v>
      </c>
      <c r="R25" s="13">
        <f>INDEX(Raw!$B$4:$AN$28, MATCH(R$1, Raw!$A$4:$A$28, 0), MATCH($C25, Raw!$B$1:$AN$1, 0))</f>
        <v>961</v>
      </c>
      <c r="S25" s="13">
        <f>INDEX(Raw!$B$4:$AN$28, MATCH(S$1, Raw!$A$4:$A$28, 0), MATCH($C25, Raw!$B$1:$AN$1, 0))</f>
        <v>2622</v>
      </c>
      <c r="T25" s="13">
        <f>INDEX(Raw!$B$4:$AN$28, MATCH(T$1, Raw!$A$4:$A$28, 0), MATCH($C25, Raw!$B$1:$AN$1, 0))</f>
        <v>11051</v>
      </c>
      <c r="U25" s="13">
        <f>INDEX(Raw!$B$4:$AN$28, MATCH(U$1, Raw!$A$4:$A$28, 0), MATCH($C25, Raw!$B$1:$AN$1, 0))</f>
        <v>873</v>
      </c>
      <c r="V25" s="13">
        <f>INDEX(Raw!$B$4:$AN$28, MATCH(V$1, Raw!$A$4:$A$28, 0), MATCH($C25, Raw!$B$1:$AN$1, 0))</f>
        <v>23443</v>
      </c>
      <c r="W25" s="13">
        <f>INDEX(Raw!$B$4:$AN$28, MATCH(W$1, Raw!$A$4:$A$28, 0), MATCH($C25, Raw!$B$1:$AN$1, 0))</f>
        <v>-2788</v>
      </c>
      <c r="X25" s="13">
        <f>INDEX(Raw!$B$4:$AN$28, MATCH(X$1, Raw!$A$4:$A$28, 0), MATCH($C25, Raw!$B$1:$AN$1, 0))</f>
        <v>0</v>
      </c>
      <c r="Y25" s="13">
        <f>INDEX(Raw!$B$4:$AN$28, MATCH(Y$1, Raw!$A$4:$A$28, 0), MATCH($C25, Raw!$B$1:$AN$1, 0))</f>
        <v>11366</v>
      </c>
      <c r="Z25" s="13">
        <f>INDEX(Raw!$B$4:$AN$28, MATCH(Z$1, Raw!$A$4:$A$28, 0), MATCH($C25, Raw!$B$1:$AN$1, 0))</f>
        <v>22417</v>
      </c>
    </row>
    <row r="26" spans="1:26" x14ac:dyDescent="0.25">
      <c r="A26" s="13" t="s">
        <v>27</v>
      </c>
      <c r="B26" s="14">
        <f t="shared" ca="1" si="0"/>
        <v>46088</v>
      </c>
      <c r="C26" s="13">
        <v>2000</v>
      </c>
      <c r="D26" s="13">
        <f>INDEX(Raw!$B$4:$AN$28, MATCH(D$1, Raw!$A$4:$A$28, 0), MATCH($C26, Raw!$B$1:$AN$1, 0))</f>
        <v>1892</v>
      </c>
      <c r="E26" s="13">
        <f>INDEX(Raw!$B$4:$AN$28, MATCH(E$1, Raw!$A$4:$A$28, 0), MATCH($C26, Raw!$B$1:$AN$1, 0))</f>
        <v>1757</v>
      </c>
      <c r="F26" s="13">
        <f>INDEX(Raw!$B$4:$AN$28, MATCH(F$1, Raw!$A$4:$A$28, 0), MATCH($C26, Raw!$B$1:$AN$1, 0))</f>
        <v>1066</v>
      </c>
      <c r="G26" s="13">
        <f>INDEX(Raw!$B$4:$AN$28, MATCH(G$1, Raw!$A$4:$A$28, 0), MATCH($C26, Raw!$B$1:$AN$1, 0))</f>
        <v>1905</v>
      </c>
      <c r="H26" s="13">
        <f>INDEX(Raw!$B$4:$AN$28, MATCH(H$1, Raw!$A$4:$A$28, 0), MATCH($C26, Raw!$B$1:$AN$1, 0))</f>
        <v>0</v>
      </c>
      <c r="I26" s="13">
        <f>INDEX(Raw!$B$4:$AN$28, MATCH(I$1, Raw!$A$4:$A$28, 0), MATCH($C26, Raw!$B$1:$AN$1, 0))</f>
        <v>6620</v>
      </c>
      <c r="J26" s="13">
        <f>INDEX(Raw!$B$4:$AN$28, MATCH(J$1, Raw!$A$4:$A$28, 0), MATCH($C26, Raw!$B$1:$AN$1, 0))</f>
        <v>4168</v>
      </c>
      <c r="K26" s="13">
        <f>INDEX(Raw!$B$4:$AN$28, MATCH(K$1, Raw!$A$4:$A$28, 0), MATCH($C26, Raw!$B$1:$AN$1, 0))</f>
        <v>8129</v>
      </c>
      <c r="L26" s="13">
        <f>INDEX(Raw!$B$4:$AN$28, MATCH(L$1, Raw!$A$4:$A$28, 0), MATCH($C26, Raw!$B$1:$AN$1, 0))</f>
        <v>1917</v>
      </c>
      <c r="M26" s="13">
        <f>INDEX(Raw!$B$4:$AN$28, MATCH(M$1, Raw!$A$4:$A$28, 0), MATCH($C26, Raw!$B$1:$AN$1, 0))</f>
        <v>0</v>
      </c>
      <c r="N26" s="13">
        <f>INDEX(Raw!$B$4:$AN$28, MATCH(N$1, Raw!$A$4:$A$28, 0), MATCH($C26, Raw!$B$1:$AN$1, 0))</f>
        <v>14214</v>
      </c>
      <c r="O26" s="13">
        <f>INDEX(Raw!$B$4:$AN$28, MATCH(O$1, Raw!$A$4:$A$28, 0), MATCH($C26, Raw!$B$1:$AN$1, 0))</f>
        <v>20834</v>
      </c>
      <c r="P26" s="13">
        <f>INDEX(Raw!$B$4:$AN$28, MATCH(P$1, Raw!$A$4:$A$28, 0), MATCH($C26, Raw!$B$1:$AN$1, 0))</f>
        <v>9321</v>
      </c>
      <c r="Q26" s="13">
        <f>INDEX(Raw!$B$4:$AN$28, MATCH(Q$1, Raw!$A$4:$A$28, 0), MATCH($C26, Raw!$B$1:$AN$1, 0))</f>
        <v>835</v>
      </c>
      <c r="R26" s="13">
        <f>INDEX(Raw!$B$4:$AN$28, MATCH(R$1, Raw!$A$4:$A$28, 0), MATCH($C26, Raw!$B$1:$AN$1, 0))</f>
        <v>1004</v>
      </c>
      <c r="S26" s="13">
        <f>INDEX(Raw!$B$4:$AN$28, MATCH(S$1, Raw!$A$4:$A$28, 0), MATCH($C26, Raw!$B$1:$AN$1, 0))</f>
        <v>2197</v>
      </c>
      <c r="T26" s="13">
        <f>INDEX(Raw!$B$4:$AN$28, MATCH(T$1, Raw!$A$4:$A$28, 0), MATCH($C26, Raw!$B$1:$AN$1, 0))</f>
        <v>11518</v>
      </c>
      <c r="U26" s="13">
        <f>INDEX(Raw!$B$4:$AN$28, MATCH(U$1, Raw!$A$4:$A$28, 0), MATCH($C26, Raw!$B$1:$AN$1, 0))</f>
        <v>870</v>
      </c>
      <c r="V26" s="13">
        <f>INDEX(Raw!$B$4:$AN$28, MATCH(V$1, Raw!$A$4:$A$28, 0), MATCH($C26, Raw!$B$1:$AN$1, 0))</f>
        <v>21265</v>
      </c>
      <c r="W26" s="13">
        <f>INDEX(Raw!$B$4:$AN$28, MATCH(W$1, Raw!$A$4:$A$28, 0), MATCH($C26, Raw!$B$1:$AN$1, 0))</f>
        <v>-2722</v>
      </c>
      <c r="X26" s="13">
        <f>INDEX(Raw!$B$4:$AN$28, MATCH(X$1, Raw!$A$4:$A$28, 0), MATCH($C26, Raw!$B$1:$AN$1, 0))</f>
        <v>0</v>
      </c>
      <c r="Y26" s="13">
        <f>INDEX(Raw!$B$4:$AN$28, MATCH(Y$1, Raw!$A$4:$A$28, 0), MATCH($C26, Raw!$B$1:$AN$1, 0))</f>
        <v>9316</v>
      </c>
      <c r="Z26" s="13">
        <f>INDEX(Raw!$B$4:$AN$28, MATCH(Z$1, Raw!$A$4:$A$28, 0), MATCH($C26, Raw!$B$1:$AN$1, 0))</f>
        <v>20834</v>
      </c>
    </row>
    <row r="27" spans="1:26" x14ac:dyDescent="0.25">
      <c r="A27" s="13" t="s">
        <v>27</v>
      </c>
      <c r="B27" s="14">
        <f t="shared" ca="1" si="0"/>
        <v>46088</v>
      </c>
      <c r="C27" s="13">
        <v>1999</v>
      </c>
      <c r="D27" s="13">
        <f>INDEX(Raw!$B$4:$AN$28, MATCH(D$1, Raw!$A$4:$A$28, 0), MATCH($C27, Raw!$B$1:$AN$1, 0))</f>
        <v>1812</v>
      </c>
      <c r="E27" s="13">
        <f>INDEX(Raw!$B$4:$AN$28, MATCH(E$1, Raw!$A$4:$A$28, 0), MATCH($C27, Raw!$B$1:$AN$1, 0))</f>
        <v>1798</v>
      </c>
      <c r="F27" s="13">
        <f>INDEX(Raw!$B$4:$AN$28, MATCH(F$1, Raw!$A$4:$A$28, 0), MATCH($C27, Raw!$B$1:$AN$1, 0))</f>
        <v>1076</v>
      </c>
      <c r="G27" s="13">
        <f>INDEX(Raw!$B$4:$AN$28, MATCH(G$1, Raw!$A$4:$A$28, 0), MATCH($C27, Raw!$B$1:$AN$1, 0))</f>
        <v>0</v>
      </c>
      <c r="H27" s="13">
        <f>INDEX(Raw!$B$4:$AN$28, MATCH(H$1, Raw!$A$4:$A$28, 0), MATCH($C27, Raw!$B$1:$AN$1, 0))</f>
        <v>1794</v>
      </c>
      <c r="I27" s="13">
        <f>INDEX(Raw!$B$4:$AN$28, MATCH(I$1, Raw!$A$4:$A$28, 0), MATCH($C27, Raw!$B$1:$AN$1, 0))</f>
        <v>6480</v>
      </c>
      <c r="J27" s="13">
        <f>INDEX(Raw!$B$4:$AN$28, MATCH(J$1, Raw!$A$4:$A$28, 0), MATCH($C27, Raw!$B$1:$AN$1, 0))</f>
        <v>4267</v>
      </c>
      <c r="K27" s="13">
        <f>INDEX(Raw!$B$4:$AN$28, MATCH(K$1, Raw!$A$4:$A$28, 0), MATCH($C27, Raw!$B$1:$AN$1, 0))</f>
        <v>8916</v>
      </c>
      <c r="L27" s="13">
        <f>INDEX(Raw!$B$4:$AN$28, MATCH(L$1, Raw!$A$4:$A$28, 0), MATCH($C27, Raw!$B$1:$AN$1, 0))</f>
        <v>1960</v>
      </c>
      <c r="M27" s="13">
        <f>INDEX(Raw!$B$4:$AN$28, MATCH(M$1, Raw!$A$4:$A$28, 0), MATCH($C27, Raw!$B$1:$AN$1, 0))</f>
        <v>0</v>
      </c>
      <c r="N27" s="13">
        <f>INDEX(Raw!$B$4:$AN$28, MATCH(N$1, Raw!$A$4:$A$28, 0), MATCH($C27, Raw!$B$1:$AN$1, 0))</f>
        <v>15143</v>
      </c>
      <c r="O27" s="13">
        <f>INDEX(Raw!$B$4:$AN$28, MATCH(O$1, Raw!$A$4:$A$28, 0), MATCH($C27, Raw!$B$1:$AN$1, 0))</f>
        <v>21623</v>
      </c>
      <c r="P27" s="13">
        <f>INDEX(Raw!$B$4:$AN$28, MATCH(P$1, Raw!$A$4:$A$28, 0), MATCH($C27, Raw!$B$1:$AN$1, 0))</f>
        <v>9856</v>
      </c>
      <c r="Q27" s="13">
        <f>INDEX(Raw!$B$4:$AN$28, MATCH(Q$1, Raw!$A$4:$A$28, 0), MATCH($C27, Raw!$B$1:$AN$1, 0))</f>
        <v>854</v>
      </c>
      <c r="R27" s="13">
        <f>INDEX(Raw!$B$4:$AN$28, MATCH(R$1, Raw!$A$4:$A$28, 0), MATCH($C27, Raw!$B$1:$AN$1, 0))</f>
        <v>902</v>
      </c>
      <c r="S27" s="13">
        <f>INDEX(Raw!$B$4:$AN$28, MATCH(S$1, Raw!$A$4:$A$28, 0), MATCH($C27, Raw!$B$1:$AN$1, 0))</f>
        <v>2254</v>
      </c>
      <c r="T27" s="13">
        <f>INDEX(Raw!$B$4:$AN$28, MATCH(T$1, Raw!$A$4:$A$28, 0), MATCH($C27, Raw!$B$1:$AN$1, 0))</f>
        <v>12110</v>
      </c>
      <c r="U27" s="13">
        <f>INDEX(Raw!$B$4:$AN$28, MATCH(U$1, Raw!$A$4:$A$28, 0), MATCH($C27, Raw!$B$1:$AN$1, 0))</f>
        <v>867</v>
      </c>
      <c r="V27" s="13">
        <f>INDEX(Raw!$B$4:$AN$28, MATCH(V$1, Raw!$A$4:$A$28, 0), MATCH($C27, Raw!$B$1:$AN$1, 0))</f>
        <v>20773</v>
      </c>
      <c r="W27" s="13">
        <f>INDEX(Raw!$B$4:$AN$28, MATCH(W$1, Raw!$A$4:$A$28, 0), MATCH($C27, Raw!$B$1:$AN$1, 0))</f>
        <v>0</v>
      </c>
      <c r="X27" s="13">
        <f>INDEX(Raw!$B$4:$AN$28, MATCH(X$1, Raw!$A$4:$A$28, 0), MATCH($C27, Raw!$B$1:$AN$1, 0))</f>
        <v>-1551</v>
      </c>
      <c r="Y27" s="13">
        <f>INDEX(Raw!$B$4:$AN$28, MATCH(Y$1, Raw!$A$4:$A$28, 0), MATCH($C27, Raw!$B$1:$AN$1, 0))</f>
        <v>9513</v>
      </c>
      <c r="Z27" s="13">
        <f>INDEX(Raw!$B$4:$AN$28, MATCH(Z$1, Raw!$A$4:$A$28, 0), MATCH($C27, Raw!$B$1:$AN$1, 0))</f>
        <v>21623</v>
      </c>
    </row>
    <row r="28" spans="1:26" x14ac:dyDescent="0.25">
      <c r="A28" s="13" t="s">
        <v>27</v>
      </c>
      <c r="B28" s="14">
        <f t="shared" ca="1" si="0"/>
        <v>46088</v>
      </c>
      <c r="C28" s="13">
        <v>1998</v>
      </c>
      <c r="D28" s="13">
        <f>INDEX(Raw!$B$4:$AN$28, MATCH(D$1, Raw!$A$4:$A$28, 0), MATCH($C28, Raw!$B$1:$AN$1, 0))</f>
        <v>1807</v>
      </c>
      <c r="E28" s="13">
        <f>INDEX(Raw!$B$4:$AN$28, MATCH(E$1, Raw!$A$4:$A$28, 0), MATCH($C28, Raw!$B$1:$AN$1, 0))</f>
        <v>1666</v>
      </c>
      <c r="F28" s="13">
        <f>INDEX(Raw!$B$4:$AN$28, MATCH(F$1, Raw!$A$4:$A$28, 0), MATCH($C28, Raw!$B$1:$AN$1, 0))</f>
        <v>890</v>
      </c>
      <c r="G28" s="13">
        <f>INDEX(Raw!$B$4:$AN$28, MATCH(G$1, Raw!$A$4:$A$28, 0), MATCH($C28, Raw!$B$1:$AN$1, 0))</f>
        <v>0</v>
      </c>
      <c r="H28" s="13">
        <f>INDEX(Raw!$B$4:$AN$28, MATCH(H$1, Raw!$A$4:$A$28, 0), MATCH($C28, Raw!$B$1:$AN$1, 0))</f>
        <v>2017</v>
      </c>
      <c r="I28" s="13">
        <f>INDEX(Raw!$B$4:$AN$28, MATCH(I$1, Raw!$A$4:$A$28, 0), MATCH($C28, Raw!$B$1:$AN$1, 0))</f>
        <v>6380</v>
      </c>
      <c r="J28" s="13">
        <f>INDEX(Raw!$B$4:$AN$28, MATCH(J$1, Raw!$A$4:$A$28, 0), MATCH($C28, Raw!$B$1:$AN$1, 0))</f>
        <v>3669</v>
      </c>
      <c r="K28" s="13">
        <f>INDEX(Raw!$B$4:$AN$28, MATCH(K$1, Raw!$A$4:$A$28, 0), MATCH($C28, Raw!$B$1:$AN$1, 0))</f>
        <v>8549</v>
      </c>
      <c r="L28" s="13">
        <f>INDEX(Raw!$B$4:$AN$28, MATCH(L$1, Raw!$A$4:$A$28, 0), MATCH($C28, Raw!$B$1:$AN$1, 0))</f>
        <v>547</v>
      </c>
      <c r="M28" s="13">
        <f>INDEX(Raw!$B$4:$AN$28, MATCH(M$1, Raw!$A$4:$A$28, 0), MATCH($C28, Raw!$B$1:$AN$1, 0))</f>
        <v>0</v>
      </c>
      <c r="N28" s="13">
        <f>INDEX(Raw!$B$4:$AN$28, MATCH(N$1, Raw!$A$4:$A$28, 0), MATCH($C28, Raw!$B$1:$AN$1, 0))</f>
        <v>12765</v>
      </c>
      <c r="O28" s="13">
        <f>INDEX(Raw!$B$4:$AN$28, MATCH(O$1, Raw!$A$4:$A$28, 0), MATCH($C28, Raw!$B$1:$AN$1, 0))</f>
        <v>19145</v>
      </c>
      <c r="P28" s="13">
        <f>INDEX(Raw!$B$4:$AN$28, MATCH(P$1, Raw!$A$4:$A$28, 0), MATCH($C28, Raw!$B$1:$AN$1, 0))</f>
        <v>8640</v>
      </c>
      <c r="Q28" s="13">
        <f>INDEX(Raw!$B$4:$AN$28, MATCH(Q$1, Raw!$A$4:$A$28, 0), MATCH($C28, Raw!$B$1:$AN$1, 0))</f>
        <v>687</v>
      </c>
      <c r="R28" s="13">
        <f>INDEX(Raw!$B$4:$AN$28, MATCH(R$1, Raw!$A$4:$A$28, 0), MATCH($C28, Raw!$B$1:$AN$1, 0))</f>
        <v>991</v>
      </c>
      <c r="S28" s="13">
        <f>INDEX(Raw!$B$4:$AN$28, MATCH(S$1, Raw!$A$4:$A$28, 0), MATCH($C28, Raw!$B$1:$AN$1, 0))</f>
        <v>2102</v>
      </c>
      <c r="T28" s="13">
        <f>INDEX(Raw!$B$4:$AN$28, MATCH(T$1, Raw!$A$4:$A$28, 0), MATCH($C28, Raw!$B$1:$AN$1, 0))</f>
        <v>10742</v>
      </c>
      <c r="U28" s="13">
        <f>INDEX(Raw!$B$4:$AN$28, MATCH(U$1, Raw!$A$4:$A$28, 0), MATCH($C28, Raw!$B$1:$AN$1, 0))</f>
        <v>865</v>
      </c>
      <c r="V28" s="13">
        <f>INDEX(Raw!$B$4:$AN$28, MATCH(V$1, Raw!$A$4:$A$28, 0), MATCH($C28, Raw!$B$1:$AN$1, 0))</f>
        <v>19922</v>
      </c>
      <c r="W28" s="13">
        <f>INDEX(Raw!$B$4:$AN$28, MATCH(W$1, Raw!$A$4:$A$28, 0), MATCH($C28, Raw!$B$1:$AN$1, 0))</f>
        <v>0</v>
      </c>
      <c r="X28" s="13">
        <f>INDEX(Raw!$B$4:$AN$28, MATCH(X$1, Raw!$A$4:$A$28, 0), MATCH($C28, Raw!$B$1:$AN$1, 0))</f>
        <v>-1434</v>
      </c>
      <c r="Y28" s="13">
        <f>INDEX(Raw!$B$4:$AN$28, MATCH(Y$1, Raw!$A$4:$A$28, 0), MATCH($C28, Raw!$B$1:$AN$1, 0))</f>
        <v>8403</v>
      </c>
      <c r="Z28" s="13">
        <f>INDEX(Raw!$B$4:$AN$28, MATCH(Z$1, Raw!$A$4:$A$28, 0), MATCH($C28, Raw!$B$1:$AN$1, 0))</f>
        <v>19145</v>
      </c>
    </row>
    <row r="29" spans="1:26" x14ac:dyDescent="0.25">
      <c r="A29" s="13" t="s">
        <v>27</v>
      </c>
      <c r="B29" s="14">
        <f t="shared" ca="1" si="0"/>
        <v>46088</v>
      </c>
      <c r="C29" s="13">
        <v>1997</v>
      </c>
      <c r="D29" s="13">
        <f>INDEX(Raw!$B$4:$AN$28, MATCH(D$1, Raw!$A$4:$A$28, 0), MATCH($C29, Raw!$B$1:$AN$1, 0))</f>
        <v>1843</v>
      </c>
      <c r="E29" s="13">
        <f>INDEX(Raw!$B$4:$AN$28, MATCH(E$1, Raw!$A$4:$A$28, 0), MATCH($C29, Raw!$B$1:$AN$1, 0))</f>
        <v>1639</v>
      </c>
      <c r="F29" s="13">
        <f>INDEX(Raw!$B$4:$AN$28, MATCH(F$1, Raw!$A$4:$A$28, 0), MATCH($C29, Raw!$B$1:$AN$1, 0))</f>
        <v>959</v>
      </c>
      <c r="G29" s="13">
        <f>INDEX(Raw!$B$4:$AN$28, MATCH(G$1, Raw!$A$4:$A$28, 0), MATCH($C29, Raw!$B$1:$AN$1, 0))</f>
        <v>0</v>
      </c>
      <c r="H29" s="13">
        <f>INDEX(Raw!$B$4:$AN$28, MATCH(H$1, Raw!$A$4:$A$28, 0), MATCH($C29, Raw!$B$1:$AN$1, 0))</f>
        <v>1528</v>
      </c>
      <c r="I29" s="13">
        <f>INDEX(Raw!$B$4:$AN$28, MATCH(I$1, Raw!$A$4:$A$28, 0), MATCH($C29, Raw!$B$1:$AN$1, 0))</f>
        <v>5969</v>
      </c>
      <c r="J29" s="13">
        <f>INDEX(Raw!$B$4:$AN$28, MATCH(J$1, Raw!$A$4:$A$28, 0), MATCH($C29, Raw!$B$1:$AN$1, 0))</f>
        <v>3743</v>
      </c>
      <c r="K29" s="13">
        <f>INDEX(Raw!$B$4:$AN$28, MATCH(K$1, Raw!$A$4:$A$28, 0), MATCH($C29, Raw!$B$1:$AN$1, 0))</f>
        <v>6044</v>
      </c>
      <c r="L29" s="13">
        <f>INDEX(Raw!$B$4:$AN$28, MATCH(L$1, Raw!$A$4:$A$28, 0), MATCH($C29, Raw!$B$1:$AN$1, 0))</f>
        <v>727</v>
      </c>
      <c r="M29" s="13">
        <f>INDEX(Raw!$B$4:$AN$28, MATCH(M$1, Raw!$A$4:$A$28, 0), MATCH($C29, Raw!$B$1:$AN$1, 0))</f>
        <v>457</v>
      </c>
      <c r="N29" s="13">
        <f>INDEX(Raw!$B$4:$AN$28, MATCH(N$1, Raw!$A$4:$A$28, 0), MATCH($C29, Raw!$B$1:$AN$1, 0))</f>
        <v>10971</v>
      </c>
      <c r="O29" s="13">
        <f>INDEX(Raw!$B$4:$AN$28, MATCH(O$1, Raw!$A$4:$A$28, 0), MATCH($C29, Raw!$B$1:$AN$1, 0))</f>
        <v>16940</v>
      </c>
      <c r="P29" s="13">
        <f>INDEX(Raw!$B$4:$AN$28, MATCH(P$1, Raw!$A$4:$A$28, 0), MATCH($C29, Raw!$B$1:$AN$1, 0))</f>
        <v>7379</v>
      </c>
      <c r="Q29" s="13">
        <f>INDEX(Raw!$B$4:$AN$28, MATCH(Q$1, Raw!$A$4:$A$28, 0), MATCH($C29, Raw!$B$1:$AN$1, 0))</f>
        <v>801</v>
      </c>
      <c r="R29" s="13">
        <f>INDEX(Raw!$B$4:$AN$28, MATCH(R$1, Raw!$A$4:$A$28, 0), MATCH($C29, Raw!$B$1:$AN$1, 0))</f>
        <v>1001</v>
      </c>
      <c r="S29" s="13">
        <f>INDEX(Raw!$B$4:$AN$28, MATCH(S$1, Raw!$A$4:$A$28, 0), MATCH($C29, Raw!$B$1:$AN$1, 0))</f>
        <v>2250</v>
      </c>
      <c r="T29" s="13">
        <f>INDEX(Raw!$B$4:$AN$28, MATCH(T$1, Raw!$A$4:$A$28, 0), MATCH($C29, Raw!$B$1:$AN$1, 0))</f>
        <v>9629</v>
      </c>
      <c r="U29" s="13">
        <f>INDEX(Raw!$B$4:$AN$28, MATCH(U$1, Raw!$A$4:$A$28, 0), MATCH($C29, Raw!$B$1:$AN$1, 0))</f>
        <v>861</v>
      </c>
      <c r="V29" s="13">
        <f>INDEX(Raw!$B$4:$AN$28, MATCH(V$1, Raw!$A$4:$A$28, 0), MATCH($C29, Raw!$B$1:$AN$1, 0))</f>
        <v>17869</v>
      </c>
      <c r="W29" s="13">
        <f>INDEX(Raw!$B$4:$AN$28, MATCH(W$1, Raw!$A$4:$A$28, 0), MATCH($C29, Raw!$B$1:$AN$1, 0))</f>
        <v>0</v>
      </c>
      <c r="X29" s="13">
        <f>INDEX(Raw!$B$4:$AN$28, MATCH(X$1, Raw!$A$4:$A$28, 0), MATCH($C29, Raw!$B$1:$AN$1, 0))</f>
        <v>-1364</v>
      </c>
      <c r="Y29" s="13">
        <f>INDEX(Raw!$B$4:$AN$28, MATCH(Y$1, Raw!$A$4:$A$28, 0), MATCH($C29, Raw!$B$1:$AN$1, 0))</f>
        <v>7311</v>
      </c>
      <c r="Z29" s="13">
        <f>INDEX(Raw!$B$4:$AN$28, MATCH(Z$1, Raw!$A$4:$A$28, 0), MATCH($C29, Raw!$B$1:$AN$1, 0))</f>
        <v>16940</v>
      </c>
    </row>
    <row r="30" spans="1:26" x14ac:dyDescent="0.25">
      <c r="A30" s="13" t="s">
        <v>27</v>
      </c>
      <c r="B30" s="14">
        <f t="shared" ca="1" si="0"/>
        <v>46088</v>
      </c>
      <c r="C30" s="13">
        <v>1996</v>
      </c>
      <c r="D30" s="13">
        <f>INDEX(Raw!$B$4:$AN$28, MATCH(D$1, Raw!$A$4:$A$28, 0), MATCH($C30, Raw!$B$1:$AN$1, 0))</f>
        <v>1658</v>
      </c>
      <c r="E30" s="13">
        <f>INDEX(Raw!$B$4:$AN$28, MATCH(E$1, Raw!$A$4:$A$28, 0), MATCH($C30, Raw!$B$1:$AN$1, 0))</f>
        <v>1641</v>
      </c>
      <c r="F30" s="13">
        <f>INDEX(Raw!$B$4:$AN$28, MATCH(F$1, Raw!$A$4:$A$28, 0), MATCH($C30, Raw!$B$1:$AN$1, 0))</f>
        <v>952</v>
      </c>
      <c r="G30" s="13">
        <f>INDEX(Raw!$B$4:$AN$28, MATCH(G$1, Raw!$A$4:$A$28, 0), MATCH($C30, Raw!$B$1:$AN$1, 0))</f>
        <v>0</v>
      </c>
      <c r="H30" s="13">
        <f>INDEX(Raw!$B$4:$AN$28, MATCH(H$1, Raw!$A$4:$A$28, 0), MATCH($C30, Raw!$B$1:$AN$1, 0))</f>
        <v>1659</v>
      </c>
      <c r="I30" s="13">
        <f>INDEX(Raw!$B$4:$AN$28, MATCH(I$1, Raw!$A$4:$A$28, 0), MATCH($C30, Raw!$B$1:$AN$1, 0))</f>
        <v>5910</v>
      </c>
      <c r="J30" s="13">
        <f>INDEX(Raw!$B$4:$AN$28, MATCH(J$1, Raw!$A$4:$A$28, 0), MATCH($C30, Raw!$B$1:$AN$1, 0))</f>
        <v>3550</v>
      </c>
      <c r="K30" s="13">
        <f>INDEX(Raw!$B$4:$AN$28, MATCH(K$1, Raw!$A$4:$A$28, 0), MATCH($C30, Raw!$B$1:$AN$1, 0))</f>
        <v>5211</v>
      </c>
      <c r="L30" s="13">
        <f>INDEX(Raw!$B$4:$AN$28, MATCH(L$1, Raw!$A$4:$A$28, 0), MATCH($C30, Raw!$B$1:$AN$1, 0))</f>
        <v>753</v>
      </c>
      <c r="M30" s="13">
        <f>INDEX(Raw!$B$4:$AN$28, MATCH(M$1, Raw!$A$4:$A$28, 0), MATCH($C30, Raw!$B$1:$AN$1, 0))</f>
        <v>737</v>
      </c>
      <c r="N30" s="13">
        <f>INDEX(Raw!$B$4:$AN$28, MATCH(N$1, Raw!$A$4:$A$28, 0), MATCH($C30, Raw!$B$1:$AN$1, 0))</f>
        <v>10251</v>
      </c>
      <c r="O30" s="13">
        <f>INDEX(Raw!$B$4:$AN$28, MATCH(O$1, Raw!$A$4:$A$28, 0), MATCH($C30, Raw!$B$1:$AN$1, 0))</f>
        <v>16161</v>
      </c>
      <c r="P30" s="13">
        <f>INDEX(Raw!$B$4:$AN$28, MATCH(P$1, Raw!$A$4:$A$28, 0), MATCH($C30, Raw!$B$1:$AN$1, 0))</f>
        <v>7406</v>
      </c>
      <c r="Q30" s="13">
        <f>INDEX(Raw!$B$4:$AN$28, MATCH(Q$1, Raw!$A$4:$A$28, 0), MATCH($C30, Raw!$B$1:$AN$1, 0))</f>
        <v>1116</v>
      </c>
      <c r="R30" s="13">
        <f>INDEX(Raw!$B$4:$AN$28, MATCH(R$1, Raw!$A$4:$A$28, 0), MATCH($C30, Raw!$B$1:$AN$1, 0))</f>
        <v>1182</v>
      </c>
      <c r="S30" s="13">
        <f>INDEX(Raw!$B$4:$AN$28, MATCH(S$1, Raw!$A$4:$A$28, 0), MATCH($C30, Raw!$B$1:$AN$1, 0))</f>
        <v>2599</v>
      </c>
      <c r="T30" s="13">
        <f>INDEX(Raw!$B$4:$AN$28, MATCH(T$1, Raw!$A$4:$A$28, 0), MATCH($C30, Raw!$B$1:$AN$1, 0))</f>
        <v>10005</v>
      </c>
      <c r="U30" s="13">
        <f>INDEX(Raw!$B$4:$AN$28, MATCH(U$1, Raw!$A$4:$A$28, 0), MATCH($C30, Raw!$B$1:$AN$1, 0))</f>
        <v>858</v>
      </c>
      <c r="V30" s="13">
        <f>INDEX(Raw!$B$4:$AN$28, MATCH(V$1, Raw!$A$4:$A$28, 0), MATCH($C30, Raw!$B$1:$AN$1, 0))</f>
        <v>15127</v>
      </c>
      <c r="W30" s="13">
        <f>INDEX(Raw!$B$4:$AN$28, MATCH(W$1, Raw!$A$4:$A$28, 0), MATCH($C30, Raw!$B$1:$AN$1, 0))</f>
        <v>0</v>
      </c>
      <c r="X30" s="13">
        <f>INDEX(Raw!$B$4:$AN$28, MATCH(X$1, Raw!$A$4:$A$28, 0), MATCH($C30, Raw!$B$1:$AN$1, 0))</f>
        <v>-567</v>
      </c>
      <c r="Y30" s="13">
        <f>INDEX(Raw!$B$4:$AN$28, MATCH(Y$1, Raw!$A$4:$A$28, 0), MATCH($C30, Raw!$B$1:$AN$1, 0))</f>
        <v>6156</v>
      </c>
      <c r="Z30" s="13">
        <f>INDEX(Raw!$B$4:$AN$28, MATCH(Z$1, Raw!$A$4:$A$28, 0), MATCH($C30, Raw!$B$1:$AN$1, 0))</f>
        <v>16161</v>
      </c>
    </row>
    <row r="31" spans="1:26" x14ac:dyDescent="0.25">
      <c r="A31" s="13" t="s">
        <v>27</v>
      </c>
      <c r="B31" s="14">
        <f t="shared" ca="1" si="0"/>
        <v>46088</v>
      </c>
      <c r="C31" s="13">
        <v>1995</v>
      </c>
      <c r="D31" s="13">
        <f>INDEX(Raw!$B$4:$AN$28, MATCH(D$1, Raw!$A$4:$A$28, 0), MATCH($C31, Raw!$B$1:$AN$1, 0))</f>
        <v>1315</v>
      </c>
      <c r="E31" s="13">
        <f>INDEX(Raw!$B$4:$AN$28, MATCH(E$1, Raw!$A$4:$A$28, 0), MATCH($C31, Raw!$B$1:$AN$1, 0))</f>
        <v>1695</v>
      </c>
      <c r="F31" s="13">
        <f>INDEX(Raw!$B$4:$AN$28, MATCH(F$1, Raw!$A$4:$A$28, 0), MATCH($C31, Raw!$B$1:$AN$1, 0))</f>
        <v>1117</v>
      </c>
      <c r="G31" s="13">
        <f>INDEX(Raw!$B$4:$AN$28, MATCH(G$1, Raw!$A$4:$A$28, 0), MATCH($C31, Raw!$B$1:$AN$1, 0))</f>
        <v>0</v>
      </c>
      <c r="H31" s="13">
        <f>INDEX(Raw!$B$4:$AN$28, MATCH(H$1, Raw!$A$4:$A$28, 0), MATCH($C31, Raw!$B$1:$AN$1, 0))</f>
        <v>1323</v>
      </c>
      <c r="I31" s="13">
        <f>INDEX(Raw!$B$4:$AN$28, MATCH(I$1, Raw!$A$4:$A$28, 0), MATCH($C31, Raw!$B$1:$AN$1, 0))</f>
        <v>5450</v>
      </c>
      <c r="J31" s="13">
        <f>INDEX(Raw!$B$4:$AN$28, MATCH(J$1, Raw!$A$4:$A$28, 0), MATCH($C31, Raw!$B$1:$AN$1, 0))</f>
        <v>4336</v>
      </c>
      <c r="K31" s="13">
        <f>INDEX(Raw!$B$4:$AN$28, MATCH(K$1, Raw!$A$4:$A$28, 0), MATCH($C31, Raw!$B$1:$AN$1, 0))</f>
        <v>3960</v>
      </c>
      <c r="L31" s="13">
        <f>INDEX(Raw!$B$4:$AN$28, MATCH(L$1, Raw!$A$4:$A$28, 0), MATCH($C31, Raw!$B$1:$AN$1, 0))</f>
        <v>944</v>
      </c>
      <c r="M31" s="13">
        <f>INDEX(Raw!$B$4:$AN$28, MATCH(M$1, Raw!$A$4:$A$28, 0), MATCH($C31, Raw!$B$1:$AN$1, 0))</f>
        <v>351</v>
      </c>
      <c r="N31" s="13">
        <f>INDEX(Raw!$B$4:$AN$28, MATCH(N$1, Raw!$A$4:$A$28, 0), MATCH($C31, Raw!$B$1:$AN$1, 0))</f>
        <v>9591</v>
      </c>
      <c r="O31" s="13">
        <f>INDEX(Raw!$B$4:$AN$28, MATCH(O$1, Raw!$A$4:$A$28, 0), MATCH($C31, Raw!$B$1:$AN$1, 0))</f>
        <v>15041</v>
      </c>
      <c r="P31" s="13">
        <f>INDEX(Raw!$B$4:$AN$28, MATCH(P$1, Raw!$A$4:$A$28, 0), MATCH($C31, Raw!$B$1:$AN$1, 0))</f>
        <v>7348</v>
      </c>
      <c r="Q31" s="13">
        <f>INDEX(Raw!$B$4:$AN$28, MATCH(Q$1, Raw!$A$4:$A$28, 0), MATCH($C31, Raw!$B$1:$AN$1, 0))</f>
        <v>1141</v>
      </c>
      <c r="R31" s="13">
        <f>INDEX(Raw!$B$4:$AN$28, MATCH(R$1, Raw!$A$4:$A$28, 0), MATCH($C31, Raw!$B$1:$AN$1, 0))</f>
        <v>966</v>
      </c>
      <c r="S31" s="13">
        <f>INDEX(Raw!$B$4:$AN$28, MATCH(S$1, Raw!$A$4:$A$28, 0), MATCH($C31, Raw!$B$1:$AN$1, 0))</f>
        <v>2301</v>
      </c>
      <c r="T31" s="13">
        <f>INDEX(Raw!$B$4:$AN$28, MATCH(T$1, Raw!$A$4:$A$28, 0), MATCH($C31, Raw!$B$1:$AN$1, 0))</f>
        <v>9649</v>
      </c>
      <c r="U31" s="13">
        <f>INDEX(Raw!$B$4:$AN$28, MATCH(U$1, Raw!$A$4:$A$28, 0), MATCH($C31, Raw!$B$1:$AN$1, 0))</f>
        <v>428</v>
      </c>
      <c r="V31" s="13">
        <f>INDEX(Raw!$B$4:$AN$28, MATCH(V$1, Raw!$A$4:$A$28, 0), MATCH($C31, Raw!$B$1:$AN$1, 0))</f>
        <v>12882</v>
      </c>
      <c r="W31" s="13">
        <f>INDEX(Raw!$B$4:$AN$28, MATCH(W$1, Raw!$A$4:$A$28, 0), MATCH($C31, Raw!$B$1:$AN$1, 0))</f>
        <v>0</v>
      </c>
      <c r="X31" s="13">
        <f>INDEX(Raw!$B$4:$AN$28, MATCH(X$1, Raw!$A$4:$A$28, 0), MATCH($C31, Raw!$B$1:$AN$1, 0))</f>
        <v>-410</v>
      </c>
      <c r="Y31" s="13">
        <f>INDEX(Raw!$B$4:$AN$28, MATCH(Y$1, Raw!$A$4:$A$28, 0), MATCH($C31, Raw!$B$1:$AN$1, 0))</f>
        <v>5392</v>
      </c>
      <c r="Z31" s="13">
        <f>INDEX(Raw!$B$4:$AN$28, MATCH(Z$1, Raw!$A$4:$A$28, 0), MATCH($C31, Raw!$B$1:$AN$1, 0))</f>
        <v>15041</v>
      </c>
    </row>
    <row r="32" spans="1:26" x14ac:dyDescent="0.25">
      <c r="A32" s="13" t="s">
        <v>27</v>
      </c>
      <c r="B32" s="14">
        <f t="shared" ca="1" si="0"/>
        <v>46088</v>
      </c>
      <c r="C32" s="13">
        <v>1994</v>
      </c>
      <c r="D32" s="13">
        <f>INDEX(Raw!$B$4:$AN$28, MATCH(D$1, Raw!$A$4:$A$28, 0), MATCH($C32, Raw!$B$1:$AN$1, 0))</f>
        <v>1531</v>
      </c>
      <c r="E32" s="13">
        <f>INDEX(Raw!$B$4:$AN$28, MATCH(E$1, Raw!$A$4:$A$28, 0), MATCH($C32, Raw!$B$1:$AN$1, 0))</f>
        <v>1470</v>
      </c>
      <c r="F32" s="13">
        <f>INDEX(Raw!$B$4:$AN$28, MATCH(F$1, Raw!$A$4:$A$28, 0), MATCH($C32, Raw!$B$1:$AN$1, 0))</f>
        <v>1047</v>
      </c>
      <c r="G32" s="13">
        <f>INDEX(Raw!$B$4:$AN$28, MATCH(G$1, Raw!$A$4:$A$28, 0), MATCH($C32, Raw!$B$1:$AN$1, 0))</f>
        <v>0</v>
      </c>
      <c r="H32" s="13">
        <f>INDEX(Raw!$B$4:$AN$28, MATCH(H$1, Raw!$A$4:$A$28, 0), MATCH($C32, Raw!$B$1:$AN$1, 0))</f>
        <v>1157</v>
      </c>
      <c r="I32" s="13">
        <f>INDEX(Raw!$B$4:$AN$28, MATCH(I$1, Raw!$A$4:$A$28, 0), MATCH($C32, Raw!$B$1:$AN$1, 0))</f>
        <v>5205</v>
      </c>
      <c r="J32" s="13">
        <f>INDEX(Raw!$B$4:$AN$28, MATCH(J$1, Raw!$A$4:$A$28, 0), MATCH($C32, Raw!$B$1:$AN$1, 0))</f>
        <v>4080</v>
      </c>
      <c r="K32" s="13">
        <f>INDEX(Raw!$B$4:$AN$28, MATCH(K$1, Raw!$A$4:$A$28, 0), MATCH($C32, Raw!$B$1:$AN$1, 0))</f>
        <v>3673</v>
      </c>
      <c r="L32" s="13">
        <f>INDEX(Raw!$B$4:$AN$28, MATCH(L$1, Raw!$A$4:$A$28, 0), MATCH($C32, Raw!$B$1:$AN$1, 0))</f>
        <v>660</v>
      </c>
      <c r="M32" s="13">
        <f>INDEX(Raw!$B$4:$AN$28, MATCH(M$1, Raw!$A$4:$A$28, 0), MATCH($C32, Raw!$B$1:$AN$1, 0))</f>
        <v>255</v>
      </c>
      <c r="N32" s="13">
        <f>INDEX(Raw!$B$4:$AN$28, MATCH(N$1, Raw!$A$4:$A$28, 0), MATCH($C32, Raw!$B$1:$AN$1, 0))</f>
        <v>8668</v>
      </c>
      <c r="O32" s="13">
        <f>INDEX(Raw!$B$4:$AN$28, MATCH(O$1, Raw!$A$4:$A$28, 0), MATCH($C32, Raw!$B$1:$AN$1, 0))</f>
        <v>13873</v>
      </c>
      <c r="P32" s="13">
        <f>INDEX(Raw!$B$4:$AN$28, MATCH(P$1, Raw!$A$4:$A$28, 0), MATCH($C32, Raw!$B$1:$AN$1, 0))</f>
        <v>6177</v>
      </c>
      <c r="Q32" s="13">
        <f>INDEX(Raw!$B$4:$AN$28, MATCH(Q$1, Raw!$A$4:$A$28, 0), MATCH($C32, Raw!$B$1:$AN$1, 0))</f>
        <v>1426</v>
      </c>
      <c r="R32" s="13">
        <f>INDEX(Raw!$B$4:$AN$28, MATCH(R$1, Raw!$A$4:$A$28, 0), MATCH($C32, Raw!$B$1:$AN$1, 0))</f>
        <v>855</v>
      </c>
      <c r="S32" s="13">
        <f>INDEX(Raw!$B$4:$AN$28, MATCH(S$1, Raw!$A$4:$A$28, 0), MATCH($C32, Raw!$B$1:$AN$1, 0))</f>
        <v>2461</v>
      </c>
      <c r="T32" s="13">
        <f>INDEX(Raw!$B$4:$AN$28, MATCH(T$1, Raw!$A$4:$A$28, 0), MATCH($C32, Raw!$B$1:$AN$1, 0))</f>
        <v>8638</v>
      </c>
      <c r="U32" s="13">
        <f>INDEX(Raw!$B$4:$AN$28, MATCH(U$1, Raw!$A$4:$A$28, 0), MATCH($C32, Raw!$B$1:$AN$1, 0))</f>
        <v>427</v>
      </c>
      <c r="V32" s="13">
        <f>INDEX(Raw!$B$4:$AN$28, MATCH(V$1, Raw!$A$4:$A$28, 0), MATCH($C32, Raw!$B$1:$AN$1, 0))</f>
        <v>11006</v>
      </c>
      <c r="W32" s="13">
        <f>INDEX(Raw!$B$4:$AN$28, MATCH(W$1, Raw!$A$4:$A$28, 0), MATCH($C32, Raw!$B$1:$AN$1, 0))</f>
        <v>0</v>
      </c>
      <c r="X32" s="13">
        <f>INDEX(Raw!$B$4:$AN$28, MATCH(X$1, Raw!$A$4:$A$28, 0), MATCH($C32, Raw!$B$1:$AN$1, 0))</f>
        <v>-298</v>
      </c>
      <c r="Y32" s="13">
        <f>INDEX(Raw!$B$4:$AN$28, MATCH(Y$1, Raw!$A$4:$A$28, 0), MATCH($C32, Raw!$B$1:$AN$1, 0))</f>
        <v>5235</v>
      </c>
      <c r="Z32" s="13">
        <f>INDEX(Raw!$B$4:$AN$28, MATCH(Z$1, Raw!$A$4:$A$28, 0), MATCH($C32, Raw!$B$1:$AN$1, 0))</f>
        <v>13873</v>
      </c>
    </row>
    <row r="33" spans="1:26" x14ac:dyDescent="0.25">
      <c r="A33" s="13" t="s">
        <v>27</v>
      </c>
      <c r="B33" s="14">
        <f t="shared" ca="1" si="0"/>
        <v>46088</v>
      </c>
      <c r="C33" s="13">
        <v>1993</v>
      </c>
      <c r="D33" s="13">
        <f>INDEX(Raw!$B$4:$AN$28, MATCH(D$1, Raw!$A$4:$A$28, 0), MATCH($C33, Raw!$B$1:$AN$1, 0))</f>
        <v>1078</v>
      </c>
      <c r="E33" s="13">
        <f>INDEX(Raw!$B$4:$AN$28, MATCH(E$1, Raw!$A$4:$A$28, 0), MATCH($C33, Raw!$B$1:$AN$1, 0))</f>
        <v>1210</v>
      </c>
      <c r="F33" s="13">
        <f>INDEX(Raw!$B$4:$AN$28, MATCH(F$1, Raw!$A$4:$A$28, 0), MATCH($C33, Raw!$B$1:$AN$1, 0))</f>
        <v>1049</v>
      </c>
      <c r="G33" s="13">
        <f>INDEX(Raw!$B$4:$AN$28, MATCH(G$1, Raw!$A$4:$A$28, 0), MATCH($C33, Raw!$B$1:$AN$1, 0))</f>
        <v>0</v>
      </c>
      <c r="H33" s="13">
        <f>INDEX(Raw!$B$4:$AN$28, MATCH(H$1, Raw!$A$4:$A$28, 0), MATCH($C33, Raw!$B$1:$AN$1, 0))</f>
        <v>1097</v>
      </c>
      <c r="I33" s="13">
        <f>INDEX(Raw!$B$4:$AN$28, MATCH(I$1, Raw!$A$4:$A$28, 0), MATCH($C33, Raw!$B$1:$AN$1, 0))</f>
        <v>4434</v>
      </c>
      <c r="J33" s="13">
        <f>INDEX(Raw!$B$4:$AN$28, MATCH(J$1, Raw!$A$4:$A$28, 0), MATCH($C33, Raw!$B$1:$AN$1, 0))</f>
        <v>3729</v>
      </c>
      <c r="K33" s="13">
        <f>INDEX(Raw!$B$4:$AN$28, MATCH(K$1, Raw!$A$4:$A$28, 0), MATCH($C33, Raw!$B$1:$AN$1, 0))</f>
        <v>3083</v>
      </c>
      <c r="L33" s="13">
        <f>INDEX(Raw!$B$4:$AN$28, MATCH(L$1, Raw!$A$4:$A$28, 0), MATCH($C33, Raw!$B$1:$AN$1, 0))</f>
        <v>549</v>
      </c>
      <c r="M33" s="13">
        <f>INDEX(Raw!$B$4:$AN$28, MATCH(M$1, Raw!$A$4:$A$28, 0), MATCH($C33, Raw!$B$1:$AN$1, 0))</f>
        <v>226</v>
      </c>
      <c r="N33" s="13">
        <f>INDEX(Raw!$B$4:$AN$28, MATCH(N$1, Raw!$A$4:$A$28, 0), MATCH($C33, Raw!$B$1:$AN$1, 0))</f>
        <v>7587</v>
      </c>
      <c r="O33" s="13">
        <f>INDEX(Raw!$B$4:$AN$28, MATCH(O$1, Raw!$A$4:$A$28, 0), MATCH($C33, Raw!$B$1:$AN$1, 0))</f>
        <v>12021</v>
      </c>
      <c r="P33" s="13">
        <f>INDEX(Raw!$B$4:$AN$28, MATCH(P$1, Raw!$A$4:$A$28, 0), MATCH($C33, Raw!$B$1:$AN$1, 0))</f>
        <v>5171</v>
      </c>
      <c r="Q33" s="13">
        <f>INDEX(Raw!$B$4:$AN$28, MATCH(Q$1, Raw!$A$4:$A$28, 0), MATCH($C33, Raw!$B$1:$AN$1, 0))</f>
        <v>1428</v>
      </c>
      <c r="R33" s="13">
        <f>INDEX(Raw!$B$4:$AN$28, MATCH(R$1, Raw!$A$4:$A$28, 0), MATCH($C33, Raw!$B$1:$AN$1, 0))</f>
        <v>725</v>
      </c>
      <c r="S33" s="13">
        <f>INDEX(Raw!$B$4:$AN$28, MATCH(S$1, Raw!$A$4:$A$28, 0), MATCH($C33, Raw!$B$1:$AN$1, 0))</f>
        <v>2266</v>
      </c>
      <c r="T33" s="13">
        <f>INDEX(Raw!$B$4:$AN$28, MATCH(T$1, Raw!$A$4:$A$28, 0), MATCH($C33, Raw!$B$1:$AN$1, 0))</f>
        <v>7437</v>
      </c>
      <c r="U33" s="13">
        <f>INDEX(Raw!$B$4:$AN$28, MATCH(U$1, Raw!$A$4:$A$28, 0), MATCH($C33, Raw!$B$1:$AN$1, 0))</f>
        <v>426</v>
      </c>
      <c r="V33" s="13">
        <f>INDEX(Raw!$B$4:$AN$28, MATCH(V$1, Raw!$A$4:$A$28, 0), MATCH($C33, Raw!$B$1:$AN$1, 0))</f>
        <v>9458</v>
      </c>
      <c r="W33" s="13">
        <f>INDEX(Raw!$B$4:$AN$28, MATCH(W$1, Raw!$A$4:$A$28, 0), MATCH($C33, Raw!$B$1:$AN$1, 0))</f>
        <v>0</v>
      </c>
      <c r="X33" s="13">
        <f>INDEX(Raw!$B$4:$AN$28, MATCH(X$1, Raw!$A$4:$A$28, 0), MATCH($C33, Raw!$B$1:$AN$1, 0))</f>
        <v>-505</v>
      </c>
      <c r="Y33" s="13">
        <f>INDEX(Raw!$B$4:$AN$28, MATCH(Y$1, Raw!$A$4:$A$28, 0), MATCH($C33, Raw!$B$1:$AN$1, 0))</f>
        <v>4584</v>
      </c>
      <c r="Z33" s="13">
        <f>INDEX(Raw!$B$4:$AN$28, MATCH(Z$1, Raw!$A$4:$A$28, 0), MATCH($C33, Raw!$B$1:$AN$1, 0))</f>
        <v>12021</v>
      </c>
    </row>
    <row r="34" spans="1:26" x14ac:dyDescent="0.25">
      <c r="A34" s="13" t="s">
        <v>27</v>
      </c>
      <c r="B34" s="14">
        <f t="shared" ca="1" si="0"/>
        <v>46088</v>
      </c>
      <c r="C34" s="13">
        <v>1992</v>
      </c>
      <c r="D34" s="13">
        <f>INDEX(Raw!$B$4:$AN$28, MATCH(D$1, Raw!$A$4:$A$28, 0), MATCH($C34, Raw!$B$1:$AN$1, 0))</f>
        <v>1062.9880000000001</v>
      </c>
      <c r="E34" s="13">
        <f>INDEX(Raw!$B$4:$AN$28, MATCH(E$1, Raw!$A$4:$A$28, 0), MATCH($C34, Raw!$B$1:$AN$1, 0))</f>
        <v>1085.636</v>
      </c>
      <c r="F34" s="13">
        <f>INDEX(Raw!$B$4:$AN$28, MATCH(F$1, Raw!$A$4:$A$28, 0), MATCH($C34, Raw!$B$1:$AN$1, 0))</f>
        <v>1018.621</v>
      </c>
      <c r="G34" s="13">
        <f>INDEX(Raw!$B$4:$AN$28, MATCH(G$1, Raw!$A$4:$A$28, 0), MATCH($C34, Raw!$B$1:$AN$1, 0))</f>
        <v>0</v>
      </c>
      <c r="H34" s="13">
        <f>INDEX(Raw!$B$4:$AN$28, MATCH(H$1, Raw!$A$4:$A$28, 0), MATCH($C34, Raw!$B$1:$AN$1, 0))</f>
        <v>1080.432</v>
      </c>
      <c r="I34" s="13">
        <f>INDEX(Raw!$B$4:$AN$28, MATCH(I$1, Raw!$A$4:$A$28, 0), MATCH($C34, Raw!$B$1:$AN$1, 0))</f>
        <v>4247.6769999999997</v>
      </c>
      <c r="J34" s="13">
        <f>INDEX(Raw!$B$4:$AN$28, MATCH(J$1, Raw!$A$4:$A$28, 0), MATCH($C34, Raw!$B$1:$AN$1, 0))</f>
        <v>3526.261</v>
      </c>
      <c r="K34" s="13">
        <f>INDEX(Raw!$B$4:$AN$28, MATCH(K$1, Raw!$A$4:$A$28, 0), MATCH($C34, Raw!$B$1:$AN$1, 0))</f>
        <v>2163.0940000000001</v>
      </c>
      <c r="L34" s="13">
        <f>INDEX(Raw!$B$4:$AN$28, MATCH(L$1, Raw!$A$4:$A$28, 0), MATCH($C34, Raw!$B$1:$AN$1, 0))</f>
        <v>383.30399999999997</v>
      </c>
      <c r="M34" s="13">
        <f>INDEX(Raw!$B$4:$AN$28, MATCH(M$1, Raw!$A$4:$A$28, 0), MATCH($C34, Raw!$B$1:$AN$1, 0))</f>
        <v>731.59799999999996</v>
      </c>
      <c r="N34" s="13">
        <f>INDEX(Raw!$B$4:$AN$28, MATCH(N$1, Raw!$A$4:$A$28, 0), MATCH($C34, Raw!$B$1:$AN$1, 0))</f>
        <v>6804.2569999999996</v>
      </c>
      <c r="O34" s="13">
        <f>INDEX(Raw!$B$4:$AN$28, MATCH(O$1, Raw!$A$4:$A$28, 0), MATCH($C34, Raw!$B$1:$AN$1, 0))</f>
        <v>11051.93</v>
      </c>
      <c r="P34" s="13">
        <f>INDEX(Raw!$B$4:$AN$28, MATCH(P$1, Raw!$A$4:$A$28, 0), MATCH($C34, Raw!$B$1:$AN$1, 0))</f>
        <v>5303.2219999999998</v>
      </c>
      <c r="Q34" s="13">
        <f>INDEX(Raw!$B$4:$AN$28, MATCH(Q$1, Raw!$A$4:$A$28, 0), MATCH($C34, Raw!$B$1:$AN$1, 0))</f>
        <v>1120.0640000000001</v>
      </c>
      <c r="R34" s="13">
        <f>INDEX(Raw!$B$4:$AN$28, MATCH(R$1, Raw!$A$4:$A$28, 0), MATCH($C34, Raw!$B$1:$AN$1, 0))</f>
        <v>658.63099999999997</v>
      </c>
      <c r="S34" s="13">
        <f>INDEX(Raw!$B$4:$AN$28, MATCH(S$1, Raw!$A$4:$A$28, 0), MATCH($C34, Raw!$B$1:$AN$1, 0))</f>
        <v>1860.3240000000001</v>
      </c>
      <c r="T34" s="13">
        <f>INDEX(Raw!$B$4:$AN$28, MATCH(T$1, Raw!$A$4:$A$28, 0), MATCH($C34, Raw!$B$1:$AN$1, 0))</f>
        <v>7163.5460000000003</v>
      </c>
      <c r="U34" s="13">
        <f>INDEX(Raw!$B$4:$AN$28, MATCH(U$1, Raw!$A$4:$A$28, 0), MATCH($C34, Raw!$B$1:$AN$1, 0))</f>
        <v>424.05099999999999</v>
      </c>
      <c r="V34" s="13">
        <f>INDEX(Raw!$B$4:$AN$28, MATCH(V$1, Raw!$A$4:$A$28, 0), MATCH($C34, Raw!$B$1:$AN$1, 0))</f>
        <v>8165.0240000000003</v>
      </c>
      <c r="W34" s="13">
        <f>INDEX(Raw!$B$4:$AN$28, MATCH(W$1, Raw!$A$4:$A$28, 0), MATCH($C34, Raw!$B$1:$AN$1, 0))</f>
        <v>0</v>
      </c>
      <c r="X34" s="13">
        <f>INDEX(Raw!$B$4:$AN$28, MATCH(X$1, Raw!$A$4:$A$28, 0), MATCH($C34, Raw!$B$1:$AN$1, 0))</f>
        <v>-370.84199999999998</v>
      </c>
      <c r="Y34" s="13">
        <f>INDEX(Raw!$B$4:$AN$28, MATCH(Y$1, Raw!$A$4:$A$28, 0), MATCH($C34, Raw!$B$1:$AN$1, 0))</f>
        <v>3888.3879999999999</v>
      </c>
      <c r="Z34" s="13">
        <f>INDEX(Raw!$B$4:$AN$28, MATCH(Z$1, Raw!$A$4:$A$28, 0), MATCH($C34, Raw!$B$1:$AN$1, 0))</f>
        <v>11051.93</v>
      </c>
    </row>
    <row r="35" spans="1:26" x14ac:dyDescent="0.25">
      <c r="A35" s="13" t="s">
        <v>27</v>
      </c>
      <c r="B35" s="14">
        <f t="shared" ca="1" si="0"/>
        <v>46088</v>
      </c>
      <c r="C35" s="13">
        <v>1991</v>
      </c>
      <c r="D35" s="13">
        <f>INDEX(Raw!$B$4:$AN$28, MATCH(D$1, Raw!$A$4:$A$28, 0), MATCH($C35, Raw!$B$1:$AN$1, 0))</f>
        <v>1117.1959999999999</v>
      </c>
      <c r="E35" s="13">
        <f>INDEX(Raw!$B$4:$AN$28, MATCH(E$1, Raw!$A$4:$A$28, 0), MATCH($C35, Raw!$B$1:$AN$1, 0))</f>
        <v>933.44799999999998</v>
      </c>
      <c r="F35" s="13">
        <f>INDEX(Raw!$B$4:$AN$28, MATCH(F$1, Raw!$A$4:$A$28, 0), MATCH($C35, Raw!$B$1:$AN$1, 0))</f>
        <v>987.76400000000001</v>
      </c>
      <c r="G35" s="13">
        <f>INDEX(Raw!$B$4:$AN$28, MATCH(G$1, Raw!$A$4:$A$28, 0), MATCH($C35, Raw!$B$1:$AN$1, 0))</f>
        <v>0</v>
      </c>
      <c r="H35" s="13">
        <f>INDEX(Raw!$B$4:$AN$28, MATCH(H$1, Raw!$A$4:$A$28, 0), MATCH($C35, Raw!$B$1:$AN$1, 0))</f>
        <v>1069.664</v>
      </c>
      <c r="I35" s="13">
        <f>INDEX(Raw!$B$4:$AN$28, MATCH(I$1, Raw!$A$4:$A$28, 0), MATCH($C35, Raw!$B$1:$AN$1, 0))</f>
        <v>4144.2439999999997</v>
      </c>
      <c r="J35" s="13">
        <f>INDEX(Raw!$B$4:$AN$28, MATCH(J$1, Raw!$A$4:$A$28, 0), MATCH($C35, Raw!$B$1:$AN$1, 0))</f>
        <v>2889.8820000000001</v>
      </c>
      <c r="K35" s="13">
        <f>INDEX(Raw!$B$4:$AN$28, MATCH(K$1, Raw!$A$4:$A$28, 0), MATCH($C35, Raw!$B$1:$AN$1, 0))</f>
        <v>2154.0149999999999</v>
      </c>
      <c r="L35" s="13">
        <f>INDEX(Raw!$B$4:$AN$28, MATCH(L$1, Raw!$A$4:$A$28, 0), MATCH($C35, Raw!$B$1:$AN$1, 0))</f>
        <v>303.68099999999998</v>
      </c>
      <c r="M35" s="13">
        <f>INDEX(Raw!$B$4:$AN$28, MATCH(M$1, Raw!$A$4:$A$28, 0), MATCH($C35, Raw!$B$1:$AN$1, 0))</f>
        <v>730.60599999999999</v>
      </c>
      <c r="N35" s="13">
        <f>INDEX(Raw!$B$4:$AN$28, MATCH(N$1, Raw!$A$4:$A$28, 0), MATCH($C35, Raw!$B$1:$AN$1, 0))</f>
        <v>6078.1840000000002</v>
      </c>
      <c r="O35" s="13">
        <f>INDEX(Raw!$B$4:$AN$28, MATCH(O$1, Raw!$A$4:$A$28, 0), MATCH($C35, Raw!$B$1:$AN$1, 0))</f>
        <v>10189.209999999999</v>
      </c>
      <c r="P35" s="13">
        <f>INDEX(Raw!$B$4:$AN$28, MATCH(P$1, Raw!$A$4:$A$28, 0), MATCH($C35, Raw!$B$1:$AN$1, 0))</f>
        <v>4255.1729999999998</v>
      </c>
      <c r="Q35" s="13">
        <f>INDEX(Raw!$B$4:$AN$28, MATCH(Q$1, Raw!$A$4:$A$28, 0), MATCH($C35, Raw!$B$1:$AN$1, 0))</f>
        <v>985.25800000000004</v>
      </c>
      <c r="R35" s="13">
        <f>INDEX(Raw!$B$4:$AN$28, MATCH(R$1, Raw!$A$4:$A$28, 0), MATCH($C35, Raw!$B$1:$AN$1, 0))</f>
        <v>493.76499999999999</v>
      </c>
      <c r="S35" s="13">
        <f>INDEX(Raw!$B$4:$AN$28, MATCH(S$1, Raw!$A$4:$A$28, 0), MATCH($C35, Raw!$B$1:$AN$1, 0))</f>
        <v>1679.05</v>
      </c>
      <c r="T35" s="13">
        <f>INDEX(Raw!$B$4:$AN$28, MATCH(T$1, Raw!$A$4:$A$28, 0), MATCH($C35, Raw!$B$1:$AN$1, 0))</f>
        <v>5950.268</v>
      </c>
      <c r="U35" s="13">
        <f>INDEX(Raw!$B$4:$AN$28, MATCH(U$1, Raw!$A$4:$A$28, 0), MATCH($C35, Raw!$B$1:$AN$1, 0))</f>
        <v>421.83800000000002</v>
      </c>
      <c r="V35" s="13">
        <f>INDEX(Raw!$B$4:$AN$28, MATCH(V$1, Raw!$A$4:$A$28, 0), MATCH($C35, Raw!$B$1:$AN$1, 0))</f>
        <v>7238.643</v>
      </c>
      <c r="W35" s="13">
        <f>INDEX(Raw!$B$4:$AN$28, MATCH(W$1, Raw!$A$4:$A$28, 0), MATCH($C35, Raw!$B$1:$AN$1, 0))</f>
        <v>0</v>
      </c>
      <c r="X35" s="13">
        <f>INDEX(Raw!$B$4:$AN$28, MATCH(X$1, Raw!$A$4:$A$28, 0), MATCH($C35, Raw!$B$1:$AN$1, 0))</f>
        <v>-119.818</v>
      </c>
      <c r="Y35" s="13">
        <f>INDEX(Raw!$B$4:$AN$28, MATCH(Y$1, Raw!$A$4:$A$28, 0), MATCH($C35, Raw!$B$1:$AN$1, 0))</f>
        <v>4238.9470000000001</v>
      </c>
      <c r="Z35" s="13">
        <f>INDEX(Raw!$B$4:$AN$28, MATCH(Z$1, Raw!$A$4:$A$28, 0), MATCH($C35, Raw!$B$1:$AN$1, 0))</f>
        <v>10222.43</v>
      </c>
    </row>
    <row r="36" spans="1:26" x14ac:dyDescent="0.25">
      <c r="A36" s="13" t="s">
        <v>27</v>
      </c>
      <c r="B36" s="14">
        <f t="shared" ca="1" si="0"/>
        <v>46088</v>
      </c>
      <c r="C36" s="13">
        <v>1990</v>
      </c>
      <c r="D36" s="13">
        <f>INDEX(Raw!$B$4:$AN$28, MATCH(D$1, Raw!$A$4:$A$28, 0), MATCH($C36, Raw!$B$1:$AN$1, 0))</f>
        <v>1492.124</v>
      </c>
      <c r="E36" s="13">
        <f>INDEX(Raw!$B$4:$AN$28, MATCH(E$1, Raw!$A$4:$A$28, 0), MATCH($C36, Raw!$B$1:$AN$1, 0))</f>
        <v>913.54100000000005</v>
      </c>
      <c r="F36" s="13">
        <f>INDEX(Raw!$B$4:$AN$28, MATCH(F$1, Raw!$A$4:$A$28, 0), MATCH($C36, Raw!$B$1:$AN$1, 0))</f>
        <v>982.31299999999999</v>
      </c>
      <c r="G36" s="13">
        <f>INDEX(Raw!$B$4:$AN$28, MATCH(G$1, Raw!$A$4:$A$28, 0), MATCH($C36, Raw!$B$1:$AN$1, 0))</f>
        <v>0</v>
      </c>
      <c r="H36" s="13">
        <f>INDEX(Raw!$B$4:$AN$28, MATCH(H$1, Raw!$A$4:$A$28, 0), MATCH($C36, Raw!$B$1:$AN$1, 0))</f>
        <v>754.8</v>
      </c>
      <c r="I36" s="13">
        <f>INDEX(Raw!$B$4:$AN$28, MATCH(I$1, Raw!$A$4:$A$28, 0), MATCH($C36, Raw!$B$1:$AN$1, 0))</f>
        <v>4142.7780000000002</v>
      </c>
      <c r="J36" s="13">
        <f>INDEX(Raw!$B$4:$AN$28, MATCH(J$1, Raw!$A$4:$A$28, 0), MATCH($C36, Raw!$B$1:$AN$1, 0))</f>
        <v>2385.5650000000001</v>
      </c>
      <c r="K36" s="13">
        <f>INDEX(Raw!$B$4:$AN$28, MATCH(K$1, Raw!$A$4:$A$28, 0), MATCH($C36, Raw!$B$1:$AN$1, 0))</f>
        <v>2024.6220000000001</v>
      </c>
      <c r="L36" s="13">
        <f>INDEX(Raw!$B$4:$AN$28, MATCH(L$1, Raw!$A$4:$A$28, 0), MATCH($C36, Raw!$B$1:$AN$1, 0))</f>
        <v>275.12599999999998</v>
      </c>
      <c r="M36" s="13">
        <f>INDEX(Raw!$B$4:$AN$28, MATCH(M$1, Raw!$A$4:$A$28, 0), MATCH($C36, Raw!$B$1:$AN$1, 0))</f>
        <v>450.096</v>
      </c>
      <c r="N36" s="13">
        <f>INDEX(Raw!$B$4:$AN$28, MATCH(N$1, Raw!$A$4:$A$28, 0), MATCH($C36, Raw!$B$1:$AN$1, 0))</f>
        <v>5135.4089999999997</v>
      </c>
      <c r="O36" s="13">
        <f>INDEX(Raw!$B$4:$AN$28, MATCH(O$1, Raw!$A$4:$A$28, 0), MATCH($C36, Raw!$B$1:$AN$1, 0))</f>
        <v>9278.1869999999999</v>
      </c>
      <c r="P36" s="13">
        <f>INDEX(Raw!$B$4:$AN$28, MATCH(P$1, Raw!$A$4:$A$28, 0), MATCH($C36, Raw!$B$1:$AN$1, 0))</f>
        <v>4296.491</v>
      </c>
      <c r="Q36" s="13">
        <f>INDEX(Raw!$B$4:$AN$28, MATCH(Q$1, Raw!$A$4:$A$28, 0), MATCH($C36, Raw!$B$1:$AN$1, 0))</f>
        <v>535.86099999999999</v>
      </c>
      <c r="R36" s="13">
        <f>INDEX(Raw!$B$4:$AN$28, MATCH(R$1, Raw!$A$4:$A$28, 0), MATCH($C36, Raw!$B$1:$AN$1, 0))</f>
        <v>332.06</v>
      </c>
      <c r="S36" s="13">
        <f>INDEX(Raw!$B$4:$AN$28, MATCH(S$1, Raw!$A$4:$A$28, 0), MATCH($C36, Raw!$B$1:$AN$1, 0))</f>
        <v>1132.5319999999999</v>
      </c>
      <c r="T36" s="13">
        <f>INDEX(Raw!$B$4:$AN$28, MATCH(T$1, Raw!$A$4:$A$28, 0), MATCH($C36, Raw!$B$1:$AN$1, 0))</f>
        <v>5429.0230000000001</v>
      </c>
      <c r="U36" s="13">
        <f>INDEX(Raw!$B$4:$AN$28, MATCH(U$1, Raw!$A$4:$A$28, 0), MATCH($C36, Raw!$B$1:$AN$1, 0))</f>
        <v>420.24400000000003</v>
      </c>
      <c r="V36" s="13">
        <f>INDEX(Raw!$B$4:$AN$28, MATCH(V$1, Raw!$A$4:$A$28, 0), MATCH($C36, Raw!$B$1:$AN$1, 0))</f>
        <v>6447.576</v>
      </c>
      <c r="W36" s="13">
        <f>INDEX(Raw!$B$4:$AN$28, MATCH(W$1, Raw!$A$4:$A$28, 0), MATCH($C36, Raw!$B$1:$AN$1, 0))</f>
        <v>0</v>
      </c>
      <c r="X36" s="13">
        <f>INDEX(Raw!$B$4:$AN$28, MATCH(X$1, Raw!$A$4:$A$28, 0), MATCH($C36, Raw!$B$1:$AN$1, 0))</f>
        <v>-63.728999999999999</v>
      </c>
      <c r="Y36" s="13">
        <f>INDEX(Raw!$B$4:$AN$28, MATCH(Y$1, Raw!$A$4:$A$28, 0), MATCH($C36, Raw!$B$1:$AN$1, 0))</f>
        <v>3849.1640000000002</v>
      </c>
      <c r="Z36" s="13">
        <f>INDEX(Raw!$B$4:$AN$28, MATCH(Z$1, Raw!$A$4:$A$28, 0), MATCH($C36, Raw!$B$1:$AN$1, 0))</f>
        <v>9278.1869999999999</v>
      </c>
    </row>
    <row r="37" spans="1:26" x14ac:dyDescent="0.25">
      <c r="A37" s="13" t="s">
        <v>27</v>
      </c>
      <c r="B37" s="14">
        <f t="shared" ca="1" si="0"/>
        <v>46088</v>
      </c>
      <c r="C37" s="13">
        <v>1989</v>
      </c>
      <c r="D37" s="13">
        <f>INDEX(Raw!$B$4:$AN$28, MATCH(D$1, Raw!$A$4:$A$28, 0), MATCH($C37, Raw!$B$1:$AN$1, 0))</f>
        <v>1181.691</v>
      </c>
      <c r="E37" s="13">
        <f>INDEX(Raw!$B$4:$AN$28, MATCH(E$1, Raw!$A$4:$A$28, 0), MATCH($C37, Raw!$B$1:$AN$1, 0))</f>
        <v>820.428</v>
      </c>
      <c r="F37" s="13">
        <f>INDEX(Raw!$B$4:$AN$28, MATCH(F$1, Raw!$A$4:$A$28, 0), MATCH($C37, Raw!$B$1:$AN$1, 0))</f>
        <v>789.077</v>
      </c>
      <c r="G37" s="13">
        <f>INDEX(Raw!$B$4:$AN$28, MATCH(G$1, Raw!$A$4:$A$28, 0), MATCH($C37, Raw!$B$1:$AN$1, 0))</f>
        <v>0</v>
      </c>
      <c r="H37" s="13">
        <f>INDEX(Raw!$B$4:$AN$28, MATCH(H$1, Raw!$A$4:$A$28, 0), MATCH($C37, Raw!$B$1:$AN$1, 0))</f>
        <v>812.30399999999997</v>
      </c>
      <c r="I37" s="13">
        <f>INDEX(Raw!$B$4:$AN$28, MATCH(I$1, Raw!$A$4:$A$28, 0), MATCH($C37, Raw!$B$1:$AN$1, 0))</f>
        <v>3603.5</v>
      </c>
      <c r="J37" s="13">
        <f>INDEX(Raw!$B$4:$AN$28, MATCH(J$1, Raw!$A$4:$A$28, 0), MATCH($C37, Raw!$B$1:$AN$1, 0))</f>
        <v>2021.2190000000001</v>
      </c>
      <c r="K37" s="13">
        <f>INDEX(Raw!$B$4:$AN$28, MATCH(K$1, Raw!$A$4:$A$28, 0), MATCH($C37, Raw!$B$1:$AN$1, 0))</f>
        <v>1930.423</v>
      </c>
      <c r="L37" s="13">
        <f>INDEX(Raw!$B$4:$AN$28, MATCH(L$1, Raw!$A$4:$A$28, 0), MATCH($C37, Raw!$B$1:$AN$1, 0))</f>
        <v>231.99299999999999</v>
      </c>
      <c r="M37" s="13">
        <f>INDEX(Raw!$B$4:$AN$28, MATCH(M$1, Raw!$A$4:$A$28, 0), MATCH($C37, Raw!$B$1:$AN$1, 0))</f>
        <v>495.40100000000001</v>
      </c>
      <c r="N37" s="13">
        <f>INDEX(Raw!$B$4:$AN$28, MATCH(N$1, Raw!$A$4:$A$28, 0), MATCH($C37, Raw!$B$1:$AN$1, 0))</f>
        <v>4679.0360000000001</v>
      </c>
      <c r="O37" s="13">
        <f>INDEX(Raw!$B$4:$AN$28, MATCH(O$1, Raw!$A$4:$A$28, 0), MATCH($C37, Raw!$B$1:$AN$1, 0))</f>
        <v>8282.5360000000001</v>
      </c>
      <c r="P37" s="13">
        <f>INDEX(Raw!$B$4:$AN$28, MATCH(P$1, Raw!$A$4:$A$28, 0), MATCH($C37, Raw!$B$1:$AN$1, 0))</f>
        <v>3657.93</v>
      </c>
      <c r="Q37" s="13">
        <f>INDEX(Raw!$B$4:$AN$28, MATCH(Q$1, Raw!$A$4:$A$28, 0), MATCH($C37, Raw!$B$1:$AN$1, 0))</f>
        <v>548.70799999999997</v>
      </c>
      <c r="R37" s="13">
        <f>INDEX(Raw!$B$4:$AN$28, MATCH(R$1, Raw!$A$4:$A$28, 0), MATCH($C37, Raw!$B$1:$AN$1, 0))</f>
        <v>294.358</v>
      </c>
      <c r="S37" s="13">
        <f>INDEX(Raw!$B$4:$AN$28, MATCH(S$1, Raw!$A$4:$A$28, 0), MATCH($C37, Raw!$B$1:$AN$1, 0))</f>
        <v>1139.1210000000001</v>
      </c>
      <c r="T37" s="13">
        <f>INDEX(Raw!$B$4:$AN$28, MATCH(T$1, Raw!$A$4:$A$28, 0), MATCH($C37, Raw!$B$1:$AN$1, 0))</f>
        <v>4797.0510000000004</v>
      </c>
      <c r="U37" s="13">
        <f>INDEX(Raw!$B$4:$AN$28, MATCH(U$1, Raw!$A$4:$A$28, 0), MATCH($C37, Raw!$B$1:$AN$1, 0))</f>
        <v>418.91</v>
      </c>
      <c r="V37" s="13">
        <f>INDEX(Raw!$B$4:$AN$28, MATCH(V$1, Raw!$A$4:$A$28, 0), MATCH($C37, Raw!$B$1:$AN$1, 0))</f>
        <v>5618.3119999999999</v>
      </c>
      <c r="W37" s="13">
        <f>INDEX(Raw!$B$4:$AN$28, MATCH(W$1, Raw!$A$4:$A$28, 0), MATCH($C37, Raw!$B$1:$AN$1, 0))</f>
        <v>0</v>
      </c>
      <c r="X37" s="13">
        <f>INDEX(Raw!$B$4:$AN$28, MATCH(X$1, Raw!$A$4:$A$28, 0), MATCH($C37, Raw!$B$1:$AN$1, 0))</f>
        <v>-53.097999999999999</v>
      </c>
      <c r="Y37" s="13">
        <f>INDEX(Raw!$B$4:$AN$28, MATCH(Y$1, Raw!$A$4:$A$28, 0), MATCH($C37, Raw!$B$1:$AN$1, 0))</f>
        <v>3485.4850000000001</v>
      </c>
      <c r="Z37" s="13">
        <f>INDEX(Raw!$B$4:$AN$28, MATCH(Z$1, Raw!$A$4:$A$28, 0), MATCH($C37, Raw!$B$1:$AN$1, 0))</f>
        <v>8282.5360000000001</v>
      </c>
    </row>
    <row r="38" spans="1:26" x14ac:dyDescent="0.25">
      <c r="A38" s="13" t="s">
        <v>27</v>
      </c>
      <c r="B38" s="14">
        <f t="shared" ca="1" si="0"/>
        <v>46088</v>
      </c>
      <c r="C38" s="13">
        <v>1988</v>
      </c>
      <c r="D38" s="13">
        <f>INDEX(Raw!$B$4:$AN$28, MATCH(D$1, Raw!$A$4:$A$28, 0), MATCH($C38, Raw!$B$1:$AN$1, 0))</f>
        <v>1231.19</v>
      </c>
      <c r="E38" s="13">
        <f>INDEX(Raw!$B$4:$AN$28, MATCH(E$1, Raw!$A$4:$A$28, 0), MATCH($C38, Raw!$B$1:$AN$1, 0))</f>
        <v>627.24800000000005</v>
      </c>
      <c r="F38" s="13">
        <f>INDEX(Raw!$B$4:$AN$28, MATCH(F$1, Raw!$A$4:$A$28, 0), MATCH($C38, Raw!$B$1:$AN$1, 0))</f>
        <v>778.81600000000003</v>
      </c>
      <c r="G38" s="13">
        <f>INDEX(Raw!$B$4:$AN$28, MATCH(G$1, Raw!$A$4:$A$28, 0), MATCH($C38, Raw!$B$1:$AN$1, 0))</f>
        <v>0</v>
      </c>
      <c r="H38" s="13">
        <f>INDEX(Raw!$B$4:$AN$28, MATCH(H$1, Raw!$A$4:$A$28, 0), MATCH($C38, Raw!$B$1:$AN$1, 0))</f>
        <v>608.178</v>
      </c>
      <c r="I38" s="13">
        <f>INDEX(Raw!$B$4:$AN$28, MATCH(I$1, Raw!$A$4:$A$28, 0), MATCH($C38, Raw!$B$1:$AN$1, 0))</f>
        <v>3245.4319999999998</v>
      </c>
      <c r="J38" s="13">
        <f>INDEX(Raw!$B$4:$AN$28, MATCH(J$1, Raw!$A$4:$A$28, 0), MATCH($C38, Raw!$B$1:$AN$1, 0))</f>
        <v>1759.075</v>
      </c>
      <c r="K38" s="13">
        <f>INDEX(Raw!$B$4:$AN$28, MATCH(K$1, Raw!$A$4:$A$28, 0), MATCH($C38, Raw!$B$1:$AN$1, 0))</f>
        <v>1911.973</v>
      </c>
      <c r="L38" s="13">
        <f>INDEX(Raw!$B$4:$AN$28, MATCH(L$1, Raw!$A$4:$A$28, 0), MATCH($C38, Raw!$B$1:$AN$1, 0))</f>
        <v>56.545999999999999</v>
      </c>
      <c r="M38" s="13">
        <f>INDEX(Raw!$B$4:$AN$28, MATCH(M$1, Raw!$A$4:$A$28, 0), MATCH($C38, Raw!$B$1:$AN$1, 0))</f>
        <v>477.58600000000001</v>
      </c>
      <c r="N38" s="13">
        <f>INDEX(Raw!$B$4:$AN$28, MATCH(N$1, Raw!$A$4:$A$28, 0), MATCH($C38, Raw!$B$1:$AN$1, 0))</f>
        <v>4205.18</v>
      </c>
      <c r="O38" s="13">
        <f>INDEX(Raw!$B$4:$AN$28, MATCH(O$1, Raw!$A$4:$A$28, 0), MATCH($C38, Raw!$B$1:$AN$1, 0))</f>
        <v>7450.6120000000001</v>
      </c>
      <c r="P38" s="13">
        <f>INDEX(Raw!$B$4:$AN$28, MATCH(P$1, Raw!$A$4:$A$28, 0), MATCH($C38, Raw!$B$1:$AN$1, 0))</f>
        <v>2868.8969999999999</v>
      </c>
      <c r="Q38" s="13">
        <f>INDEX(Raw!$B$4:$AN$28, MATCH(Q$1, Raw!$A$4:$A$28, 0), MATCH($C38, Raw!$B$1:$AN$1, 0))</f>
        <v>761.05899999999997</v>
      </c>
      <c r="R38" s="13">
        <f>INDEX(Raw!$B$4:$AN$28, MATCH(R$1, Raw!$A$4:$A$28, 0), MATCH($C38, Raw!$B$1:$AN$1, 0))</f>
        <v>205.702</v>
      </c>
      <c r="S38" s="13">
        <f>INDEX(Raw!$B$4:$AN$28, MATCH(S$1, Raw!$A$4:$A$28, 0), MATCH($C38, Raw!$B$1:$AN$1, 0))</f>
        <v>1236.413</v>
      </c>
      <c r="T38" s="13">
        <f>INDEX(Raw!$B$4:$AN$28, MATCH(T$1, Raw!$A$4:$A$28, 0), MATCH($C38, Raw!$B$1:$AN$1, 0))</f>
        <v>4105.3100000000004</v>
      </c>
      <c r="U38" s="13">
        <f>INDEX(Raw!$B$4:$AN$28, MATCH(U$1, Raw!$A$4:$A$28, 0), MATCH($C38, Raw!$B$1:$AN$1, 0))</f>
        <v>417.39499999999998</v>
      </c>
      <c r="V38" s="13">
        <f>INDEX(Raw!$B$4:$AN$28, MATCH(V$1, Raw!$A$4:$A$28, 0), MATCH($C38, Raw!$B$1:$AN$1, 0))</f>
        <v>4385.1419999999998</v>
      </c>
      <c r="W38" s="13">
        <f>INDEX(Raw!$B$4:$AN$28, MATCH(W$1, Raw!$A$4:$A$28, 0), MATCH($C38, Raw!$B$1:$AN$1, 0))</f>
        <v>0</v>
      </c>
      <c r="X38" s="13">
        <f>INDEX(Raw!$B$4:$AN$28, MATCH(X$1, Raw!$A$4:$A$28, 0), MATCH($C38, Raw!$B$1:$AN$1, 0))</f>
        <v>-68.477000000000004</v>
      </c>
      <c r="Y38" s="13">
        <f>INDEX(Raw!$B$4:$AN$28, MATCH(Y$1, Raw!$A$4:$A$28, 0), MATCH($C38, Raw!$B$1:$AN$1, 0))</f>
        <v>3345.3020000000001</v>
      </c>
      <c r="Z38" s="13">
        <f>INDEX(Raw!$B$4:$AN$28, MATCH(Z$1, Raw!$A$4:$A$28, 0), MATCH($C38, Raw!$B$1:$AN$1, 0))</f>
        <v>7450.6120000000001</v>
      </c>
    </row>
    <row r="39" spans="1:26" x14ac:dyDescent="0.25">
      <c r="A39" s="13" t="s">
        <v>27</v>
      </c>
      <c r="B39" s="14">
        <f t="shared" ca="1" si="0"/>
        <v>46088</v>
      </c>
      <c r="C39" s="13">
        <v>1987</v>
      </c>
      <c r="D39" s="13">
        <f>INDEX(Raw!$B$4:$AN$28, MATCH(D$1, Raw!$A$4:$A$28, 0), MATCH($C39, Raw!$B$1:$AN$1, 0))</f>
        <v>1489.106</v>
      </c>
      <c r="E39" s="13">
        <f>INDEX(Raw!$B$4:$AN$28, MATCH(E$1, Raw!$A$4:$A$28, 0), MATCH($C39, Raw!$B$1:$AN$1, 0))</f>
        <v>672.16</v>
      </c>
      <c r="F39" s="13">
        <f>INDEX(Raw!$B$4:$AN$28, MATCH(F$1, Raw!$A$4:$A$28, 0), MATCH($C39, Raw!$B$1:$AN$1, 0))</f>
        <v>776.74</v>
      </c>
      <c r="G39" s="13">
        <f>INDEX(Raw!$B$4:$AN$28, MATCH(G$1, Raw!$A$4:$A$28, 0), MATCH($C39, Raw!$B$1:$AN$1, 0))</f>
        <v>0</v>
      </c>
      <c r="H39" s="13">
        <f>INDEX(Raw!$B$4:$AN$28, MATCH(H$1, Raw!$A$4:$A$28, 0), MATCH($C39, Raw!$B$1:$AN$1, 0))</f>
        <v>1219.037</v>
      </c>
      <c r="I39" s="13">
        <f>INDEX(Raw!$B$4:$AN$28, MATCH(I$1, Raw!$A$4:$A$28, 0), MATCH($C39, Raw!$B$1:$AN$1, 0))</f>
        <v>4231.9210000000003</v>
      </c>
      <c r="J39" s="13">
        <f>INDEX(Raw!$B$4:$AN$28, MATCH(J$1, Raw!$A$4:$A$28, 0), MATCH($C39, Raw!$B$1:$AN$1, 0))</f>
        <v>1601.528</v>
      </c>
      <c r="K39" s="13">
        <f>INDEX(Raw!$B$4:$AN$28, MATCH(K$1, Raw!$A$4:$A$28, 0), MATCH($C39, Raw!$B$1:$AN$1, 0))</f>
        <v>2258.5450000000001</v>
      </c>
      <c r="L39" s="13">
        <f>INDEX(Raw!$B$4:$AN$28, MATCH(L$1, Raw!$A$4:$A$28, 0), MATCH($C39, Raw!$B$1:$AN$1, 0))</f>
        <v>74.155000000000001</v>
      </c>
      <c r="M39" s="13">
        <f>INDEX(Raw!$B$4:$AN$28, MATCH(M$1, Raw!$A$4:$A$28, 0), MATCH($C39, Raw!$B$1:$AN$1, 0))</f>
        <v>289</v>
      </c>
      <c r="N39" s="13">
        <f>INDEX(Raw!$B$4:$AN$28, MATCH(N$1, Raw!$A$4:$A$28, 0), MATCH($C39, Raw!$B$1:$AN$1, 0))</f>
        <v>4223.2280000000001</v>
      </c>
      <c r="O39" s="13">
        <f>INDEX(Raw!$B$4:$AN$28, MATCH(O$1, Raw!$A$4:$A$28, 0), MATCH($C39, Raw!$B$1:$AN$1, 0))</f>
        <v>8605.5460000000003</v>
      </c>
      <c r="P39" s="13">
        <f>INDEX(Raw!$B$4:$AN$28, MATCH(P$1, Raw!$A$4:$A$28, 0), MATCH($C39, Raw!$B$1:$AN$1, 0))</f>
        <v>4083.3789999999999</v>
      </c>
      <c r="Q39" s="13">
        <f>INDEX(Raw!$B$4:$AN$28, MATCH(Q$1, Raw!$A$4:$A$28, 0), MATCH($C39, Raw!$B$1:$AN$1, 0))</f>
        <v>909.46500000000003</v>
      </c>
      <c r="R39" s="13">
        <f>INDEX(Raw!$B$4:$AN$28, MATCH(R$1, Raw!$A$4:$A$28, 0), MATCH($C39, Raw!$B$1:$AN$1, 0))</f>
        <v>0</v>
      </c>
      <c r="S39" s="13">
        <f>INDEX(Raw!$B$4:$AN$28, MATCH(S$1, Raw!$A$4:$A$28, 0), MATCH($C39, Raw!$B$1:$AN$1, 0))</f>
        <v>1119.345</v>
      </c>
      <c r="T39" s="13">
        <f>INDEX(Raw!$B$4:$AN$28, MATCH(T$1, Raw!$A$4:$A$28, 0), MATCH($C39, Raw!$B$1:$AN$1, 0))</f>
        <v>5418.3720000000003</v>
      </c>
      <c r="U39" s="13">
        <f>INDEX(Raw!$B$4:$AN$28, MATCH(U$1, Raw!$A$4:$A$28, 0), MATCH($C39, Raw!$B$1:$AN$1, 0))</f>
        <v>415.97699999999998</v>
      </c>
      <c r="V39" s="13">
        <f>INDEX(Raw!$B$4:$AN$28, MATCH(V$1, Raw!$A$4:$A$28, 0), MATCH($C39, Raw!$B$1:$AN$1, 0))</f>
        <v>3783.625</v>
      </c>
      <c r="W39" s="13">
        <f>INDEX(Raw!$B$4:$AN$28, MATCH(W$1, Raw!$A$4:$A$28, 0), MATCH($C39, Raw!$B$1:$AN$1, 0))</f>
        <v>0</v>
      </c>
      <c r="X39" s="13">
        <f>INDEX(Raw!$B$4:$AN$28, MATCH(X$1, Raw!$A$4:$A$28, 0), MATCH($C39, Raw!$B$1:$AN$1, 0))</f>
        <v>-5.0469999999999997</v>
      </c>
      <c r="Y39" s="13">
        <f>INDEX(Raw!$B$4:$AN$28, MATCH(Y$1, Raw!$A$4:$A$28, 0), MATCH($C39, Raw!$B$1:$AN$1, 0))</f>
        <v>3187.174</v>
      </c>
      <c r="Z39" s="13">
        <f>INDEX(Raw!$B$4:$AN$28, MATCH(Z$1, Raw!$A$4:$A$28, 0), MATCH($C39, Raw!$B$1:$AN$1, 0))</f>
        <v>8355.56</v>
      </c>
    </row>
    <row r="40" spans="1:26" x14ac:dyDescent="0.25">
      <c r="A40" s="13" t="s">
        <v>27</v>
      </c>
      <c r="B40" s="14">
        <f t="shared" ca="1" si="0"/>
        <v>46088</v>
      </c>
      <c r="C40" s="13">
        <v>1986</v>
      </c>
      <c r="D40" s="13">
        <f>INDEX(Raw!$B$4:$AN$28, MATCH(D$1, Raw!$A$4:$A$28, 0), MATCH($C40, Raw!$B$1:$AN$1, 0))</f>
        <v>868.63310000000001</v>
      </c>
      <c r="E40" s="13">
        <f>INDEX(Raw!$B$4:$AN$28, MATCH(E$1, Raw!$A$4:$A$28, 0), MATCH($C40, Raw!$B$1:$AN$1, 0))</f>
        <v>672.56799999999998</v>
      </c>
      <c r="F40" s="13">
        <f>INDEX(Raw!$B$4:$AN$28, MATCH(F$1, Raw!$A$4:$A$28, 0), MATCH($C40, Raw!$B$1:$AN$1, 0))</f>
        <v>695.43700000000001</v>
      </c>
      <c r="G40" s="13">
        <f>INDEX(Raw!$B$4:$AN$28, MATCH(G$1, Raw!$A$4:$A$28, 0), MATCH($C40, Raw!$B$1:$AN$1, 0))</f>
        <v>0</v>
      </c>
      <c r="H40" s="13">
        <f>INDEX(Raw!$B$4:$AN$28, MATCH(H$1, Raw!$A$4:$A$28, 0), MATCH($C40, Raw!$B$1:$AN$1, 0))</f>
        <v>837.51199999999994</v>
      </c>
      <c r="I40" s="13">
        <f>INDEX(Raw!$B$4:$AN$28, MATCH(I$1, Raw!$A$4:$A$28, 0), MATCH($C40, Raw!$B$1:$AN$1, 0))</f>
        <v>3169.268</v>
      </c>
      <c r="J40" s="13">
        <f>INDEX(Raw!$B$4:$AN$28, MATCH(J$1, Raw!$A$4:$A$28, 0), MATCH($C40, Raw!$B$1:$AN$1, 0))</f>
        <v>1537.5530000000001</v>
      </c>
      <c r="K40" s="13">
        <f>INDEX(Raw!$B$4:$AN$28, MATCH(K$1, Raw!$A$4:$A$28, 0), MATCH($C40, Raw!$B$1:$AN$1, 0))</f>
        <v>1096.442</v>
      </c>
      <c r="L40" s="13">
        <f>INDEX(Raw!$B$4:$AN$28, MATCH(L$1, Raw!$A$4:$A$28, 0), MATCH($C40, Raw!$B$1:$AN$1, 0))</f>
        <v>659.053</v>
      </c>
      <c r="M40" s="13">
        <f>INDEX(Raw!$B$4:$AN$28, MATCH(M$1, Raw!$A$4:$A$28, 0), MATCH($C40, Raw!$B$1:$AN$1, 0))</f>
        <v>1114.8030000000001</v>
      </c>
      <c r="N40" s="13">
        <f>INDEX(Raw!$B$4:$AN$28, MATCH(N$1, Raw!$A$4:$A$28, 0), MATCH($C40, Raw!$B$1:$AN$1, 0))</f>
        <v>4407.8509999999997</v>
      </c>
      <c r="O40" s="13">
        <f>INDEX(Raw!$B$4:$AN$28, MATCH(O$1, Raw!$A$4:$A$28, 0), MATCH($C40, Raw!$B$1:$AN$1, 0))</f>
        <v>7484.1279999999997</v>
      </c>
      <c r="P40" s="13">
        <f>INDEX(Raw!$B$4:$AN$28, MATCH(P$1, Raw!$A$4:$A$28, 0), MATCH($C40, Raw!$B$1:$AN$1, 0))</f>
        <v>2244.9189999999999</v>
      </c>
      <c r="Q40" s="13">
        <f>INDEX(Raw!$B$4:$AN$28, MATCH(Q$1, Raw!$A$4:$A$28, 0), MATCH($C40, Raw!$B$1:$AN$1, 0))</f>
        <v>907.67600000000004</v>
      </c>
      <c r="R40" s="13">
        <f>INDEX(Raw!$B$4:$AN$28, MATCH(R$1, Raw!$A$4:$A$28, 0), MATCH($C40, Raw!$B$1:$AN$1, 0))</f>
        <v>354.05399999999997</v>
      </c>
      <c r="S40" s="13">
        <f>INDEX(Raw!$B$4:$AN$28, MATCH(S$1, Raw!$A$4:$A$28, 0), MATCH($C40, Raw!$B$1:$AN$1, 0))</f>
        <v>2000.136</v>
      </c>
      <c r="T40" s="13">
        <f>INDEX(Raw!$B$4:$AN$28, MATCH(T$1, Raw!$A$4:$A$28, 0), MATCH($C40, Raw!$B$1:$AN$1, 0))</f>
        <v>3969.1489999999999</v>
      </c>
      <c r="U40" s="13">
        <f>INDEX(Raw!$B$4:$AN$28, MATCH(U$1, Raw!$A$4:$A$28, 0), MATCH($C40, Raw!$B$1:$AN$1, 0))</f>
        <v>414.49200000000002</v>
      </c>
      <c r="V40" s="13">
        <f>INDEX(Raw!$B$4:$AN$28, MATCH(V$1, Raw!$A$4:$A$28, 0), MATCH($C40, Raw!$B$1:$AN$1, 0))</f>
        <v>3624.0459999999998</v>
      </c>
      <c r="W40" s="13">
        <f>INDEX(Raw!$B$4:$AN$28, MATCH(W$1, Raw!$A$4:$A$28, 0), MATCH($C40, Raw!$B$1:$AN$1, 0))</f>
        <v>0</v>
      </c>
      <c r="X40" s="13">
        <f>INDEX(Raw!$B$4:$AN$28, MATCH(X$1, Raw!$A$4:$A$28, 0), MATCH($C40, Raw!$B$1:$AN$1, 0))</f>
        <v>-118.087</v>
      </c>
      <c r="Y40" s="13">
        <f>INDEX(Raw!$B$4:$AN$28, MATCH(Y$1, Raw!$A$4:$A$28, 0), MATCH($C40, Raw!$B$1:$AN$1, 0))</f>
        <v>3514.9789999999998</v>
      </c>
      <c r="Z40" s="13">
        <f>INDEX(Raw!$B$4:$AN$28, MATCH(Z$1, Raw!$A$4:$A$28, 0), MATCH($C40, Raw!$B$1:$AN$1, 0))</f>
        <v>8373.4380000000001</v>
      </c>
    </row>
    <row r="41" spans="1:26" x14ac:dyDescent="0.25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5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5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5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5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5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5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5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5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5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5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5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5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5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5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5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5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5">
      <c r="A59" s="13"/>
      <c r="B59" s="1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5">
      <c r="A60" s="13"/>
      <c r="B60" s="14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5">
      <c r="A61" s="13"/>
      <c r="B61" s="14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5">
      <c r="A62" s="13"/>
      <c r="B62" s="14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5">
      <c r="A63" s="13"/>
      <c r="B63" s="14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5">
      <c r="A64" s="13"/>
      <c r="B64" s="14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5">
      <c r="A65" s="13"/>
      <c r="B65" s="14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5">
      <c r="A66" s="13"/>
      <c r="B66" s="14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5">
      <c r="A67" s="13"/>
      <c r="B67" s="14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5">
      <c r="A68" s="13"/>
      <c r="B68" s="14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5">
      <c r="A69" s="13"/>
      <c r="B69" s="14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5">
      <c r="A70" s="13"/>
      <c r="B70" s="14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5">
      <c r="A71" s="13"/>
      <c r="B71" s="14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5">
      <c r="A72" s="13"/>
      <c r="B72" s="14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5">
      <c r="A73" s="13"/>
      <c r="B73" s="14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5">
      <c r="A74" s="13"/>
      <c r="B74" s="14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5">
      <c r="A75" s="13"/>
      <c r="B75" s="14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5">
      <c r="A76" s="13"/>
      <c r="B76" s="14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5">
      <c r="A77" s="13"/>
      <c r="B77" s="14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5">
      <c r="A78" s="13"/>
      <c r="B78" s="14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5">
      <c r="A79" s="13"/>
      <c r="B79" s="14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5">
      <c r="A80" s="13"/>
      <c r="B80" s="14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5">
      <c r="A81" s="13"/>
      <c r="B81" s="14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5">
      <c r="A82" s="13"/>
      <c r="B82" s="14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5">
      <c r="A83" s="13"/>
      <c r="B83" s="14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5">
      <c r="A84" s="13"/>
      <c r="B84" s="14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5">
      <c r="A85" s="13"/>
      <c r="B85" s="14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5">
      <c r="A86" s="13"/>
      <c r="B86" s="14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5">
      <c r="A87" s="13"/>
      <c r="B87" s="14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5">
      <c r="A88" s="13"/>
      <c r="B88" s="14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5">
      <c r="A89" s="13"/>
      <c r="B89" s="14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5">
      <c r="A90" s="13"/>
      <c r="B90" s="14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5">
      <c r="A91" s="13"/>
      <c r="B91" s="14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5">
      <c r="A92" s="13"/>
      <c r="B92" s="14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5">
      <c r="A93" s="13"/>
      <c r="B93" s="14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5">
      <c r="A94" s="13"/>
      <c r="B94" s="14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5">
      <c r="A95" s="13"/>
      <c r="B95" s="14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5">
      <c r="A96" s="13"/>
      <c r="B96" s="14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5">
      <c r="A97" s="13"/>
      <c r="B97" s="14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5">
      <c r="A98" s="13"/>
      <c r="B98" s="14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5">
      <c r="A99" s="13"/>
      <c r="B99" s="14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5">
      <c r="A100" s="13"/>
      <c r="B100" s="14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5">
      <c r="A101" s="13"/>
      <c r="B101" s="14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5">
      <c r="A102" s="13"/>
      <c r="B102" s="14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5">
      <c r="A103" s="13"/>
      <c r="B103" s="14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5">
      <c r="A104" s="13"/>
      <c r="B104" s="14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5">
      <c r="A105" s="13"/>
      <c r="B105" s="14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5">
      <c r="A106" s="13"/>
      <c r="B106" s="14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5">
      <c r="A107" s="13"/>
      <c r="B107" s="14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5">
      <c r="A108" s="13"/>
      <c r="B108" s="14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5">
      <c r="A109" s="13"/>
      <c r="B109" s="14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5">
      <c r="A110" s="13"/>
      <c r="B110" s="14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5">
      <c r="A111" s="13"/>
      <c r="B111" s="14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5">
      <c r="A112" s="13"/>
      <c r="B112" s="14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5">
      <c r="A113" s="13"/>
      <c r="B113" s="14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5">
      <c r="A114" s="13"/>
      <c r="B114" s="14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5">
      <c r="A115" s="13"/>
      <c r="B115" s="14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5">
      <c r="A116" s="13"/>
      <c r="B116" s="14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5">
      <c r="A117" s="13"/>
      <c r="B117" s="14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5">
      <c r="A118" s="13"/>
      <c r="B118" s="14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5">
      <c r="A119" s="13"/>
      <c r="B119" s="14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5">
      <c r="A120" s="13"/>
      <c r="B120" s="14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5">
      <c r="A121" s="13"/>
      <c r="B121" s="14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5">
      <c r="A122" s="13"/>
      <c r="B122" s="14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5">
      <c r="A123" s="13"/>
      <c r="B123" s="14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5">
      <c r="A124" s="13"/>
      <c r="B124" s="14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5">
      <c r="A125" s="13"/>
      <c r="B125" s="14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5">
      <c r="A126" s="13"/>
      <c r="B126" s="14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5">
      <c r="A127" s="13"/>
      <c r="B127" s="14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5">
      <c r="A128" s="13"/>
      <c r="B128" s="14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5">
      <c r="A129" s="13"/>
      <c r="B129" s="14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5">
      <c r="A130" s="13"/>
      <c r="B130" s="14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5">
      <c r="A131" s="13"/>
      <c r="B131" s="14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5">
      <c r="A132" s="13"/>
      <c r="B132" s="14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5">
      <c r="A133" s="13"/>
      <c r="B133" s="14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5">
      <c r="A134" s="13"/>
      <c r="B134" s="14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5">
      <c r="A135" s="13"/>
      <c r="B135" s="14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5">
      <c r="A136" s="13"/>
      <c r="B136" s="14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5">
      <c r="A137" s="13"/>
      <c r="B137" s="14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5">
      <c r="A138" s="13"/>
      <c r="B138" s="14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5">
      <c r="A139" s="13"/>
      <c r="B139" s="14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5">
      <c r="A140" s="13"/>
      <c r="B140" s="14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5">
      <c r="A141" s="13"/>
      <c r="B141" s="14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5">
      <c r="A142" s="13"/>
      <c r="B142" s="14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5">
      <c r="A143" s="13"/>
      <c r="B143" s="14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5">
      <c r="A144" s="13"/>
      <c r="B144" s="14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5">
      <c r="A145" s="13"/>
      <c r="B145" s="14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5">
      <c r="A146" s="13"/>
      <c r="B146" s="14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5">
      <c r="A147" s="13"/>
      <c r="B147" s="14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5">
      <c r="A148" s="13"/>
      <c r="B148" s="14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5">
      <c r="A149" s="13"/>
      <c r="B149" s="14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5">
      <c r="A150" s="13"/>
      <c r="B150" s="14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5">
      <c r="A151" s="13"/>
      <c r="B151" s="14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5">
      <c r="A152" s="13"/>
      <c r="B152" s="14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5">
      <c r="A153" s="13"/>
      <c r="B153" s="14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5">
      <c r="A154" s="13"/>
      <c r="B154" s="14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5">
      <c r="A155" s="13"/>
      <c r="B155" s="14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5">
      <c r="A156" s="13"/>
      <c r="B156" s="14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5">
      <c r="A157" s="13"/>
      <c r="B157" s="14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5">
      <c r="A158" s="13"/>
      <c r="B158" s="14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B1A7-8329-48FB-A685-D8EE6D6E60DF}">
  <dimension ref="A1:AC158"/>
  <sheetViews>
    <sheetView showGridLines="0" tabSelected="1" workbookViewId="0">
      <selection activeCell="K11" sqref="K11"/>
    </sheetView>
  </sheetViews>
  <sheetFormatPr defaultColWidth="20.7109375" defaultRowHeight="15" x14ac:dyDescent="0.25"/>
  <cols>
    <col min="10" max="10" width="29.7109375" bestFit="1" customWidth="1"/>
    <col min="11" max="11" width="22.7109375" bestFit="1" customWidth="1"/>
    <col min="12" max="12" width="29.28515625" bestFit="1" customWidth="1"/>
    <col min="13" max="13" width="23" bestFit="1" customWidth="1"/>
    <col min="14" max="14" width="22.28515625" bestFit="1" customWidth="1"/>
    <col min="18" max="18" width="27.85546875" bestFit="1" customWidth="1"/>
    <col min="19" max="19" width="24.85546875" bestFit="1" customWidth="1"/>
    <col min="22" max="22" width="38.42578125" bestFit="1" customWidth="1"/>
    <col min="23" max="23" width="23" bestFit="1" customWidth="1"/>
    <col min="24" max="24" width="26" bestFit="1" customWidth="1"/>
    <col min="26" max="26" width="38.85546875" bestFit="1" customWidth="1"/>
  </cols>
  <sheetData>
    <row r="1" spans="1:29" x14ac:dyDescent="0.25">
      <c r="A1" s="12" t="s">
        <v>24</v>
      </c>
      <c r="B1" s="12" t="s">
        <v>25</v>
      </c>
      <c r="C1" s="12" t="s">
        <v>26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37</v>
      </c>
      <c r="N1" s="12" t="s">
        <v>38</v>
      </c>
      <c r="O1" s="12" t="s">
        <v>39</v>
      </c>
      <c r="P1" s="12" t="s">
        <v>40</v>
      </c>
      <c r="Q1" s="12" t="s">
        <v>41</v>
      </c>
      <c r="R1" s="12" t="s">
        <v>42</v>
      </c>
      <c r="S1" s="12" t="s">
        <v>43</v>
      </c>
      <c r="T1" s="12" t="s">
        <v>44</v>
      </c>
      <c r="U1" s="12" t="s">
        <v>45</v>
      </c>
      <c r="V1" s="12" t="s">
        <v>46</v>
      </c>
      <c r="W1" s="12" t="s">
        <v>47</v>
      </c>
      <c r="X1" s="12" t="s">
        <v>48</v>
      </c>
      <c r="Y1" s="12" t="s">
        <v>49</v>
      </c>
      <c r="Z1" s="12" t="s">
        <v>50</v>
      </c>
      <c r="AA1" s="12" t="s">
        <v>51</v>
      </c>
      <c r="AB1" s="12" t="s">
        <v>52</v>
      </c>
      <c r="AC1" s="12" t="s">
        <v>53</v>
      </c>
    </row>
    <row r="2" spans="1:29" x14ac:dyDescent="0.25">
      <c r="A2" t="str">
        <f>Lookup!A2</f>
        <v>KO</v>
      </c>
      <c r="B2" s="1">
        <f ca="1">Lookup!B2</f>
        <v>46088</v>
      </c>
      <c r="C2">
        <f>Lookup!C2</f>
        <v>2024</v>
      </c>
      <c r="D2">
        <f>Lookup!D2</f>
        <v>14571</v>
      </c>
      <c r="E2">
        <f>Lookup!E2</f>
        <v>3569</v>
      </c>
      <c r="F2">
        <f>Lookup!F2</f>
        <v>4728</v>
      </c>
      <c r="G2">
        <f>Lookup!G2</f>
        <v>3129</v>
      </c>
      <c r="H2">
        <f>Lookup!H2</f>
        <v>0</v>
      </c>
      <c r="I2">
        <f>Lookup!I2</f>
        <v>25997</v>
      </c>
      <c r="J2">
        <f>Lookup!J2</f>
        <v>10303</v>
      </c>
      <c r="K2">
        <f>Lookup!K2</f>
        <v>18087</v>
      </c>
      <c r="L2">
        <f>Lookup!L2</f>
        <v>31440</v>
      </c>
      <c r="M2">
        <f>Lookup!M2</f>
        <v>13403</v>
      </c>
      <c r="N2">
        <f>Lookup!N2</f>
        <v>74552</v>
      </c>
      <c r="O2">
        <f>Lookup!O2</f>
        <v>100549</v>
      </c>
      <c r="P2">
        <f>Lookup!P2</f>
        <v>25249</v>
      </c>
      <c r="Q2">
        <f>Lookup!Q2</f>
        <v>42375</v>
      </c>
      <c r="R2">
        <f>Lookup!R2</f>
        <v>4084</v>
      </c>
      <c r="S2">
        <f>Lookup!S2</f>
        <v>48928</v>
      </c>
      <c r="T2">
        <f>Lookup!T2</f>
        <v>74177</v>
      </c>
      <c r="U2">
        <f>Lookup!U2</f>
        <v>1760</v>
      </c>
      <c r="V2">
        <f>Lookup!V2</f>
        <v>76054</v>
      </c>
      <c r="W2">
        <f>Lookup!W2</f>
        <v>-16843</v>
      </c>
      <c r="X2">
        <f>Lookup!X2</f>
        <v>0</v>
      </c>
      <c r="Y2">
        <f>Lookup!Y2</f>
        <v>26372</v>
      </c>
      <c r="Z2">
        <f>Lookup!Z2</f>
        <v>100549</v>
      </c>
      <c r="AA2" t="str" cm="1">
        <f t="array" aca="1" ref="AA2" ca="1">MID(CELL("filename",D1),FIND("[",CELL("filename",D1))+1,FIND("]",CELL("filename",D1))-FIND("[",CELL("filename",D1))-1)</f>
        <v>KO_BAL-SH_YR.xlsx</v>
      </c>
      <c r="AB2" t="str">
        <f t="shared" ref="AB2" ca="1" si="0">_xlfn.CONCAT(LEFT(AA2,12),"-002")</f>
        <v>KO_BAL-SH_YR-002</v>
      </c>
      <c r="AC2" s="15">
        <f t="shared" ref="AC2:AC40" ca="1" si="1">NOW()</f>
        <v>46088.851709953706</v>
      </c>
    </row>
    <row r="3" spans="1:29" x14ac:dyDescent="0.25">
      <c r="A3" t="str">
        <f>Lookup!A3</f>
        <v>KO</v>
      </c>
      <c r="B3" s="1">
        <f ca="1">Lookup!B3</f>
        <v>46088</v>
      </c>
      <c r="C3">
        <f>Lookup!C3</f>
        <v>2023</v>
      </c>
      <c r="D3">
        <f>Lookup!D3</f>
        <v>13663</v>
      </c>
      <c r="E3">
        <f>Lookup!E3</f>
        <v>3410</v>
      </c>
      <c r="F3">
        <f>Lookup!F3</f>
        <v>4424</v>
      </c>
      <c r="G3">
        <f>Lookup!G3</f>
        <v>5235</v>
      </c>
      <c r="H3">
        <f>Lookup!H3</f>
        <v>0</v>
      </c>
      <c r="I3">
        <f>Lookup!I3</f>
        <v>26732</v>
      </c>
      <c r="J3">
        <f>Lookup!J3</f>
        <v>9236</v>
      </c>
      <c r="K3">
        <f>Lookup!K3</f>
        <v>19671</v>
      </c>
      <c r="L3">
        <f>Lookup!L3</f>
        <v>32707</v>
      </c>
      <c r="M3">
        <f>Lookup!M3</f>
        <v>7796</v>
      </c>
      <c r="N3">
        <f>Lookup!N3</f>
        <v>70971</v>
      </c>
      <c r="O3">
        <f>Lookup!O3</f>
        <v>97703</v>
      </c>
      <c r="P3">
        <f>Lookup!P3</f>
        <v>23571</v>
      </c>
      <c r="Q3">
        <f>Lookup!Q3</f>
        <v>35547</v>
      </c>
      <c r="R3">
        <f>Lookup!R3</f>
        <v>8466</v>
      </c>
      <c r="S3">
        <f>Lookup!S3</f>
        <v>46652</v>
      </c>
      <c r="T3">
        <f>Lookup!T3</f>
        <v>70223</v>
      </c>
      <c r="U3">
        <f>Lookup!U3</f>
        <v>1760</v>
      </c>
      <c r="V3">
        <f>Lookup!V3</f>
        <v>73782</v>
      </c>
      <c r="W3">
        <f>Lookup!W3</f>
        <v>-14275</v>
      </c>
      <c r="X3">
        <f>Lookup!X3</f>
        <v>0</v>
      </c>
      <c r="Y3">
        <f>Lookup!Y3</f>
        <v>27480</v>
      </c>
      <c r="Z3">
        <f>Lookup!Z3</f>
        <v>97703</v>
      </c>
      <c r="AA3" t="str" cm="1">
        <f t="array" aca="1" ref="AA3" ca="1">MID(CELL("filename",D2),FIND("[",CELL("filename",D2))+1,FIND("]",CELL("filename",D2))-FIND("[",CELL("filename",D2))-1)</f>
        <v>KO_BAL-SH_YR.xlsx</v>
      </c>
      <c r="AB3" t="str">
        <f t="shared" ref="AB3:AB40" ca="1" si="2">_xlfn.CONCAT(LEFT(AA3,12),"-002")</f>
        <v>KO_BAL-SH_YR-002</v>
      </c>
      <c r="AC3" s="15">
        <f t="shared" ca="1" si="1"/>
        <v>46088.851709953706</v>
      </c>
    </row>
    <row r="4" spans="1:29" x14ac:dyDescent="0.25">
      <c r="A4" t="str">
        <f>Lookup!A4</f>
        <v>KO</v>
      </c>
      <c r="B4" s="1">
        <f ca="1">Lookup!B4</f>
        <v>46088</v>
      </c>
      <c r="C4">
        <f>Lookup!C4</f>
        <v>2022</v>
      </c>
      <c r="D4">
        <f>Lookup!D4</f>
        <v>11631</v>
      </c>
      <c r="E4">
        <f>Lookup!E4</f>
        <v>3487</v>
      </c>
      <c r="F4">
        <f>Lookup!F4</f>
        <v>4233</v>
      </c>
      <c r="G4">
        <f>Lookup!G4</f>
        <v>3240</v>
      </c>
      <c r="H4">
        <f>Lookup!H4</f>
        <v>0</v>
      </c>
      <c r="I4">
        <f>Lookup!I4</f>
        <v>22591</v>
      </c>
      <c r="J4">
        <f>Lookup!J4</f>
        <v>9841</v>
      </c>
      <c r="K4">
        <f>Lookup!K4</f>
        <v>18765</v>
      </c>
      <c r="L4">
        <f>Lookup!L4</f>
        <v>33631</v>
      </c>
      <c r="M4">
        <f>Lookup!M4</f>
        <v>6189</v>
      </c>
      <c r="N4">
        <f>Lookup!N4</f>
        <v>70172</v>
      </c>
      <c r="O4">
        <f>Lookup!O4</f>
        <v>92763</v>
      </c>
      <c r="P4">
        <f>Lookup!P4</f>
        <v>19724</v>
      </c>
      <c r="Q4">
        <f>Lookup!Q4</f>
        <v>36377</v>
      </c>
      <c r="R4">
        <f>Lookup!R4</f>
        <v>7922</v>
      </c>
      <c r="S4">
        <f>Lookup!S4</f>
        <v>47213</v>
      </c>
      <c r="T4">
        <f>Lookup!T4</f>
        <v>66937</v>
      </c>
      <c r="U4">
        <f>Lookup!U4</f>
        <v>1760</v>
      </c>
      <c r="V4">
        <f>Lookup!V4</f>
        <v>71019</v>
      </c>
      <c r="W4">
        <f>Lookup!W4</f>
        <v>-14895</v>
      </c>
      <c r="X4">
        <f>Lookup!X4</f>
        <v>0</v>
      </c>
      <c r="Y4">
        <f>Lookup!Y4</f>
        <v>25826</v>
      </c>
      <c r="Z4">
        <f>Lookup!Z4</f>
        <v>92763</v>
      </c>
      <c r="AA4" t="str" cm="1">
        <f t="array" aca="1" ref="AA4" ca="1">MID(CELL("filename",D3),FIND("[",CELL("filename",D3))+1,FIND("]",CELL("filename",D3))-FIND("[",CELL("filename",D3))-1)</f>
        <v>KO_BAL-SH_YR.xlsx</v>
      </c>
      <c r="AB4" t="str">
        <f t="shared" ca="1" si="2"/>
        <v>KO_BAL-SH_YR-002</v>
      </c>
      <c r="AC4" s="15">
        <f t="shared" ca="1" si="1"/>
        <v>46088.851709953706</v>
      </c>
    </row>
    <row r="5" spans="1:29" x14ac:dyDescent="0.25">
      <c r="A5" t="str">
        <f>Lookup!A5</f>
        <v>KO</v>
      </c>
      <c r="B5" s="1">
        <f ca="1">Lookup!B5</f>
        <v>46088</v>
      </c>
      <c r="C5">
        <f>Lookup!C5</f>
        <v>2021</v>
      </c>
      <c r="D5">
        <f>Lookup!D5</f>
        <v>12625</v>
      </c>
      <c r="E5">
        <f>Lookup!E5</f>
        <v>3512</v>
      </c>
      <c r="F5">
        <f>Lookup!F5</f>
        <v>3414</v>
      </c>
      <c r="G5">
        <f>Lookup!G5</f>
        <v>2994</v>
      </c>
      <c r="H5">
        <f>Lookup!H5</f>
        <v>0</v>
      </c>
      <c r="I5">
        <f>Lookup!I5</f>
        <v>22545</v>
      </c>
      <c r="J5">
        <f>Lookup!J5</f>
        <v>9920</v>
      </c>
      <c r="K5">
        <f>Lookup!K5</f>
        <v>18416</v>
      </c>
      <c r="L5">
        <f>Lookup!L5</f>
        <v>34613</v>
      </c>
      <c r="M5">
        <f>Lookup!M5</f>
        <v>6731</v>
      </c>
      <c r="N5">
        <f>Lookup!N5</f>
        <v>71809</v>
      </c>
      <c r="O5">
        <f>Lookup!O5</f>
        <v>94354</v>
      </c>
      <c r="P5">
        <f>Lookup!P5</f>
        <v>19950</v>
      </c>
      <c r="Q5">
        <f>Lookup!Q5</f>
        <v>38116</v>
      </c>
      <c r="R5">
        <f>Lookup!R5</f>
        <v>8607</v>
      </c>
      <c r="S5">
        <f>Lookup!S5</f>
        <v>49544</v>
      </c>
      <c r="T5">
        <f>Lookup!T5</f>
        <v>69494</v>
      </c>
      <c r="U5">
        <f>Lookup!U5</f>
        <v>1760</v>
      </c>
      <c r="V5">
        <f>Lookup!V5</f>
        <v>69094</v>
      </c>
      <c r="W5">
        <f>Lookup!W5</f>
        <v>-14330</v>
      </c>
      <c r="X5">
        <f>Lookup!X5</f>
        <v>0</v>
      </c>
      <c r="Y5">
        <f>Lookup!Y5</f>
        <v>24860</v>
      </c>
      <c r="Z5">
        <f>Lookup!Z5</f>
        <v>94354</v>
      </c>
      <c r="AA5" t="str" cm="1">
        <f t="array" aca="1" ref="AA5" ca="1">MID(CELL("filename",D4),FIND("[",CELL("filename",D4))+1,FIND("]",CELL("filename",D4))-FIND("[",CELL("filename",D4))-1)</f>
        <v>KO_BAL-SH_YR.xlsx</v>
      </c>
      <c r="AB5" t="str">
        <f t="shared" ca="1" si="2"/>
        <v>KO_BAL-SH_YR-002</v>
      </c>
      <c r="AC5" s="15">
        <f t="shared" ca="1" si="1"/>
        <v>46088.851709953706</v>
      </c>
    </row>
    <row r="6" spans="1:29" x14ac:dyDescent="0.25">
      <c r="A6" t="str">
        <f>Lookup!A6</f>
        <v>KO</v>
      </c>
      <c r="B6" s="1">
        <f ca="1">Lookup!B6</f>
        <v>46088</v>
      </c>
      <c r="C6">
        <f>Lookup!C6</f>
        <v>2020</v>
      </c>
      <c r="D6">
        <f>Lookup!D6</f>
        <v>10914</v>
      </c>
      <c r="E6">
        <f>Lookup!E6</f>
        <v>3144</v>
      </c>
      <c r="F6">
        <f>Lookup!F6</f>
        <v>3266</v>
      </c>
      <c r="G6">
        <f>Lookup!G6</f>
        <v>1916</v>
      </c>
      <c r="H6">
        <f>Lookup!H6</f>
        <v>0</v>
      </c>
      <c r="I6">
        <f>Lookup!I6</f>
        <v>19240</v>
      </c>
      <c r="J6">
        <f>Lookup!J6</f>
        <v>10777</v>
      </c>
      <c r="K6">
        <f>Lookup!K6</f>
        <v>20085</v>
      </c>
      <c r="L6">
        <f>Lookup!L6</f>
        <v>28550</v>
      </c>
      <c r="M6">
        <f>Lookup!M6</f>
        <v>6184</v>
      </c>
      <c r="N6">
        <f>Lookup!N6</f>
        <v>68056</v>
      </c>
      <c r="O6">
        <f>Lookup!O6</f>
        <v>87296</v>
      </c>
      <c r="P6">
        <f>Lookup!P6</f>
        <v>14601</v>
      </c>
      <c r="Q6">
        <f>Lookup!Q6</f>
        <v>40125</v>
      </c>
      <c r="R6">
        <f>Lookup!R6</f>
        <v>9453</v>
      </c>
      <c r="S6">
        <f>Lookup!S6</f>
        <v>51411</v>
      </c>
      <c r="T6">
        <f>Lookup!T6</f>
        <v>66012</v>
      </c>
      <c r="U6">
        <f>Lookup!U6</f>
        <v>1760</v>
      </c>
      <c r="V6">
        <f>Lookup!V6</f>
        <v>66555</v>
      </c>
      <c r="W6">
        <f>Lookup!W6</f>
        <v>-14601</v>
      </c>
      <c r="X6">
        <f>Lookup!X6</f>
        <v>0</v>
      </c>
      <c r="Y6">
        <f>Lookup!Y6</f>
        <v>21284</v>
      </c>
      <c r="Z6">
        <f>Lookup!Z6</f>
        <v>87296</v>
      </c>
      <c r="AA6" t="str" cm="1">
        <f t="array" aca="1" ref="AA6" ca="1">MID(CELL("filename",D5),FIND("[",CELL("filename",D5))+1,FIND("]",CELL("filename",D5))-FIND("[",CELL("filename",D5))-1)</f>
        <v>KO_BAL-SH_YR.xlsx</v>
      </c>
      <c r="AB6" t="str">
        <f t="shared" ca="1" si="2"/>
        <v>KO_BAL-SH_YR-002</v>
      </c>
      <c r="AC6" s="15">
        <f t="shared" ca="1" si="1"/>
        <v>46088.851709953706</v>
      </c>
    </row>
    <row r="7" spans="1:29" x14ac:dyDescent="0.25">
      <c r="A7" t="str">
        <f>Lookup!A7</f>
        <v>KO</v>
      </c>
      <c r="B7" s="1">
        <f ca="1">Lookup!B7</f>
        <v>46088</v>
      </c>
      <c r="C7">
        <f>Lookup!C7</f>
        <v>2019</v>
      </c>
      <c r="D7">
        <f>Lookup!D7</f>
        <v>11175</v>
      </c>
      <c r="E7">
        <f>Lookup!E7</f>
        <v>3971</v>
      </c>
      <c r="F7">
        <f>Lookup!F7</f>
        <v>3379</v>
      </c>
      <c r="G7">
        <f>Lookup!G7</f>
        <v>1886</v>
      </c>
      <c r="H7">
        <f>Lookup!H7</f>
        <v>0</v>
      </c>
      <c r="I7">
        <f>Lookup!I7</f>
        <v>20411</v>
      </c>
      <c r="J7">
        <f>Lookup!J7</f>
        <v>10838</v>
      </c>
      <c r="K7">
        <f>Lookup!K7</f>
        <v>19879</v>
      </c>
      <c r="L7">
        <f>Lookup!L7</f>
        <v>26766</v>
      </c>
      <c r="M7">
        <f>Lookup!M7</f>
        <v>6075</v>
      </c>
      <c r="N7">
        <f>Lookup!N7</f>
        <v>65970</v>
      </c>
      <c r="O7">
        <f>Lookup!O7</f>
        <v>86381</v>
      </c>
      <c r="P7">
        <f>Lookup!P7</f>
        <v>26973</v>
      </c>
      <c r="Q7">
        <f>Lookup!Q7</f>
        <v>27516</v>
      </c>
      <c r="R7">
        <f>Lookup!R7</f>
        <v>8510</v>
      </c>
      <c r="S7">
        <f>Lookup!S7</f>
        <v>38310</v>
      </c>
      <c r="T7">
        <f>Lookup!T7</f>
        <v>65283</v>
      </c>
      <c r="U7">
        <f>Lookup!U7</f>
        <v>1760</v>
      </c>
      <c r="V7">
        <f>Lookup!V7</f>
        <v>65855</v>
      </c>
      <c r="W7">
        <f>Lookup!W7</f>
        <v>-13544</v>
      </c>
      <c r="X7">
        <f>Lookup!X7</f>
        <v>0</v>
      </c>
      <c r="Y7">
        <f>Lookup!Y7</f>
        <v>21098</v>
      </c>
      <c r="Z7">
        <f>Lookup!Z7</f>
        <v>86381</v>
      </c>
      <c r="AA7" t="str" cm="1">
        <f t="array" aca="1" ref="AA7" ca="1">MID(CELL("filename",D6),FIND("[",CELL("filename",D6))+1,FIND("]",CELL("filename",D6))-FIND("[",CELL("filename",D6))-1)</f>
        <v>KO_BAL-SH_YR.xlsx</v>
      </c>
      <c r="AB7" t="str">
        <f t="shared" ca="1" si="2"/>
        <v>KO_BAL-SH_YR-002</v>
      </c>
      <c r="AC7" s="15">
        <f t="shared" ca="1" si="1"/>
        <v>46088.851709953706</v>
      </c>
    </row>
    <row r="8" spans="1:29" x14ac:dyDescent="0.25">
      <c r="A8" t="str">
        <f>Lookup!A8</f>
        <v>KO</v>
      </c>
      <c r="B8" s="1">
        <f ca="1">Lookup!B8</f>
        <v>46088</v>
      </c>
      <c r="C8">
        <f>Lookup!C8</f>
        <v>2018</v>
      </c>
      <c r="D8">
        <f>Lookup!D8</f>
        <v>16115</v>
      </c>
      <c r="E8">
        <f>Lookup!E8</f>
        <v>3685</v>
      </c>
      <c r="F8">
        <f>Lookup!F8</f>
        <v>3071</v>
      </c>
      <c r="G8">
        <f>Lookup!G8</f>
        <v>2059</v>
      </c>
      <c r="H8">
        <f>Lookup!H8</f>
        <v>0</v>
      </c>
      <c r="I8">
        <f>Lookup!I8</f>
        <v>24930</v>
      </c>
      <c r="J8">
        <f>Lookup!J8</f>
        <v>9598</v>
      </c>
      <c r="K8">
        <f>Lookup!K8</f>
        <v>20279</v>
      </c>
      <c r="L8">
        <f>Lookup!L8</f>
        <v>21587</v>
      </c>
      <c r="M8">
        <f>Lookup!M8</f>
        <v>4148</v>
      </c>
      <c r="N8">
        <f>Lookup!N8</f>
        <v>58286</v>
      </c>
      <c r="O8">
        <f>Lookup!O8</f>
        <v>83216</v>
      </c>
      <c r="P8">
        <f>Lookup!P8</f>
        <v>28782</v>
      </c>
      <c r="Q8">
        <f>Lookup!Q8</f>
        <v>25376</v>
      </c>
      <c r="R8">
        <f>Lookup!R8</f>
        <v>7646</v>
      </c>
      <c r="S8">
        <f>Lookup!S8</f>
        <v>35376</v>
      </c>
      <c r="T8">
        <f>Lookup!T8</f>
        <v>64158</v>
      </c>
      <c r="U8">
        <f>Lookup!U8</f>
        <v>1760</v>
      </c>
      <c r="V8">
        <f>Lookup!V8</f>
        <v>63234</v>
      </c>
      <c r="W8">
        <f>Lookup!W8</f>
        <v>-12814</v>
      </c>
      <c r="X8">
        <f>Lookup!X8</f>
        <v>0</v>
      </c>
      <c r="Y8">
        <f>Lookup!Y8</f>
        <v>19058</v>
      </c>
      <c r="Z8">
        <f>Lookup!Z8</f>
        <v>83216</v>
      </c>
      <c r="AA8" t="str" cm="1">
        <f t="array" aca="1" ref="AA8" ca="1">MID(CELL("filename",D7),FIND("[",CELL("filename",D7))+1,FIND("]",CELL("filename",D7))-FIND("[",CELL("filename",D7))-1)</f>
        <v>KO_BAL-SH_YR.xlsx</v>
      </c>
      <c r="AB8" t="str">
        <f t="shared" ca="1" si="2"/>
        <v>KO_BAL-SH_YR-002</v>
      </c>
      <c r="AC8" s="15">
        <f t="shared" ca="1" si="1"/>
        <v>46088.851709953706</v>
      </c>
    </row>
    <row r="9" spans="1:29" x14ac:dyDescent="0.25">
      <c r="A9" t="str">
        <f>Lookup!A9</f>
        <v>KO</v>
      </c>
      <c r="B9" s="1">
        <f ca="1">Lookup!B9</f>
        <v>46088</v>
      </c>
      <c r="C9">
        <f>Lookup!C9</f>
        <v>2017</v>
      </c>
      <c r="D9">
        <f>Lookup!D9</f>
        <v>20675</v>
      </c>
      <c r="E9">
        <f>Lookup!E9</f>
        <v>3667</v>
      </c>
      <c r="F9">
        <f>Lookup!F9</f>
        <v>2655</v>
      </c>
      <c r="G9">
        <f>Lookup!G9</f>
        <v>2000</v>
      </c>
      <c r="H9">
        <f>Lookup!H9</f>
        <v>219</v>
      </c>
      <c r="I9">
        <f>Lookup!I9</f>
        <v>36545</v>
      </c>
      <c r="J9">
        <f>Lookup!J9</f>
        <v>8203</v>
      </c>
      <c r="K9">
        <f>Lookup!K9</f>
        <v>21952</v>
      </c>
      <c r="L9">
        <f>Lookup!L9</f>
        <v>16636</v>
      </c>
      <c r="M9">
        <f>Lookup!M9</f>
        <v>4230</v>
      </c>
      <c r="N9">
        <f>Lookup!N9</f>
        <v>51351</v>
      </c>
      <c r="O9">
        <f>Lookup!O9</f>
        <v>87896</v>
      </c>
      <c r="P9">
        <f>Lookup!P9</f>
        <v>27194</v>
      </c>
      <c r="Q9">
        <f>Lookup!Q9</f>
        <v>31182</v>
      </c>
      <c r="R9">
        <f>Lookup!R9</f>
        <v>8021</v>
      </c>
      <c r="S9">
        <f>Lookup!S9</f>
        <v>41725</v>
      </c>
      <c r="T9">
        <f>Lookup!T9</f>
        <v>68919</v>
      </c>
      <c r="U9">
        <f>Lookup!U9</f>
        <v>1760</v>
      </c>
      <c r="V9">
        <f>Lookup!V9</f>
        <v>60430</v>
      </c>
      <c r="W9">
        <f>Lookup!W9</f>
        <v>-10305</v>
      </c>
      <c r="X9">
        <f>Lookup!X9</f>
        <v>0</v>
      </c>
      <c r="Y9">
        <f>Lookup!Y9</f>
        <v>18977</v>
      </c>
      <c r="Z9">
        <f>Lookup!Z9</f>
        <v>87896</v>
      </c>
      <c r="AA9" t="str" cm="1">
        <f t="array" aca="1" ref="AA9" ca="1">MID(CELL("filename",D8),FIND("[",CELL("filename",D8))+1,FIND("]",CELL("filename",D8))-FIND("[",CELL("filename",D8))-1)</f>
        <v>KO_BAL-SH_YR.xlsx</v>
      </c>
      <c r="AB9" t="str">
        <f t="shared" ca="1" si="2"/>
        <v>KO_BAL-SH_YR-002</v>
      </c>
      <c r="AC9" s="15">
        <f t="shared" ca="1" si="1"/>
        <v>46088.851709953706</v>
      </c>
    </row>
    <row r="10" spans="1:29" x14ac:dyDescent="0.25">
      <c r="A10" t="str">
        <f>Lookup!A10</f>
        <v>KO</v>
      </c>
      <c r="B10" s="1">
        <f ca="1">Lookup!B10</f>
        <v>46088</v>
      </c>
      <c r="C10">
        <f>Lookup!C10</f>
        <v>2016</v>
      </c>
      <c r="D10">
        <f>Lookup!D10</f>
        <v>22201</v>
      </c>
      <c r="E10">
        <f>Lookup!E10</f>
        <v>3856</v>
      </c>
      <c r="F10">
        <f>Lookup!F10</f>
        <v>2675</v>
      </c>
      <c r="G10">
        <f>Lookup!G10</f>
        <v>2481</v>
      </c>
      <c r="H10">
        <f>Lookup!H10</f>
        <v>2797</v>
      </c>
      <c r="I10">
        <f>Lookup!I10</f>
        <v>34010</v>
      </c>
      <c r="J10">
        <f>Lookup!J10</f>
        <v>10635</v>
      </c>
      <c r="K10">
        <f>Lookup!K10</f>
        <v>17249</v>
      </c>
      <c r="L10">
        <f>Lookup!L10</f>
        <v>21128</v>
      </c>
      <c r="M10">
        <f>Lookup!M10</f>
        <v>4248</v>
      </c>
      <c r="N10">
        <f>Lookup!N10</f>
        <v>53260</v>
      </c>
      <c r="O10">
        <f>Lookup!O10</f>
        <v>87270</v>
      </c>
      <c r="P10">
        <f>Lookup!P10</f>
        <v>26532</v>
      </c>
      <c r="Q10">
        <f>Lookup!Q10</f>
        <v>29684</v>
      </c>
      <c r="R10">
        <f>Lookup!R10</f>
        <v>4081</v>
      </c>
      <c r="S10">
        <f>Lookup!S10</f>
        <v>37518</v>
      </c>
      <c r="T10">
        <f>Lookup!T10</f>
        <v>64050</v>
      </c>
      <c r="U10">
        <f>Lookup!U10</f>
        <v>1760</v>
      </c>
      <c r="V10">
        <f>Lookup!V10</f>
        <v>65502</v>
      </c>
      <c r="W10">
        <f>Lookup!W10</f>
        <v>-11205</v>
      </c>
      <c r="X10">
        <f>Lookup!X10</f>
        <v>0</v>
      </c>
      <c r="Y10">
        <f>Lookup!Y10</f>
        <v>23220</v>
      </c>
      <c r="Z10">
        <f>Lookup!Z10</f>
        <v>87270</v>
      </c>
      <c r="AA10" t="str" cm="1">
        <f t="array" aca="1" ref="AA10" ca="1">MID(CELL("filename",D9),FIND("[",CELL("filename",D9))+1,FIND("]",CELL("filename",D9))-FIND("[",CELL("filename",D9))-1)</f>
        <v>KO_BAL-SH_YR.xlsx</v>
      </c>
      <c r="AB10" t="str">
        <f t="shared" ca="1" si="2"/>
        <v>KO_BAL-SH_YR-002</v>
      </c>
      <c r="AC10" s="15">
        <f t="shared" ca="1" si="1"/>
        <v>46088.851709953706</v>
      </c>
    </row>
    <row r="11" spans="1:29" x14ac:dyDescent="0.25">
      <c r="A11" t="str">
        <f>Lookup!A11</f>
        <v>KO</v>
      </c>
      <c r="B11" s="1">
        <f ca="1">Lookup!B11</f>
        <v>46088</v>
      </c>
      <c r="C11">
        <f>Lookup!C11</f>
        <v>2015</v>
      </c>
      <c r="D11">
        <f>Lookup!D11</f>
        <v>19900</v>
      </c>
      <c r="E11">
        <f>Lookup!E11</f>
        <v>3941</v>
      </c>
      <c r="F11">
        <f>Lookup!F11</f>
        <v>2902</v>
      </c>
      <c r="G11">
        <f>Lookup!G11</f>
        <v>2752</v>
      </c>
      <c r="H11">
        <f>Lookup!H11</f>
        <v>3900</v>
      </c>
      <c r="I11">
        <f>Lookup!I11</f>
        <v>33395</v>
      </c>
      <c r="J11">
        <f>Lookup!J11</f>
        <v>12571</v>
      </c>
      <c r="K11">
        <f>Lookup!K11</f>
        <v>15788</v>
      </c>
      <c r="L11">
        <f>Lookup!L11</f>
        <v>24132</v>
      </c>
      <c r="M11">
        <f>Lookup!M11</f>
        <v>4110</v>
      </c>
      <c r="N11">
        <f>Lookup!N11</f>
        <v>56601</v>
      </c>
      <c r="O11">
        <f>Lookup!O11</f>
        <v>89996</v>
      </c>
      <c r="P11">
        <f>Lookup!P11</f>
        <v>26929</v>
      </c>
      <c r="Q11">
        <f>Lookup!Q11</f>
        <v>28311</v>
      </c>
      <c r="R11">
        <f>Lookup!R11</f>
        <v>4301</v>
      </c>
      <c r="S11">
        <f>Lookup!S11</f>
        <v>37303</v>
      </c>
      <c r="T11">
        <f>Lookup!T11</f>
        <v>64232</v>
      </c>
      <c r="U11">
        <f>Lookup!U11</f>
        <v>1760</v>
      </c>
      <c r="V11">
        <f>Lookup!V11</f>
        <v>65018</v>
      </c>
      <c r="W11">
        <f>Lookup!W11</f>
        <v>-10174</v>
      </c>
      <c r="X11">
        <f>Lookup!X11</f>
        <v>0</v>
      </c>
      <c r="Y11">
        <f>Lookup!Y11</f>
        <v>25764</v>
      </c>
      <c r="Z11">
        <f>Lookup!Z11</f>
        <v>89996</v>
      </c>
      <c r="AA11" t="str" cm="1">
        <f t="array" aca="1" ref="AA11" ca="1">MID(CELL("filename",D10),FIND("[",CELL("filename",D10))+1,FIND("]",CELL("filename",D10))-FIND("[",CELL("filename",D10))-1)</f>
        <v>KO_BAL-SH_YR.xlsx</v>
      </c>
      <c r="AB11" t="str">
        <f t="shared" ca="1" si="2"/>
        <v>KO_BAL-SH_YR-002</v>
      </c>
      <c r="AC11" s="15">
        <f t="shared" ca="1" si="1"/>
        <v>46088.851709953706</v>
      </c>
    </row>
    <row r="12" spans="1:29" x14ac:dyDescent="0.25">
      <c r="A12" t="str">
        <f>Lookup!A12</f>
        <v>KO</v>
      </c>
      <c r="B12" s="1">
        <f ca="1">Lookup!B12</f>
        <v>46088</v>
      </c>
      <c r="C12">
        <f>Lookup!C12</f>
        <v>2014</v>
      </c>
      <c r="D12">
        <f>Lookup!D12</f>
        <v>21675</v>
      </c>
      <c r="E12">
        <f>Lookup!E12</f>
        <v>4466</v>
      </c>
      <c r="F12">
        <f>Lookup!F12</f>
        <v>3100</v>
      </c>
      <c r="G12">
        <f>Lookup!G12</f>
        <v>3066</v>
      </c>
      <c r="H12">
        <f>Lookup!H12</f>
        <v>679</v>
      </c>
      <c r="I12">
        <f>Lookup!I12</f>
        <v>32986</v>
      </c>
      <c r="J12">
        <f>Lookup!J12</f>
        <v>14633</v>
      </c>
      <c r="K12">
        <f>Lookup!K12</f>
        <v>13625</v>
      </c>
      <c r="L12">
        <f>Lookup!L12</f>
        <v>26372</v>
      </c>
      <c r="M12">
        <f>Lookup!M12</f>
        <v>4407</v>
      </c>
      <c r="N12">
        <f>Lookup!N12</f>
        <v>59037</v>
      </c>
      <c r="O12">
        <f>Lookup!O12</f>
        <v>92023</v>
      </c>
      <c r="P12">
        <f>Lookup!P12</f>
        <v>32374</v>
      </c>
      <c r="Q12">
        <f>Lookup!Q12</f>
        <v>19063</v>
      </c>
      <c r="R12">
        <f>Lookup!R12</f>
        <v>4389</v>
      </c>
      <c r="S12">
        <f>Lookup!S12</f>
        <v>29088</v>
      </c>
      <c r="T12">
        <f>Lookup!T12</f>
        <v>61462</v>
      </c>
      <c r="U12">
        <f>Lookup!U12</f>
        <v>1760</v>
      </c>
      <c r="V12">
        <f>Lookup!V12</f>
        <v>63408</v>
      </c>
      <c r="W12">
        <f>Lookup!W12</f>
        <v>-5777</v>
      </c>
      <c r="X12">
        <f>Lookup!X12</f>
        <v>0</v>
      </c>
      <c r="Y12">
        <f>Lookup!Y12</f>
        <v>30561</v>
      </c>
      <c r="Z12">
        <f>Lookup!Z12</f>
        <v>92023</v>
      </c>
      <c r="AA12" t="str" cm="1">
        <f t="array" aca="1" ref="AA12" ca="1">MID(CELL("filename",D11),FIND("[",CELL("filename",D11))+1,FIND("]",CELL("filename",D11))-FIND("[",CELL("filename",D11))-1)</f>
        <v>KO_BAL-SH_YR.xlsx</v>
      </c>
      <c r="AB12" t="str">
        <f t="shared" ca="1" si="2"/>
        <v>KO_BAL-SH_YR-002</v>
      </c>
      <c r="AC12" s="15">
        <f t="shared" ca="1" si="1"/>
        <v>46088.851709953706</v>
      </c>
    </row>
    <row r="13" spans="1:29" x14ac:dyDescent="0.25">
      <c r="A13" t="str">
        <f>Lookup!A13</f>
        <v>KO</v>
      </c>
      <c r="B13" s="1">
        <f ca="1">Lookup!B13</f>
        <v>46088</v>
      </c>
      <c r="C13">
        <f>Lookup!C13</f>
        <v>2013</v>
      </c>
      <c r="D13">
        <f>Lookup!D13</f>
        <v>20268</v>
      </c>
      <c r="E13">
        <f>Lookup!E13</f>
        <v>4873</v>
      </c>
      <c r="F13">
        <f>Lookup!F13</f>
        <v>3277</v>
      </c>
      <c r="G13">
        <f>Lookup!G13</f>
        <v>2886</v>
      </c>
      <c r="H13">
        <f>Lookup!H13</f>
        <v>0</v>
      </c>
      <c r="I13">
        <f>Lookup!I13</f>
        <v>31304</v>
      </c>
      <c r="J13">
        <f>Lookup!J13</f>
        <v>14967</v>
      </c>
      <c r="K13">
        <f>Lookup!K13</f>
        <v>11512</v>
      </c>
      <c r="L13">
        <f>Lookup!L13</f>
        <v>27611</v>
      </c>
      <c r="M13">
        <f>Lookup!M13</f>
        <v>4661</v>
      </c>
      <c r="N13">
        <f>Lookup!N13</f>
        <v>58751</v>
      </c>
      <c r="O13">
        <f>Lookup!O13</f>
        <v>90055</v>
      </c>
      <c r="P13">
        <f>Lookup!P13</f>
        <v>27811</v>
      </c>
      <c r="Q13">
        <f>Lookup!Q13</f>
        <v>19154</v>
      </c>
      <c r="R13">
        <f>Lookup!R13</f>
        <v>3498</v>
      </c>
      <c r="S13">
        <f>Lookup!S13</f>
        <v>28804</v>
      </c>
      <c r="T13">
        <f>Lookup!T13</f>
        <v>56615</v>
      </c>
      <c r="U13">
        <f>Lookup!U13</f>
        <v>1760</v>
      </c>
      <c r="V13">
        <f>Lookup!V13</f>
        <v>61660</v>
      </c>
      <c r="W13">
        <f>Lookup!W13</f>
        <v>-3432</v>
      </c>
      <c r="X13">
        <f>Lookup!X13</f>
        <v>0</v>
      </c>
      <c r="Y13">
        <f>Lookup!Y13</f>
        <v>33440</v>
      </c>
      <c r="Z13">
        <f>Lookup!Z13</f>
        <v>90055</v>
      </c>
      <c r="AA13" t="str" cm="1">
        <f t="array" aca="1" ref="AA13" ca="1">MID(CELL("filename",D12),FIND("[",CELL("filename",D12))+1,FIND("]",CELL("filename",D12))-FIND("[",CELL("filename",D12))-1)</f>
        <v>KO_BAL-SH_YR.xlsx</v>
      </c>
      <c r="AB13" t="str">
        <f t="shared" ca="1" si="2"/>
        <v>KO_BAL-SH_YR-002</v>
      </c>
      <c r="AC13" s="15">
        <f t="shared" ca="1" si="1"/>
        <v>46088.851709953706</v>
      </c>
    </row>
    <row r="14" spans="1:29" x14ac:dyDescent="0.25">
      <c r="A14" t="str">
        <f>Lookup!A14</f>
        <v>KO</v>
      </c>
      <c r="B14" s="1">
        <f ca="1">Lookup!B14</f>
        <v>46088</v>
      </c>
      <c r="C14">
        <f>Lookup!C14</f>
        <v>2012</v>
      </c>
      <c r="D14">
        <f>Lookup!D14</f>
        <v>16551</v>
      </c>
      <c r="E14">
        <f>Lookup!E14</f>
        <v>4759</v>
      </c>
      <c r="F14">
        <f>Lookup!F14</f>
        <v>3264</v>
      </c>
      <c r="G14">
        <f>Lookup!G14</f>
        <v>2781</v>
      </c>
      <c r="H14">
        <f>Lookup!H14</f>
        <v>2973</v>
      </c>
      <c r="I14">
        <f>Lookup!I14</f>
        <v>30328</v>
      </c>
      <c r="J14">
        <f>Lookup!J14</f>
        <v>14476</v>
      </c>
      <c r="K14">
        <f>Lookup!K14</f>
        <v>10448</v>
      </c>
      <c r="L14">
        <f>Lookup!L14</f>
        <v>27337</v>
      </c>
      <c r="M14">
        <f>Lookup!M14</f>
        <v>3585</v>
      </c>
      <c r="N14">
        <f>Lookup!N14</f>
        <v>55846</v>
      </c>
      <c r="O14">
        <f>Lookup!O14</f>
        <v>86174</v>
      </c>
      <c r="P14">
        <f>Lookup!P14</f>
        <v>27821</v>
      </c>
      <c r="Q14">
        <f>Lookup!Q14</f>
        <v>14736</v>
      </c>
      <c r="R14">
        <f>Lookup!R14</f>
        <v>5468</v>
      </c>
      <c r="S14">
        <f>Lookup!S14</f>
        <v>25185</v>
      </c>
      <c r="T14">
        <f>Lookup!T14</f>
        <v>53006</v>
      </c>
      <c r="U14">
        <f>Lookup!U14</f>
        <v>1760</v>
      </c>
      <c r="V14">
        <f>Lookup!V14</f>
        <v>58045</v>
      </c>
      <c r="W14">
        <f>Lookup!W14</f>
        <v>-3385</v>
      </c>
      <c r="X14">
        <f>Lookup!X14</f>
        <v>0</v>
      </c>
      <c r="Y14">
        <f>Lookup!Y14</f>
        <v>33168</v>
      </c>
      <c r="Z14">
        <f>Lookup!Z14</f>
        <v>86174</v>
      </c>
      <c r="AA14" t="str" cm="1">
        <f t="array" aca="1" ref="AA14" ca="1">MID(CELL("filename",D13),FIND("[",CELL("filename",D13))+1,FIND("]",CELL("filename",D13))-FIND("[",CELL("filename",D13))-1)</f>
        <v>KO_BAL-SH_YR.xlsx</v>
      </c>
      <c r="AB14" t="str">
        <f t="shared" ca="1" si="2"/>
        <v>KO_BAL-SH_YR-002</v>
      </c>
      <c r="AC14" s="15">
        <f t="shared" ca="1" si="1"/>
        <v>46088.851709953706</v>
      </c>
    </row>
    <row r="15" spans="1:29" x14ac:dyDescent="0.25">
      <c r="A15" t="str">
        <f>Lookup!A15</f>
        <v>KO</v>
      </c>
      <c r="B15" s="1">
        <f ca="1">Lookup!B15</f>
        <v>46088</v>
      </c>
      <c r="C15">
        <f>Lookup!C15</f>
        <v>2011</v>
      </c>
      <c r="D15">
        <f>Lookup!D15</f>
        <v>14035</v>
      </c>
      <c r="E15">
        <f>Lookup!E15</f>
        <v>4920</v>
      </c>
      <c r="F15">
        <f>Lookup!F15</f>
        <v>3092</v>
      </c>
      <c r="G15">
        <f>Lookup!G15</f>
        <v>3450</v>
      </c>
      <c r="H15">
        <f>Lookup!H15</f>
        <v>0</v>
      </c>
      <c r="I15">
        <f>Lookup!I15</f>
        <v>25497</v>
      </c>
      <c r="J15">
        <f>Lookup!J15</f>
        <v>14939</v>
      </c>
      <c r="K15">
        <f>Lookup!K15</f>
        <v>8374</v>
      </c>
      <c r="L15">
        <f>Lookup!L15</f>
        <v>27669</v>
      </c>
      <c r="M15">
        <f>Lookup!M15</f>
        <v>3495</v>
      </c>
      <c r="N15">
        <f>Lookup!N15</f>
        <v>54477</v>
      </c>
      <c r="O15">
        <f>Lookup!O15</f>
        <v>79974</v>
      </c>
      <c r="P15">
        <f>Lookup!P15</f>
        <v>24283</v>
      </c>
      <c r="Q15">
        <f>Lookup!Q15</f>
        <v>13656</v>
      </c>
      <c r="R15">
        <f>Lookup!R15</f>
        <v>5420</v>
      </c>
      <c r="S15">
        <f>Lookup!S15</f>
        <v>23770</v>
      </c>
      <c r="T15">
        <f>Lookup!T15</f>
        <v>48053</v>
      </c>
      <c r="U15">
        <f>Lookup!U15</f>
        <v>1760</v>
      </c>
      <c r="V15">
        <f>Lookup!V15</f>
        <v>53621</v>
      </c>
      <c r="W15">
        <f>Lookup!W15</f>
        <v>-2774</v>
      </c>
      <c r="X15">
        <f>Lookup!X15</f>
        <v>0</v>
      </c>
      <c r="Y15">
        <f>Lookup!Y15</f>
        <v>31921</v>
      </c>
      <c r="Z15">
        <f>Lookup!Z15</f>
        <v>79974</v>
      </c>
      <c r="AA15" t="str" cm="1">
        <f t="array" aca="1" ref="AA15" ca="1">MID(CELL("filename",D14),FIND("[",CELL("filename",D14))+1,FIND("]",CELL("filename",D14))-FIND("[",CELL("filename",D14))-1)</f>
        <v>KO_BAL-SH_YR.xlsx</v>
      </c>
      <c r="AB15" t="str">
        <f t="shared" ca="1" si="2"/>
        <v>KO_BAL-SH_YR-002</v>
      </c>
      <c r="AC15" s="15">
        <f t="shared" ca="1" si="1"/>
        <v>46088.851709953706</v>
      </c>
    </row>
    <row r="16" spans="1:29" x14ac:dyDescent="0.25">
      <c r="A16" t="str">
        <f>Lookup!A16</f>
        <v>KO</v>
      </c>
      <c r="B16" s="1">
        <f ca="1">Lookup!B16</f>
        <v>46088</v>
      </c>
      <c r="C16">
        <f>Lookup!C16</f>
        <v>2010</v>
      </c>
      <c r="D16">
        <f>Lookup!D16</f>
        <v>11337</v>
      </c>
      <c r="E16">
        <f>Lookup!E16</f>
        <v>4430</v>
      </c>
      <c r="F16">
        <f>Lookup!F16</f>
        <v>2650</v>
      </c>
      <c r="G16">
        <f>Lookup!G16</f>
        <v>3162</v>
      </c>
      <c r="H16">
        <f>Lookup!H16</f>
        <v>0</v>
      </c>
      <c r="I16">
        <f>Lookup!I16</f>
        <v>21579</v>
      </c>
      <c r="J16">
        <f>Lookup!J16</f>
        <v>14727</v>
      </c>
      <c r="K16">
        <f>Lookup!K16</f>
        <v>15096</v>
      </c>
      <c r="L16">
        <f>Lookup!L16</f>
        <v>2.3652000000000002</v>
      </c>
      <c r="M16">
        <f>Lookup!M16</f>
        <v>2121</v>
      </c>
      <c r="N16">
        <f>Lookup!N16</f>
        <v>31946.37</v>
      </c>
      <c r="O16">
        <f>Lookup!O16</f>
        <v>72921</v>
      </c>
      <c r="P16">
        <f>Lookup!P16</f>
        <v>18508</v>
      </c>
      <c r="Q16">
        <f>Lookup!Q16</f>
        <v>3.1221000000000001</v>
      </c>
      <c r="R16">
        <f>Lookup!R16</f>
        <v>4794</v>
      </c>
      <c r="S16">
        <f>Lookup!S16</f>
        <v>9058.1219999999994</v>
      </c>
      <c r="T16">
        <f>Lookup!T16</f>
        <v>41604</v>
      </c>
      <c r="U16">
        <f>Lookup!U16</f>
        <v>880</v>
      </c>
      <c r="V16">
        <f>Lookup!V16</f>
        <v>49278</v>
      </c>
      <c r="W16">
        <f>Lookup!W16</f>
        <v>-0.247</v>
      </c>
      <c r="X16">
        <f>Lookup!X16</f>
        <v>0</v>
      </c>
      <c r="Y16">
        <f>Lookup!Y16</f>
        <v>31317</v>
      </c>
      <c r="Z16">
        <f>Lookup!Z16</f>
        <v>72921</v>
      </c>
      <c r="AA16" t="str" cm="1">
        <f t="array" aca="1" ref="AA16" ca="1">MID(CELL("filename",D15),FIND("[",CELL("filename",D15))+1,FIND("]",CELL("filename",D15))-FIND("[",CELL("filename",D15))-1)</f>
        <v>KO_BAL-SH_YR.xlsx</v>
      </c>
      <c r="AB16" t="str">
        <f t="shared" ca="1" si="2"/>
        <v>KO_BAL-SH_YR-002</v>
      </c>
      <c r="AC16" s="15">
        <f t="shared" ca="1" si="1"/>
        <v>46088.851709953706</v>
      </c>
    </row>
    <row r="17" spans="1:29" x14ac:dyDescent="0.25">
      <c r="A17" t="str">
        <f>Lookup!A17</f>
        <v>KO</v>
      </c>
      <c r="B17" s="1">
        <f ca="1">Lookup!B17</f>
        <v>46088</v>
      </c>
      <c r="C17">
        <f>Lookup!C17</f>
        <v>2009</v>
      </c>
      <c r="D17">
        <f>Lookup!D17</f>
        <v>9213</v>
      </c>
      <c r="E17">
        <f>Lookup!E17</f>
        <v>3758</v>
      </c>
      <c r="F17">
        <f>Lookup!F17</f>
        <v>2354</v>
      </c>
      <c r="G17">
        <f>Lookup!G17</f>
        <v>2226</v>
      </c>
      <c r="H17">
        <f>Lookup!H17</f>
        <v>0</v>
      </c>
      <c r="I17">
        <f>Lookup!I17</f>
        <v>17551</v>
      </c>
      <c r="J17">
        <f>Lookup!J17</f>
        <v>9561</v>
      </c>
      <c r="K17">
        <f>Lookup!K17</f>
        <v>8708</v>
      </c>
      <c r="L17">
        <f>Lookup!L17</f>
        <v>10875</v>
      </c>
      <c r="M17">
        <f>Lookup!M17</f>
        <v>1976</v>
      </c>
      <c r="N17">
        <f>Lookup!N17</f>
        <v>31120</v>
      </c>
      <c r="O17">
        <f>Lookup!O17</f>
        <v>48671</v>
      </c>
      <c r="P17">
        <f>Lookup!P17</f>
        <v>13721</v>
      </c>
      <c r="Q17">
        <f>Lookup!Q17</f>
        <v>5059</v>
      </c>
      <c r="R17">
        <f>Lookup!R17</f>
        <v>2965</v>
      </c>
      <c r="S17">
        <f>Lookup!S17</f>
        <v>9604</v>
      </c>
      <c r="T17">
        <f>Lookup!T17</f>
        <v>23325</v>
      </c>
      <c r="U17">
        <f>Lookup!U17</f>
        <v>880</v>
      </c>
      <c r="V17">
        <f>Lookup!V17</f>
        <v>41537</v>
      </c>
      <c r="W17">
        <f>Lookup!W17</f>
        <v>-757</v>
      </c>
      <c r="X17">
        <f>Lookup!X17</f>
        <v>0</v>
      </c>
      <c r="Y17">
        <f>Lookup!Y17</f>
        <v>25346</v>
      </c>
      <c r="Z17">
        <f>Lookup!Z17</f>
        <v>48671</v>
      </c>
      <c r="AA17" t="str" cm="1">
        <f t="array" aca="1" ref="AA17" ca="1">MID(CELL("filename",D16),FIND("[",CELL("filename",D16))+1,FIND("]",CELL("filename",D16))-FIND("[",CELL("filename",D16))-1)</f>
        <v>KO_BAL-SH_YR.xlsx</v>
      </c>
      <c r="AB17" t="str">
        <f t="shared" ca="1" si="2"/>
        <v>KO_BAL-SH_YR-002</v>
      </c>
      <c r="AC17" s="15">
        <f t="shared" ca="1" si="1"/>
        <v>46088.851709953706</v>
      </c>
    </row>
    <row r="18" spans="1:29" x14ac:dyDescent="0.25">
      <c r="A18" t="str">
        <f>Lookup!A18</f>
        <v>KO</v>
      </c>
      <c r="B18" s="1">
        <f ca="1">Lookup!B18</f>
        <v>46088</v>
      </c>
      <c r="C18">
        <f>Lookup!C18</f>
        <v>2008</v>
      </c>
      <c r="D18">
        <f>Lookup!D18</f>
        <v>4979</v>
      </c>
      <c r="E18">
        <f>Lookup!E18</f>
        <v>3090</v>
      </c>
      <c r="F18">
        <f>Lookup!F18</f>
        <v>2187</v>
      </c>
      <c r="G18">
        <f>Lookup!G18</f>
        <v>1920</v>
      </c>
      <c r="H18">
        <f>Lookup!H18</f>
        <v>0</v>
      </c>
      <c r="I18">
        <f>Lookup!I18</f>
        <v>12176</v>
      </c>
      <c r="J18">
        <f>Lookup!J18</f>
        <v>8326</v>
      </c>
      <c r="K18">
        <f>Lookup!K18</f>
        <v>5779</v>
      </c>
      <c r="L18">
        <f>Lookup!L18</f>
        <v>12505</v>
      </c>
      <c r="M18">
        <f>Lookup!M18</f>
        <v>1733</v>
      </c>
      <c r="N18">
        <f>Lookup!N18</f>
        <v>28343</v>
      </c>
      <c r="O18">
        <f>Lookup!O18</f>
        <v>40519</v>
      </c>
      <c r="P18">
        <f>Lookup!P18</f>
        <v>12988</v>
      </c>
      <c r="Q18">
        <f>Lookup!Q18</f>
        <v>2781</v>
      </c>
      <c r="R18">
        <f>Lookup!R18</f>
        <v>3011</v>
      </c>
      <c r="S18">
        <f>Lookup!S18</f>
        <v>6669</v>
      </c>
      <c r="T18">
        <f>Lookup!T18</f>
        <v>19657</v>
      </c>
      <c r="U18">
        <f>Lookup!U18</f>
        <v>880</v>
      </c>
      <c r="V18">
        <f>Lookup!V18</f>
        <v>38513</v>
      </c>
      <c r="W18">
        <f>Lookup!W18</f>
        <v>-2674</v>
      </c>
      <c r="X18">
        <f>Lookup!X18</f>
        <v>0</v>
      </c>
      <c r="Y18">
        <f>Lookup!Y18</f>
        <v>20862</v>
      </c>
      <c r="Z18">
        <f>Lookup!Z18</f>
        <v>40519</v>
      </c>
      <c r="AA18" t="str" cm="1">
        <f t="array" aca="1" ref="AA18" ca="1">MID(CELL("filename",D17),FIND("[",CELL("filename",D17))+1,FIND("]",CELL("filename",D17))-FIND("[",CELL("filename",D17))-1)</f>
        <v>KO_BAL-SH_YR.xlsx</v>
      </c>
      <c r="AB18" t="str">
        <f t="shared" ca="1" si="2"/>
        <v>KO_BAL-SH_YR-002</v>
      </c>
      <c r="AC18" s="15">
        <f t="shared" ca="1" si="1"/>
        <v>46088.851709953706</v>
      </c>
    </row>
    <row r="19" spans="1:29" x14ac:dyDescent="0.25">
      <c r="A19" t="str">
        <f>Lookup!A19</f>
        <v>KO</v>
      </c>
      <c r="B19" s="1">
        <f ca="1">Lookup!B19</f>
        <v>46088</v>
      </c>
      <c r="C19">
        <f>Lookup!C19</f>
        <v>2007</v>
      </c>
      <c r="D19">
        <f>Lookup!D19</f>
        <v>4308</v>
      </c>
      <c r="E19">
        <f>Lookup!E19</f>
        <v>3317</v>
      </c>
      <c r="F19">
        <f>Lookup!F19</f>
        <v>2220</v>
      </c>
      <c r="G19">
        <f>Lookup!G19</f>
        <v>2260</v>
      </c>
      <c r="H19">
        <f>Lookup!H19</f>
        <v>0</v>
      </c>
      <c r="I19">
        <f>Lookup!I19</f>
        <v>12105</v>
      </c>
      <c r="J19">
        <f>Lookup!J19</f>
        <v>8493</v>
      </c>
      <c r="K19">
        <f>Lookup!K19</f>
        <v>7777</v>
      </c>
      <c r="L19">
        <f>Lookup!L19</f>
        <v>12219</v>
      </c>
      <c r="M19">
        <f>Lookup!M19</f>
        <v>2675</v>
      </c>
      <c r="N19">
        <f>Lookup!N19</f>
        <v>31164</v>
      </c>
      <c r="O19">
        <f>Lookup!O19</f>
        <v>43269</v>
      </c>
      <c r="P19">
        <f>Lookup!P19</f>
        <v>13225</v>
      </c>
      <c r="Q19">
        <f>Lookup!Q19</f>
        <v>3277</v>
      </c>
      <c r="R19">
        <f>Lookup!R19</f>
        <v>3133</v>
      </c>
      <c r="S19">
        <f>Lookup!S19</f>
        <v>8300</v>
      </c>
      <c r="T19">
        <f>Lookup!T19</f>
        <v>21525</v>
      </c>
      <c r="U19">
        <f>Lookup!U19</f>
        <v>880</v>
      </c>
      <c r="V19">
        <f>Lookup!V19</f>
        <v>36235</v>
      </c>
      <c r="W19">
        <f>Lookup!W19</f>
        <v>626</v>
      </c>
      <c r="X19">
        <f>Lookup!X19</f>
        <v>0</v>
      </c>
      <c r="Y19">
        <f>Lookup!Y19</f>
        <v>21744</v>
      </c>
      <c r="Z19">
        <f>Lookup!Z19</f>
        <v>43269</v>
      </c>
      <c r="AA19" t="str" cm="1">
        <f t="array" aca="1" ref="AA19" ca="1">MID(CELL("filename",D18),FIND("[",CELL("filename",D18))+1,FIND("]",CELL("filename",D18))-FIND("[",CELL("filename",D18))-1)</f>
        <v>KO_BAL-SH_YR.xlsx</v>
      </c>
      <c r="AB19" t="str">
        <f t="shared" ca="1" si="2"/>
        <v>KO_BAL-SH_YR-002</v>
      </c>
      <c r="AC19" s="15">
        <f t="shared" ca="1" si="1"/>
        <v>46088.851709953706</v>
      </c>
    </row>
    <row r="20" spans="1:29" x14ac:dyDescent="0.25">
      <c r="A20" t="str">
        <f>Lookup!A20</f>
        <v>KO</v>
      </c>
      <c r="B20" s="1">
        <f ca="1">Lookup!B20</f>
        <v>46088</v>
      </c>
      <c r="C20">
        <f>Lookup!C20</f>
        <v>2006</v>
      </c>
      <c r="D20">
        <f>Lookup!D20</f>
        <v>2590</v>
      </c>
      <c r="E20">
        <f>Lookup!E20</f>
        <v>2587</v>
      </c>
      <c r="F20">
        <f>Lookup!F20</f>
        <v>1641</v>
      </c>
      <c r="G20">
        <f>Lookup!G20</f>
        <v>1623</v>
      </c>
      <c r="H20">
        <f>Lookup!H20</f>
        <v>0</v>
      </c>
      <c r="I20">
        <f>Lookup!I20</f>
        <v>8441</v>
      </c>
      <c r="J20">
        <f>Lookup!J20</f>
        <v>6903</v>
      </c>
      <c r="K20">
        <f>Lookup!K20</f>
        <v>6783</v>
      </c>
      <c r="L20">
        <f>Lookup!L20</f>
        <v>5135</v>
      </c>
      <c r="M20">
        <f>Lookup!M20</f>
        <v>2701</v>
      </c>
      <c r="N20">
        <f>Lookup!N20</f>
        <v>21522</v>
      </c>
      <c r="O20">
        <f>Lookup!O20</f>
        <v>29963</v>
      </c>
      <c r="P20">
        <f>Lookup!P20</f>
        <v>8890</v>
      </c>
      <c r="Q20">
        <f>Lookup!Q20</f>
        <v>1314</v>
      </c>
      <c r="R20">
        <f>Lookup!R20</f>
        <v>2231</v>
      </c>
      <c r="S20">
        <f>Lookup!S20</f>
        <v>4153</v>
      </c>
      <c r="T20">
        <f>Lookup!T20</f>
        <v>13043</v>
      </c>
      <c r="U20">
        <f>Lookup!U20</f>
        <v>878</v>
      </c>
      <c r="V20">
        <f>Lookup!V20</f>
        <v>33468</v>
      </c>
      <c r="W20">
        <f>Lookup!W20</f>
        <v>-1291</v>
      </c>
      <c r="X20">
        <f>Lookup!X20</f>
        <v>0</v>
      </c>
      <c r="Y20">
        <f>Lookup!Y20</f>
        <v>16920</v>
      </c>
      <c r="Z20">
        <f>Lookup!Z20</f>
        <v>29963</v>
      </c>
      <c r="AA20" t="str" cm="1">
        <f t="array" aca="1" ref="AA20" ca="1">MID(CELL("filename",D19),FIND("[",CELL("filename",D19))+1,FIND("]",CELL("filename",D19))-FIND("[",CELL("filename",D19))-1)</f>
        <v>KO_BAL-SH_YR.xlsx</v>
      </c>
      <c r="AB20" t="str">
        <f t="shared" ca="1" si="2"/>
        <v>KO_BAL-SH_YR-002</v>
      </c>
      <c r="AC20" s="15">
        <f t="shared" ca="1" si="1"/>
        <v>46088.851709953706</v>
      </c>
    </row>
    <row r="21" spans="1:29" x14ac:dyDescent="0.25">
      <c r="A21" t="str">
        <f>Lookup!A21</f>
        <v>KO</v>
      </c>
      <c r="B21" s="1">
        <f ca="1">Lookup!B21</f>
        <v>46088</v>
      </c>
      <c r="C21">
        <f>Lookup!C21</f>
        <v>2005</v>
      </c>
      <c r="D21">
        <f>Lookup!D21</f>
        <v>4767</v>
      </c>
      <c r="E21">
        <f>Lookup!E21</f>
        <v>2281</v>
      </c>
      <c r="F21">
        <f>Lookup!F21</f>
        <v>1379</v>
      </c>
      <c r="G21">
        <f>Lookup!G21</f>
        <v>1778</v>
      </c>
      <c r="H21">
        <f>Lookup!H21</f>
        <v>0</v>
      </c>
      <c r="I21">
        <f>Lookup!I21</f>
        <v>10205</v>
      </c>
      <c r="J21">
        <f>Lookup!J21</f>
        <v>5831</v>
      </c>
      <c r="K21">
        <f>Lookup!K21</f>
        <v>6922</v>
      </c>
      <c r="L21">
        <f>Lookup!L21</f>
        <v>3821</v>
      </c>
      <c r="M21">
        <f>Lookup!M21</f>
        <v>2648</v>
      </c>
      <c r="N21">
        <f>Lookup!N21</f>
        <v>19222</v>
      </c>
      <c r="O21">
        <f>Lookup!O21</f>
        <v>29427</v>
      </c>
      <c r="P21">
        <f>Lookup!P21</f>
        <v>9836</v>
      </c>
      <c r="Q21">
        <f>Lookup!Q21</f>
        <v>1154</v>
      </c>
      <c r="R21">
        <f>Lookup!R21</f>
        <v>1730</v>
      </c>
      <c r="S21">
        <f>Lookup!S21</f>
        <v>3236</v>
      </c>
      <c r="T21">
        <f>Lookup!T21</f>
        <v>13072</v>
      </c>
      <c r="U21">
        <f>Lookup!U21</f>
        <v>877</v>
      </c>
      <c r="V21">
        <f>Lookup!V21</f>
        <v>31299</v>
      </c>
      <c r="W21">
        <f>Lookup!W21</f>
        <v>-1669</v>
      </c>
      <c r="X21">
        <f>Lookup!X21</f>
        <v>0</v>
      </c>
      <c r="Y21">
        <f>Lookup!Y21</f>
        <v>16355</v>
      </c>
      <c r="Z21">
        <f>Lookup!Z21</f>
        <v>29427</v>
      </c>
      <c r="AA21" t="str" cm="1">
        <f t="array" aca="1" ref="AA21" ca="1">MID(CELL("filename",D20),FIND("[",CELL("filename",D20))+1,FIND("]",CELL("filename",D20))-FIND("[",CELL("filename",D20))-1)</f>
        <v>KO_BAL-SH_YR.xlsx</v>
      </c>
      <c r="AB21" t="str">
        <f t="shared" ca="1" si="2"/>
        <v>KO_BAL-SH_YR-002</v>
      </c>
      <c r="AC21" s="15">
        <f t="shared" ca="1" si="1"/>
        <v>46088.851709953706</v>
      </c>
    </row>
    <row r="22" spans="1:29" x14ac:dyDescent="0.25">
      <c r="A22" t="str">
        <f>Lookup!A22</f>
        <v>KO</v>
      </c>
      <c r="B22" s="1">
        <f ca="1">Lookup!B22</f>
        <v>46088</v>
      </c>
      <c r="C22">
        <f>Lookup!C22</f>
        <v>2004</v>
      </c>
      <c r="D22">
        <f>Lookup!D22</f>
        <v>6768</v>
      </c>
      <c r="E22">
        <f>Lookup!E22</f>
        <v>2244</v>
      </c>
      <c r="F22">
        <f>Lookup!F22</f>
        <v>1420</v>
      </c>
      <c r="G22">
        <f>Lookup!G22</f>
        <v>1849</v>
      </c>
      <c r="H22">
        <f>Lookup!H22</f>
        <v>0</v>
      </c>
      <c r="I22">
        <f>Lookup!I22</f>
        <v>12281</v>
      </c>
      <c r="J22">
        <f>Lookup!J22</f>
        <v>6091</v>
      </c>
      <c r="K22">
        <f>Lookup!K22</f>
        <v>6252</v>
      </c>
      <c r="L22">
        <f>Lookup!L22</f>
        <v>3836</v>
      </c>
      <c r="M22">
        <f>Lookup!M22</f>
        <v>2981</v>
      </c>
      <c r="N22">
        <f>Lookup!N22</f>
        <v>19160</v>
      </c>
      <c r="O22">
        <f>Lookup!O22</f>
        <v>31441</v>
      </c>
      <c r="P22">
        <f>Lookup!P22</f>
        <v>11133</v>
      </c>
      <c r="Q22">
        <f>Lookup!Q22</f>
        <v>1157</v>
      </c>
      <c r="R22">
        <f>Lookup!R22</f>
        <v>2814</v>
      </c>
      <c r="S22">
        <f>Lookup!S22</f>
        <v>4373</v>
      </c>
      <c r="T22">
        <f>Lookup!T22</f>
        <v>15506</v>
      </c>
      <c r="U22">
        <f>Lookup!U22</f>
        <v>875</v>
      </c>
      <c r="V22">
        <f>Lookup!V22</f>
        <v>29105</v>
      </c>
      <c r="W22">
        <f>Lookup!W22</f>
        <v>-1348</v>
      </c>
      <c r="X22">
        <f>Lookup!X22</f>
        <v>0</v>
      </c>
      <c r="Y22">
        <f>Lookup!Y22</f>
        <v>15935</v>
      </c>
      <c r="Z22">
        <f>Lookup!Z22</f>
        <v>31441</v>
      </c>
      <c r="AA22" t="str" cm="1">
        <f t="array" aca="1" ref="AA22" ca="1">MID(CELL("filename",D21),FIND("[",CELL("filename",D21))+1,FIND("]",CELL("filename",D21))-FIND("[",CELL("filename",D21))-1)</f>
        <v>KO_BAL-SH_YR.xlsx</v>
      </c>
      <c r="AB22" t="str">
        <f t="shared" ca="1" si="2"/>
        <v>KO_BAL-SH_YR-002</v>
      </c>
      <c r="AC22" s="15">
        <f t="shared" ca="1" si="1"/>
        <v>46088.851709953706</v>
      </c>
    </row>
    <row r="23" spans="1:29" x14ac:dyDescent="0.25">
      <c r="A23" t="str">
        <f>Lookup!A23</f>
        <v>KO</v>
      </c>
      <c r="B23" s="1">
        <f ca="1">Lookup!B23</f>
        <v>46088</v>
      </c>
      <c r="C23">
        <f>Lookup!C23</f>
        <v>2003</v>
      </c>
      <c r="D23">
        <f>Lookup!D23</f>
        <v>3482</v>
      </c>
      <c r="E23">
        <f>Lookup!E23</f>
        <v>2091</v>
      </c>
      <c r="F23">
        <f>Lookup!F23</f>
        <v>1252</v>
      </c>
      <c r="G23">
        <f>Lookup!G23</f>
        <v>1571</v>
      </c>
      <c r="H23">
        <f>Lookup!H23</f>
        <v>0</v>
      </c>
      <c r="I23">
        <f>Lookup!I23</f>
        <v>8396</v>
      </c>
      <c r="J23">
        <f>Lookup!J23</f>
        <v>6097</v>
      </c>
      <c r="K23">
        <f>Lookup!K23</f>
        <v>5538</v>
      </c>
      <c r="L23">
        <f>Lookup!L23</f>
        <v>3989</v>
      </c>
      <c r="M23">
        <f>Lookup!M23</f>
        <v>3322</v>
      </c>
      <c r="N23">
        <f>Lookup!N23</f>
        <v>18946</v>
      </c>
      <c r="O23">
        <f>Lookup!O23</f>
        <v>27342</v>
      </c>
      <c r="P23">
        <f>Lookup!P23</f>
        <v>7886</v>
      </c>
      <c r="Q23">
        <f>Lookup!Q23</f>
        <v>2517</v>
      </c>
      <c r="R23">
        <f>Lookup!R23</f>
        <v>2512</v>
      </c>
      <c r="S23">
        <f>Lookup!S23</f>
        <v>5366</v>
      </c>
      <c r="T23">
        <f>Lookup!T23</f>
        <v>13252</v>
      </c>
      <c r="U23">
        <f>Lookup!U23</f>
        <v>874</v>
      </c>
      <c r="V23">
        <f>Lookup!V23</f>
        <v>26687</v>
      </c>
      <c r="W23">
        <f>Lookup!W23</f>
        <v>-1995</v>
      </c>
      <c r="X23">
        <f>Lookup!X23</f>
        <v>0</v>
      </c>
      <c r="Y23">
        <f>Lookup!Y23</f>
        <v>14090</v>
      </c>
      <c r="Z23">
        <f>Lookup!Z23</f>
        <v>27342</v>
      </c>
      <c r="AA23" t="str" cm="1">
        <f t="array" aca="1" ref="AA23" ca="1">MID(CELL("filename",D22),FIND("[",CELL("filename",D22))+1,FIND("]",CELL("filename",D22))-FIND("[",CELL("filename",D22))-1)</f>
        <v>KO_BAL-SH_YR.xlsx</v>
      </c>
      <c r="AB23" t="str">
        <f t="shared" ca="1" si="2"/>
        <v>KO_BAL-SH_YR-002</v>
      </c>
      <c r="AC23" s="15">
        <f t="shared" ca="1" si="1"/>
        <v>46088.851709953706</v>
      </c>
    </row>
    <row r="24" spans="1:29" x14ac:dyDescent="0.25">
      <c r="A24" t="str">
        <f>Lookup!A24</f>
        <v>KO</v>
      </c>
      <c r="B24" s="1">
        <f ca="1">Lookup!B24</f>
        <v>46088</v>
      </c>
      <c r="C24">
        <f>Lookup!C24</f>
        <v>2002</v>
      </c>
      <c r="D24">
        <f>Lookup!D24</f>
        <v>2345</v>
      </c>
      <c r="E24">
        <f>Lookup!E24</f>
        <v>2097</v>
      </c>
      <c r="F24">
        <f>Lookup!F24</f>
        <v>1294</v>
      </c>
      <c r="G24">
        <f>Lookup!G24</f>
        <v>1616</v>
      </c>
      <c r="H24">
        <f>Lookup!H24</f>
        <v>0</v>
      </c>
      <c r="I24">
        <f>Lookup!I24</f>
        <v>7352</v>
      </c>
      <c r="J24">
        <f>Lookup!J24</f>
        <v>5911</v>
      </c>
      <c r="K24">
        <f>Lookup!K24</f>
        <v>4991</v>
      </c>
      <c r="L24">
        <f>Lookup!L24</f>
        <v>3458</v>
      </c>
      <c r="M24">
        <f>Lookup!M24</f>
        <v>2694</v>
      </c>
      <c r="N24">
        <f>Lookup!N24</f>
        <v>17054</v>
      </c>
      <c r="O24">
        <f>Lookup!O24</f>
        <v>24406</v>
      </c>
      <c r="P24">
        <f>Lookup!P24</f>
        <v>7341</v>
      </c>
      <c r="Q24">
        <f>Lookup!Q24</f>
        <v>2701</v>
      </c>
      <c r="R24">
        <f>Lookup!R24</f>
        <v>2260</v>
      </c>
      <c r="S24">
        <f>Lookup!S24</f>
        <v>5265</v>
      </c>
      <c r="T24">
        <f>Lookup!T24</f>
        <v>12606</v>
      </c>
      <c r="U24">
        <f>Lookup!U24</f>
        <v>873</v>
      </c>
      <c r="V24">
        <f>Lookup!V24</f>
        <v>24506</v>
      </c>
      <c r="W24">
        <f>Lookup!W24</f>
        <v>-3047</v>
      </c>
      <c r="X24">
        <f>Lookup!X24</f>
        <v>0</v>
      </c>
      <c r="Y24">
        <f>Lookup!Y24</f>
        <v>11800</v>
      </c>
      <c r="Z24">
        <f>Lookup!Z24</f>
        <v>24406</v>
      </c>
      <c r="AA24" t="str" cm="1">
        <f t="array" aca="1" ref="AA24" ca="1">MID(CELL("filename",D23),FIND("[",CELL("filename",D23))+1,FIND("]",CELL("filename",D23))-FIND("[",CELL("filename",D23))-1)</f>
        <v>KO_BAL-SH_YR.xlsx</v>
      </c>
      <c r="AB24" t="str">
        <f t="shared" ca="1" si="2"/>
        <v>KO_BAL-SH_YR-002</v>
      </c>
      <c r="AC24" s="15">
        <f t="shared" ca="1" si="1"/>
        <v>46088.851709953706</v>
      </c>
    </row>
    <row r="25" spans="1:29" x14ac:dyDescent="0.25">
      <c r="A25" t="str">
        <f>Lookup!A25</f>
        <v>KO</v>
      </c>
      <c r="B25" s="1">
        <f ca="1">Lookup!B25</f>
        <v>46088</v>
      </c>
      <c r="C25">
        <f>Lookup!C25</f>
        <v>2001</v>
      </c>
      <c r="D25">
        <f>Lookup!D25</f>
        <v>1934</v>
      </c>
      <c r="E25">
        <f>Lookup!E25</f>
        <v>1882</v>
      </c>
      <c r="F25">
        <f>Lookup!F25</f>
        <v>1055</v>
      </c>
      <c r="G25">
        <f>Lookup!G25</f>
        <v>2300</v>
      </c>
      <c r="H25">
        <f>Lookup!H25</f>
        <v>0</v>
      </c>
      <c r="I25">
        <f>Lookup!I25</f>
        <v>7171</v>
      </c>
      <c r="J25">
        <f>Lookup!J25</f>
        <v>4453</v>
      </c>
      <c r="K25">
        <f>Lookup!K25</f>
        <v>5422</v>
      </c>
      <c r="L25">
        <f>Lookup!L25</f>
        <v>2579</v>
      </c>
      <c r="M25">
        <f>Lookup!M25</f>
        <v>2792</v>
      </c>
      <c r="N25">
        <f>Lookup!N25</f>
        <v>15246</v>
      </c>
      <c r="O25">
        <f>Lookup!O25</f>
        <v>22417</v>
      </c>
      <c r="P25">
        <f>Lookup!P25</f>
        <v>8429</v>
      </c>
      <c r="Q25">
        <f>Lookup!Q25</f>
        <v>1219</v>
      </c>
      <c r="R25">
        <f>Lookup!R25</f>
        <v>961</v>
      </c>
      <c r="S25">
        <f>Lookup!S25</f>
        <v>2622</v>
      </c>
      <c r="T25">
        <f>Lookup!T25</f>
        <v>11051</v>
      </c>
      <c r="U25">
        <f>Lookup!U25</f>
        <v>873</v>
      </c>
      <c r="V25">
        <f>Lookup!V25</f>
        <v>23443</v>
      </c>
      <c r="W25">
        <f>Lookup!W25</f>
        <v>-2788</v>
      </c>
      <c r="X25">
        <f>Lookup!X25</f>
        <v>0</v>
      </c>
      <c r="Y25">
        <f>Lookup!Y25</f>
        <v>11366</v>
      </c>
      <c r="Z25">
        <f>Lookup!Z25</f>
        <v>22417</v>
      </c>
      <c r="AA25" t="str" cm="1">
        <f t="array" aca="1" ref="AA25" ca="1">MID(CELL("filename",D24),FIND("[",CELL("filename",D24))+1,FIND("]",CELL("filename",D24))-FIND("[",CELL("filename",D24))-1)</f>
        <v>KO_BAL-SH_YR.xlsx</v>
      </c>
      <c r="AB25" t="str">
        <f t="shared" ca="1" si="2"/>
        <v>KO_BAL-SH_YR-002</v>
      </c>
      <c r="AC25" s="15">
        <f t="shared" ca="1" si="1"/>
        <v>46088.851709953706</v>
      </c>
    </row>
    <row r="26" spans="1:29" x14ac:dyDescent="0.25">
      <c r="A26" t="str">
        <f>Lookup!A26</f>
        <v>KO</v>
      </c>
      <c r="B26" s="1">
        <f ca="1">Lookup!B26</f>
        <v>46088</v>
      </c>
      <c r="C26">
        <f>Lookup!C26</f>
        <v>2000</v>
      </c>
      <c r="D26">
        <f>Lookup!D26</f>
        <v>1892</v>
      </c>
      <c r="E26">
        <f>Lookup!E26</f>
        <v>1757</v>
      </c>
      <c r="F26">
        <f>Lookup!F26</f>
        <v>1066</v>
      </c>
      <c r="G26">
        <f>Lookup!G26</f>
        <v>1905</v>
      </c>
      <c r="H26">
        <f>Lookup!H26</f>
        <v>0</v>
      </c>
      <c r="I26">
        <f>Lookup!I26</f>
        <v>6620</v>
      </c>
      <c r="J26">
        <f>Lookup!J26</f>
        <v>4168</v>
      </c>
      <c r="K26">
        <f>Lookup!K26</f>
        <v>8129</v>
      </c>
      <c r="L26">
        <f>Lookup!L26</f>
        <v>1917</v>
      </c>
      <c r="M26">
        <f>Lookup!M26</f>
        <v>0</v>
      </c>
      <c r="N26">
        <f>Lookup!N26</f>
        <v>14214</v>
      </c>
      <c r="O26">
        <f>Lookup!O26</f>
        <v>20834</v>
      </c>
      <c r="P26">
        <f>Lookup!P26</f>
        <v>9321</v>
      </c>
      <c r="Q26">
        <f>Lookup!Q26</f>
        <v>835</v>
      </c>
      <c r="R26">
        <f>Lookup!R26</f>
        <v>1004</v>
      </c>
      <c r="S26">
        <f>Lookup!S26</f>
        <v>2197</v>
      </c>
      <c r="T26">
        <f>Lookup!T26</f>
        <v>11518</v>
      </c>
      <c r="U26">
        <f>Lookup!U26</f>
        <v>870</v>
      </c>
      <c r="V26">
        <f>Lookup!V26</f>
        <v>21265</v>
      </c>
      <c r="W26">
        <f>Lookup!W26</f>
        <v>-2722</v>
      </c>
      <c r="X26">
        <f>Lookup!X26</f>
        <v>0</v>
      </c>
      <c r="Y26">
        <f>Lookup!Y26</f>
        <v>9316</v>
      </c>
      <c r="Z26">
        <f>Lookup!Z26</f>
        <v>20834</v>
      </c>
      <c r="AA26" t="str" cm="1">
        <f t="array" aca="1" ref="AA26" ca="1">MID(CELL("filename",D25),FIND("[",CELL("filename",D25))+1,FIND("]",CELL("filename",D25))-FIND("[",CELL("filename",D25))-1)</f>
        <v>KO_BAL-SH_YR.xlsx</v>
      </c>
      <c r="AB26" t="str">
        <f t="shared" ca="1" si="2"/>
        <v>KO_BAL-SH_YR-002</v>
      </c>
      <c r="AC26" s="15">
        <f t="shared" ca="1" si="1"/>
        <v>46088.851709953706</v>
      </c>
    </row>
    <row r="27" spans="1:29" x14ac:dyDescent="0.25">
      <c r="A27" t="str">
        <f>Lookup!A27</f>
        <v>KO</v>
      </c>
      <c r="B27" s="1">
        <f ca="1">Lookup!B27</f>
        <v>46088</v>
      </c>
      <c r="C27">
        <f>Lookup!C27</f>
        <v>1999</v>
      </c>
      <c r="D27">
        <f>Lookup!D27</f>
        <v>1812</v>
      </c>
      <c r="E27">
        <f>Lookup!E27</f>
        <v>1798</v>
      </c>
      <c r="F27">
        <f>Lookup!F27</f>
        <v>1076</v>
      </c>
      <c r="G27">
        <f>Lookup!G27</f>
        <v>0</v>
      </c>
      <c r="H27">
        <f>Lookup!H27</f>
        <v>1794</v>
      </c>
      <c r="I27">
        <f>Lookup!I27</f>
        <v>6480</v>
      </c>
      <c r="J27">
        <f>Lookup!J27</f>
        <v>4267</v>
      </c>
      <c r="K27">
        <f>Lookup!K27</f>
        <v>8916</v>
      </c>
      <c r="L27">
        <f>Lookup!L27</f>
        <v>1960</v>
      </c>
      <c r="M27">
        <f>Lookup!M27</f>
        <v>0</v>
      </c>
      <c r="N27">
        <f>Lookup!N27</f>
        <v>15143</v>
      </c>
      <c r="O27">
        <f>Lookup!O27</f>
        <v>21623</v>
      </c>
      <c r="P27">
        <f>Lookup!P27</f>
        <v>9856</v>
      </c>
      <c r="Q27">
        <f>Lookup!Q27</f>
        <v>854</v>
      </c>
      <c r="R27">
        <f>Lookup!R27</f>
        <v>902</v>
      </c>
      <c r="S27">
        <f>Lookup!S27</f>
        <v>2254</v>
      </c>
      <c r="T27">
        <f>Lookup!T27</f>
        <v>12110</v>
      </c>
      <c r="U27">
        <f>Lookup!U27</f>
        <v>867</v>
      </c>
      <c r="V27">
        <f>Lookup!V27</f>
        <v>20773</v>
      </c>
      <c r="W27">
        <f>Lookup!W27</f>
        <v>0</v>
      </c>
      <c r="X27">
        <f>Lookup!X27</f>
        <v>-1551</v>
      </c>
      <c r="Y27">
        <f>Lookup!Y27</f>
        <v>9513</v>
      </c>
      <c r="Z27">
        <f>Lookup!Z27</f>
        <v>21623</v>
      </c>
      <c r="AA27" t="str" cm="1">
        <f t="array" aca="1" ref="AA27" ca="1">MID(CELL("filename",D26),FIND("[",CELL("filename",D26))+1,FIND("]",CELL("filename",D26))-FIND("[",CELL("filename",D26))-1)</f>
        <v>KO_BAL-SH_YR.xlsx</v>
      </c>
      <c r="AB27" t="str">
        <f t="shared" ca="1" si="2"/>
        <v>KO_BAL-SH_YR-002</v>
      </c>
      <c r="AC27" s="15">
        <f t="shared" ca="1" si="1"/>
        <v>46088.851709953706</v>
      </c>
    </row>
    <row r="28" spans="1:29" x14ac:dyDescent="0.25">
      <c r="A28" t="str">
        <f>Lookup!A28</f>
        <v>KO</v>
      </c>
      <c r="B28" s="1">
        <f ca="1">Lookup!B28</f>
        <v>46088</v>
      </c>
      <c r="C28">
        <f>Lookup!C28</f>
        <v>1998</v>
      </c>
      <c r="D28">
        <f>Lookup!D28</f>
        <v>1807</v>
      </c>
      <c r="E28">
        <f>Lookup!E28</f>
        <v>1666</v>
      </c>
      <c r="F28">
        <f>Lookup!F28</f>
        <v>890</v>
      </c>
      <c r="G28">
        <f>Lookup!G28</f>
        <v>0</v>
      </c>
      <c r="H28">
        <f>Lookup!H28</f>
        <v>2017</v>
      </c>
      <c r="I28">
        <f>Lookup!I28</f>
        <v>6380</v>
      </c>
      <c r="J28">
        <f>Lookup!J28</f>
        <v>3669</v>
      </c>
      <c r="K28">
        <f>Lookup!K28</f>
        <v>8549</v>
      </c>
      <c r="L28">
        <f>Lookup!L28</f>
        <v>547</v>
      </c>
      <c r="M28">
        <f>Lookup!M28</f>
        <v>0</v>
      </c>
      <c r="N28">
        <f>Lookup!N28</f>
        <v>12765</v>
      </c>
      <c r="O28">
        <f>Lookup!O28</f>
        <v>19145</v>
      </c>
      <c r="P28">
        <f>Lookup!P28</f>
        <v>8640</v>
      </c>
      <c r="Q28">
        <f>Lookup!Q28</f>
        <v>687</v>
      </c>
      <c r="R28">
        <f>Lookup!R28</f>
        <v>991</v>
      </c>
      <c r="S28">
        <f>Lookup!S28</f>
        <v>2102</v>
      </c>
      <c r="T28">
        <f>Lookup!T28</f>
        <v>10742</v>
      </c>
      <c r="U28">
        <f>Lookup!U28</f>
        <v>865</v>
      </c>
      <c r="V28">
        <f>Lookup!V28</f>
        <v>19922</v>
      </c>
      <c r="W28">
        <f>Lookup!W28</f>
        <v>0</v>
      </c>
      <c r="X28">
        <f>Lookup!X28</f>
        <v>-1434</v>
      </c>
      <c r="Y28">
        <f>Lookup!Y28</f>
        <v>8403</v>
      </c>
      <c r="Z28">
        <f>Lookup!Z28</f>
        <v>19145</v>
      </c>
      <c r="AA28" t="str" cm="1">
        <f t="array" aca="1" ref="AA28" ca="1">MID(CELL("filename",D27),FIND("[",CELL("filename",D27))+1,FIND("]",CELL("filename",D27))-FIND("[",CELL("filename",D27))-1)</f>
        <v>KO_BAL-SH_YR.xlsx</v>
      </c>
      <c r="AB28" t="str">
        <f t="shared" ca="1" si="2"/>
        <v>KO_BAL-SH_YR-002</v>
      </c>
      <c r="AC28" s="15">
        <f t="shared" ca="1" si="1"/>
        <v>46088.851709953706</v>
      </c>
    </row>
    <row r="29" spans="1:29" x14ac:dyDescent="0.25">
      <c r="A29" t="str">
        <f>Lookup!A29</f>
        <v>KO</v>
      </c>
      <c r="B29" s="1">
        <f ca="1">Lookup!B29</f>
        <v>46088</v>
      </c>
      <c r="C29">
        <f>Lookup!C29</f>
        <v>1997</v>
      </c>
      <c r="D29">
        <f>Lookup!D29</f>
        <v>1843</v>
      </c>
      <c r="E29">
        <f>Lookup!E29</f>
        <v>1639</v>
      </c>
      <c r="F29">
        <f>Lookup!F29</f>
        <v>959</v>
      </c>
      <c r="G29">
        <f>Lookup!G29</f>
        <v>0</v>
      </c>
      <c r="H29">
        <f>Lookup!H29</f>
        <v>1528</v>
      </c>
      <c r="I29">
        <f>Lookup!I29</f>
        <v>5969</v>
      </c>
      <c r="J29">
        <f>Lookup!J29</f>
        <v>3743</v>
      </c>
      <c r="K29">
        <f>Lookup!K29</f>
        <v>6044</v>
      </c>
      <c r="L29">
        <f>Lookup!L29</f>
        <v>727</v>
      </c>
      <c r="M29">
        <f>Lookup!M29</f>
        <v>457</v>
      </c>
      <c r="N29">
        <f>Lookup!N29</f>
        <v>10971</v>
      </c>
      <c r="O29">
        <f>Lookup!O29</f>
        <v>16940</v>
      </c>
      <c r="P29">
        <f>Lookup!P29</f>
        <v>7379</v>
      </c>
      <c r="Q29">
        <f>Lookup!Q29</f>
        <v>801</v>
      </c>
      <c r="R29">
        <f>Lookup!R29</f>
        <v>1001</v>
      </c>
      <c r="S29">
        <f>Lookup!S29</f>
        <v>2250</v>
      </c>
      <c r="T29">
        <f>Lookup!T29</f>
        <v>9629</v>
      </c>
      <c r="U29">
        <f>Lookup!U29</f>
        <v>861</v>
      </c>
      <c r="V29">
        <f>Lookup!V29</f>
        <v>17869</v>
      </c>
      <c r="W29">
        <f>Lookup!W29</f>
        <v>0</v>
      </c>
      <c r="X29">
        <f>Lookup!X29</f>
        <v>-1364</v>
      </c>
      <c r="Y29">
        <f>Lookup!Y29</f>
        <v>7311</v>
      </c>
      <c r="Z29">
        <f>Lookup!Z29</f>
        <v>16940</v>
      </c>
      <c r="AA29" t="str" cm="1">
        <f t="array" aca="1" ref="AA29" ca="1">MID(CELL("filename",D28),FIND("[",CELL("filename",D28))+1,FIND("]",CELL("filename",D28))-FIND("[",CELL("filename",D28))-1)</f>
        <v>KO_BAL-SH_YR.xlsx</v>
      </c>
      <c r="AB29" t="str">
        <f t="shared" ca="1" si="2"/>
        <v>KO_BAL-SH_YR-002</v>
      </c>
      <c r="AC29" s="15">
        <f t="shared" ca="1" si="1"/>
        <v>46088.851709953706</v>
      </c>
    </row>
    <row r="30" spans="1:29" x14ac:dyDescent="0.25">
      <c r="A30" t="str">
        <f>Lookup!A30</f>
        <v>KO</v>
      </c>
      <c r="B30" s="1">
        <f ca="1">Lookup!B30</f>
        <v>46088</v>
      </c>
      <c r="C30">
        <f>Lookup!C30</f>
        <v>1996</v>
      </c>
      <c r="D30">
        <f>Lookup!D30</f>
        <v>1658</v>
      </c>
      <c r="E30">
        <f>Lookup!E30</f>
        <v>1641</v>
      </c>
      <c r="F30">
        <f>Lookup!F30</f>
        <v>952</v>
      </c>
      <c r="G30">
        <f>Lookup!G30</f>
        <v>0</v>
      </c>
      <c r="H30">
        <f>Lookup!H30</f>
        <v>1659</v>
      </c>
      <c r="I30">
        <f>Lookup!I30</f>
        <v>5910</v>
      </c>
      <c r="J30">
        <f>Lookup!J30</f>
        <v>3550</v>
      </c>
      <c r="K30">
        <f>Lookup!K30</f>
        <v>5211</v>
      </c>
      <c r="L30">
        <f>Lookup!L30</f>
        <v>753</v>
      </c>
      <c r="M30">
        <f>Lookup!M30</f>
        <v>737</v>
      </c>
      <c r="N30">
        <f>Lookup!N30</f>
        <v>10251</v>
      </c>
      <c r="O30">
        <f>Lookup!O30</f>
        <v>16161</v>
      </c>
      <c r="P30">
        <f>Lookup!P30</f>
        <v>7406</v>
      </c>
      <c r="Q30">
        <f>Lookup!Q30</f>
        <v>1116</v>
      </c>
      <c r="R30">
        <f>Lookup!R30</f>
        <v>1182</v>
      </c>
      <c r="S30">
        <f>Lookup!S30</f>
        <v>2599</v>
      </c>
      <c r="T30">
        <f>Lookup!T30</f>
        <v>10005</v>
      </c>
      <c r="U30">
        <f>Lookup!U30</f>
        <v>858</v>
      </c>
      <c r="V30">
        <f>Lookup!V30</f>
        <v>15127</v>
      </c>
      <c r="W30">
        <f>Lookup!W30</f>
        <v>0</v>
      </c>
      <c r="X30">
        <f>Lookup!X30</f>
        <v>-567</v>
      </c>
      <c r="Y30">
        <f>Lookup!Y30</f>
        <v>6156</v>
      </c>
      <c r="Z30">
        <f>Lookup!Z30</f>
        <v>16161</v>
      </c>
      <c r="AA30" t="str" cm="1">
        <f t="array" aca="1" ref="AA30" ca="1">MID(CELL("filename",D29),FIND("[",CELL("filename",D29))+1,FIND("]",CELL("filename",D29))-FIND("[",CELL("filename",D29))-1)</f>
        <v>KO_BAL-SH_YR.xlsx</v>
      </c>
      <c r="AB30" t="str">
        <f t="shared" ca="1" si="2"/>
        <v>KO_BAL-SH_YR-002</v>
      </c>
      <c r="AC30" s="15">
        <f t="shared" ca="1" si="1"/>
        <v>46088.851709953706</v>
      </c>
    </row>
    <row r="31" spans="1:29" x14ac:dyDescent="0.25">
      <c r="A31" t="str">
        <f>Lookup!A31</f>
        <v>KO</v>
      </c>
      <c r="B31" s="1">
        <f ca="1">Lookup!B31</f>
        <v>46088</v>
      </c>
      <c r="C31">
        <f>Lookup!C31</f>
        <v>1995</v>
      </c>
      <c r="D31">
        <f>Lookup!D31</f>
        <v>1315</v>
      </c>
      <c r="E31">
        <f>Lookup!E31</f>
        <v>1695</v>
      </c>
      <c r="F31">
        <f>Lookup!F31</f>
        <v>1117</v>
      </c>
      <c r="G31">
        <f>Lookup!G31</f>
        <v>0</v>
      </c>
      <c r="H31">
        <f>Lookup!H31</f>
        <v>1323</v>
      </c>
      <c r="I31">
        <f>Lookup!I31</f>
        <v>5450</v>
      </c>
      <c r="J31">
        <f>Lookup!J31</f>
        <v>4336</v>
      </c>
      <c r="K31">
        <f>Lookup!K31</f>
        <v>3960</v>
      </c>
      <c r="L31">
        <f>Lookup!L31</f>
        <v>944</v>
      </c>
      <c r="M31">
        <f>Lookup!M31</f>
        <v>351</v>
      </c>
      <c r="N31">
        <f>Lookup!N31</f>
        <v>9591</v>
      </c>
      <c r="O31">
        <f>Lookup!O31</f>
        <v>15041</v>
      </c>
      <c r="P31">
        <f>Lookup!P31</f>
        <v>7348</v>
      </c>
      <c r="Q31">
        <f>Lookup!Q31</f>
        <v>1141</v>
      </c>
      <c r="R31">
        <f>Lookup!R31</f>
        <v>966</v>
      </c>
      <c r="S31">
        <f>Lookup!S31</f>
        <v>2301</v>
      </c>
      <c r="T31">
        <f>Lookup!T31</f>
        <v>9649</v>
      </c>
      <c r="U31">
        <f>Lookup!U31</f>
        <v>428</v>
      </c>
      <c r="V31">
        <f>Lookup!V31</f>
        <v>12882</v>
      </c>
      <c r="W31">
        <f>Lookup!W31</f>
        <v>0</v>
      </c>
      <c r="X31">
        <f>Lookup!X31</f>
        <v>-410</v>
      </c>
      <c r="Y31">
        <f>Lookup!Y31</f>
        <v>5392</v>
      </c>
      <c r="Z31">
        <f>Lookup!Z31</f>
        <v>15041</v>
      </c>
      <c r="AA31" t="str" cm="1">
        <f t="array" aca="1" ref="AA31" ca="1">MID(CELL("filename",D30),FIND("[",CELL("filename",D30))+1,FIND("]",CELL("filename",D30))-FIND("[",CELL("filename",D30))-1)</f>
        <v>KO_BAL-SH_YR.xlsx</v>
      </c>
      <c r="AB31" t="str">
        <f t="shared" ca="1" si="2"/>
        <v>KO_BAL-SH_YR-002</v>
      </c>
      <c r="AC31" s="15">
        <f t="shared" ca="1" si="1"/>
        <v>46088.851709953706</v>
      </c>
    </row>
    <row r="32" spans="1:29" x14ac:dyDescent="0.25">
      <c r="A32" t="str">
        <f>Lookup!A32</f>
        <v>KO</v>
      </c>
      <c r="B32" s="1">
        <f ca="1">Lookup!B32</f>
        <v>46088</v>
      </c>
      <c r="C32">
        <f>Lookup!C32</f>
        <v>1994</v>
      </c>
      <c r="D32">
        <f>Lookup!D32</f>
        <v>1531</v>
      </c>
      <c r="E32">
        <f>Lookup!E32</f>
        <v>1470</v>
      </c>
      <c r="F32">
        <f>Lookup!F32</f>
        <v>1047</v>
      </c>
      <c r="G32">
        <f>Lookup!G32</f>
        <v>0</v>
      </c>
      <c r="H32">
        <f>Lookup!H32</f>
        <v>1157</v>
      </c>
      <c r="I32">
        <f>Lookup!I32</f>
        <v>5205</v>
      </c>
      <c r="J32">
        <f>Lookup!J32</f>
        <v>4080</v>
      </c>
      <c r="K32">
        <f>Lookup!K32</f>
        <v>3673</v>
      </c>
      <c r="L32">
        <f>Lookup!L32</f>
        <v>660</v>
      </c>
      <c r="M32">
        <f>Lookup!M32</f>
        <v>255</v>
      </c>
      <c r="N32">
        <f>Lookup!N32</f>
        <v>8668</v>
      </c>
      <c r="O32">
        <f>Lookup!O32</f>
        <v>13873</v>
      </c>
      <c r="P32">
        <f>Lookup!P32</f>
        <v>6177</v>
      </c>
      <c r="Q32">
        <f>Lookup!Q32</f>
        <v>1426</v>
      </c>
      <c r="R32">
        <f>Lookup!R32</f>
        <v>855</v>
      </c>
      <c r="S32">
        <f>Lookup!S32</f>
        <v>2461</v>
      </c>
      <c r="T32">
        <f>Lookup!T32</f>
        <v>8638</v>
      </c>
      <c r="U32">
        <f>Lookup!U32</f>
        <v>427</v>
      </c>
      <c r="V32">
        <f>Lookup!V32</f>
        <v>11006</v>
      </c>
      <c r="W32">
        <f>Lookup!W32</f>
        <v>0</v>
      </c>
      <c r="X32">
        <f>Lookup!X32</f>
        <v>-298</v>
      </c>
      <c r="Y32">
        <f>Lookup!Y32</f>
        <v>5235</v>
      </c>
      <c r="Z32">
        <f>Lookup!Z32</f>
        <v>13873</v>
      </c>
      <c r="AA32" t="str" cm="1">
        <f t="array" aca="1" ref="AA32" ca="1">MID(CELL("filename",D31),FIND("[",CELL("filename",D31))+1,FIND("]",CELL("filename",D31))-FIND("[",CELL("filename",D31))-1)</f>
        <v>KO_BAL-SH_YR.xlsx</v>
      </c>
      <c r="AB32" t="str">
        <f t="shared" ca="1" si="2"/>
        <v>KO_BAL-SH_YR-002</v>
      </c>
      <c r="AC32" s="15">
        <f t="shared" ca="1" si="1"/>
        <v>46088.851709953706</v>
      </c>
    </row>
    <row r="33" spans="1:29" x14ac:dyDescent="0.25">
      <c r="A33" t="str">
        <f>Lookup!A33</f>
        <v>KO</v>
      </c>
      <c r="B33" s="1">
        <f ca="1">Lookup!B33</f>
        <v>46088</v>
      </c>
      <c r="C33">
        <f>Lookup!C33</f>
        <v>1993</v>
      </c>
      <c r="D33">
        <f>Lookup!D33</f>
        <v>1078</v>
      </c>
      <c r="E33">
        <f>Lookup!E33</f>
        <v>1210</v>
      </c>
      <c r="F33">
        <f>Lookup!F33</f>
        <v>1049</v>
      </c>
      <c r="G33">
        <f>Lookup!G33</f>
        <v>0</v>
      </c>
      <c r="H33">
        <f>Lookup!H33</f>
        <v>1097</v>
      </c>
      <c r="I33">
        <f>Lookup!I33</f>
        <v>4434</v>
      </c>
      <c r="J33">
        <f>Lookup!J33</f>
        <v>3729</v>
      </c>
      <c r="K33">
        <f>Lookup!K33</f>
        <v>3083</v>
      </c>
      <c r="L33">
        <f>Lookup!L33</f>
        <v>549</v>
      </c>
      <c r="M33">
        <f>Lookup!M33</f>
        <v>226</v>
      </c>
      <c r="N33">
        <f>Lookup!N33</f>
        <v>7587</v>
      </c>
      <c r="O33">
        <f>Lookup!O33</f>
        <v>12021</v>
      </c>
      <c r="P33">
        <f>Lookup!P33</f>
        <v>5171</v>
      </c>
      <c r="Q33">
        <f>Lookup!Q33</f>
        <v>1428</v>
      </c>
      <c r="R33">
        <f>Lookup!R33</f>
        <v>725</v>
      </c>
      <c r="S33">
        <f>Lookup!S33</f>
        <v>2266</v>
      </c>
      <c r="T33">
        <f>Lookup!T33</f>
        <v>7437</v>
      </c>
      <c r="U33">
        <f>Lookup!U33</f>
        <v>426</v>
      </c>
      <c r="V33">
        <f>Lookup!V33</f>
        <v>9458</v>
      </c>
      <c r="W33">
        <f>Lookup!W33</f>
        <v>0</v>
      </c>
      <c r="X33">
        <f>Lookup!X33</f>
        <v>-505</v>
      </c>
      <c r="Y33">
        <f>Lookup!Y33</f>
        <v>4584</v>
      </c>
      <c r="Z33">
        <f>Lookup!Z33</f>
        <v>12021</v>
      </c>
      <c r="AA33" t="str" cm="1">
        <f t="array" aca="1" ref="AA33" ca="1">MID(CELL("filename",D32),FIND("[",CELL("filename",D32))+1,FIND("]",CELL("filename",D32))-FIND("[",CELL("filename",D32))-1)</f>
        <v>KO_BAL-SH_YR.xlsx</v>
      </c>
      <c r="AB33" t="str">
        <f t="shared" ca="1" si="2"/>
        <v>KO_BAL-SH_YR-002</v>
      </c>
      <c r="AC33" s="15">
        <f t="shared" ca="1" si="1"/>
        <v>46088.851709953706</v>
      </c>
    </row>
    <row r="34" spans="1:29" x14ac:dyDescent="0.25">
      <c r="A34" t="str">
        <f>Lookup!A34</f>
        <v>KO</v>
      </c>
      <c r="B34" s="1">
        <f ca="1">Lookup!B34</f>
        <v>46088</v>
      </c>
      <c r="C34">
        <f>Lookup!C34</f>
        <v>1992</v>
      </c>
      <c r="D34">
        <f>Lookup!D34</f>
        <v>1062.9880000000001</v>
      </c>
      <c r="E34">
        <f>Lookup!E34</f>
        <v>1085.636</v>
      </c>
      <c r="F34">
        <f>Lookup!F34</f>
        <v>1018.621</v>
      </c>
      <c r="G34">
        <f>Lookup!G34</f>
        <v>0</v>
      </c>
      <c r="H34">
        <f>Lookup!H34</f>
        <v>1080.432</v>
      </c>
      <c r="I34">
        <f>Lookup!I34</f>
        <v>4247.6769999999997</v>
      </c>
      <c r="J34">
        <f>Lookup!J34</f>
        <v>3526.261</v>
      </c>
      <c r="K34">
        <f>Lookup!K34</f>
        <v>2163.0940000000001</v>
      </c>
      <c r="L34">
        <f>Lookup!L34</f>
        <v>383.30399999999997</v>
      </c>
      <c r="M34">
        <f>Lookup!M34</f>
        <v>731.59799999999996</v>
      </c>
      <c r="N34">
        <f>Lookup!N34</f>
        <v>6804.2569999999996</v>
      </c>
      <c r="O34">
        <f>Lookup!O34</f>
        <v>11051.93</v>
      </c>
      <c r="P34">
        <f>Lookup!P34</f>
        <v>5303.2219999999998</v>
      </c>
      <c r="Q34">
        <f>Lookup!Q34</f>
        <v>1120.0640000000001</v>
      </c>
      <c r="R34">
        <f>Lookup!R34</f>
        <v>658.63099999999997</v>
      </c>
      <c r="S34">
        <f>Lookup!S34</f>
        <v>1860.3240000000001</v>
      </c>
      <c r="T34">
        <f>Lookup!T34</f>
        <v>7163.5460000000003</v>
      </c>
      <c r="U34">
        <f>Lookup!U34</f>
        <v>424.05099999999999</v>
      </c>
      <c r="V34">
        <f>Lookup!V34</f>
        <v>8165.0240000000003</v>
      </c>
      <c r="W34">
        <f>Lookup!W34</f>
        <v>0</v>
      </c>
      <c r="X34">
        <f>Lookup!X34</f>
        <v>-370.84199999999998</v>
      </c>
      <c r="Y34">
        <f>Lookup!Y34</f>
        <v>3888.3879999999999</v>
      </c>
      <c r="Z34">
        <f>Lookup!Z34</f>
        <v>11051.93</v>
      </c>
      <c r="AA34" t="str" cm="1">
        <f t="array" aca="1" ref="AA34" ca="1">MID(CELL("filename",D33),FIND("[",CELL("filename",D33))+1,FIND("]",CELL("filename",D33))-FIND("[",CELL("filename",D33))-1)</f>
        <v>KO_BAL-SH_YR.xlsx</v>
      </c>
      <c r="AB34" t="str">
        <f t="shared" ca="1" si="2"/>
        <v>KO_BAL-SH_YR-002</v>
      </c>
      <c r="AC34" s="15">
        <f t="shared" ca="1" si="1"/>
        <v>46088.851709953706</v>
      </c>
    </row>
    <row r="35" spans="1:29" x14ac:dyDescent="0.25">
      <c r="A35" t="str">
        <f>Lookup!A35</f>
        <v>KO</v>
      </c>
      <c r="B35" s="1">
        <f ca="1">Lookup!B35</f>
        <v>46088</v>
      </c>
      <c r="C35">
        <f>Lookup!C35</f>
        <v>1991</v>
      </c>
      <c r="D35">
        <f>Lookup!D35</f>
        <v>1117.1959999999999</v>
      </c>
      <c r="E35">
        <f>Lookup!E35</f>
        <v>933.44799999999998</v>
      </c>
      <c r="F35">
        <f>Lookup!F35</f>
        <v>987.76400000000001</v>
      </c>
      <c r="G35">
        <f>Lookup!G35</f>
        <v>0</v>
      </c>
      <c r="H35">
        <f>Lookup!H35</f>
        <v>1069.664</v>
      </c>
      <c r="I35">
        <f>Lookup!I35</f>
        <v>4144.2439999999997</v>
      </c>
      <c r="J35">
        <f>Lookup!J35</f>
        <v>2889.8820000000001</v>
      </c>
      <c r="K35">
        <f>Lookup!K35</f>
        <v>2154.0149999999999</v>
      </c>
      <c r="L35">
        <f>Lookup!L35</f>
        <v>303.68099999999998</v>
      </c>
      <c r="M35">
        <f>Lookup!M35</f>
        <v>730.60599999999999</v>
      </c>
      <c r="N35">
        <f>Lookup!N35</f>
        <v>6078.1840000000002</v>
      </c>
      <c r="O35">
        <f>Lookup!O35</f>
        <v>10189.209999999999</v>
      </c>
      <c r="P35">
        <f>Lookup!P35</f>
        <v>4255.1729999999998</v>
      </c>
      <c r="Q35">
        <f>Lookup!Q35</f>
        <v>985.25800000000004</v>
      </c>
      <c r="R35">
        <f>Lookup!R35</f>
        <v>493.76499999999999</v>
      </c>
      <c r="S35">
        <f>Lookup!S35</f>
        <v>1679.05</v>
      </c>
      <c r="T35">
        <f>Lookup!T35</f>
        <v>5950.268</v>
      </c>
      <c r="U35">
        <f>Lookup!U35</f>
        <v>421.83800000000002</v>
      </c>
      <c r="V35">
        <f>Lookup!V35</f>
        <v>7238.643</v>
      </c>
      <c r="W35">
        <f>Lookup!W35</f>
        <v>0</v>
      </c>
      <c r="X35">
        <f>Lookup!X35</f>
        <v>-119.818</v>
      </c>
      <c r="Y35">
        <f>Lookup!Y35</f>
        <v>4238.9470000000001</v>
      </c>
      <c r="Z35">
        <f>Lookup!Z35</f>
        <v>10222.43</v>
      </c>
      <c r="AA35" t="str" cm="1">
        <f t="array" aca="1" ref="AA35" ca="1">MID(CELL("filename",D34),FIND("[",CELL("filename",D34))+1,FIND("]",CELL("filename",D34))-FIND("[",CELL("filename",D34))-1)</f>
        <v>KO_BAL-SH_YR.xlsx</v>
      </c>
      <c r="AB35" t="str">
        <f t="shared" ca="1" si="2"/>
        <v>KO_BAL-SH_YR-002</v>
      </c>
      <c r="AC35" s="15">
        <f t="shared" ca="1" si="1"/>
        <v>46088.851709953706</v>
      </c>
    </row>
    <row r="36" spans="1:29" x14ac:dyDescent="0.25">
      <c r="A36" t="str">
        <f>Lookup!A36</f>
        <v>KO</v>
      </c>
      <c r="B36" s="1">
        <f ca="1">Lookup!B36</f>
        <v>46088</v>
      </c>
      <c r="C36">
        <f>Lookup!C36</f>
        <v>1990</v>
      </c>
      <c r="D36">
        <f>Lookup!D36</f>
        <v>1492.124</v>
      </c>
      <c r="E36">
        <f>Lookup!E36</f>
        <v>913.54100000000005</v>
      </c>
      <c r="F36">
        <f>Lookup!F36</f>
        <v>982.31299999999999</v>
      </c>
      <c r="G36">
        <f>Lookup!G36</f>
        <v>0</v>
      </c>
      <c r="H36">
        <f>Lookup!H36</f>
        <v>754.8</v>
      </c>
      <c r="I36">
        <f>Lookup!I36</f>
        <v>4142.7780000000002</v>
      </c>
      <c r="J36">
        <f>Lookup!J36</f>
        <v>2385.5650000000001</v>
      </c>
      <c r="K36">
        <f>Lookup!K36</f>
        <v>2024.6220000000001</v>
      </c>
      <c r="L36">
        <f>Lookup!L36</f>
        <v>275.12599999999998</v>
      </c>
      <c r="M36">
        <f>Lookup!M36</f>
        <v>450.096</v>
      </c>
      <c r="N36">
        <f>Lookup!N36</f>
        <v>5135.4089999999997</v>
      </c>
      <c r="O36">
        <f>Lookup!O36</f>
        <v>9278.1869999999999</v>
      </c>
      <c r="P36">
        <f>Lookup!P36</f>
        <v>4296.491</v>
      </c>
      <c r="Q36">
        <f>Lookup!Q36</f>
        <v>535.86099999999999</v>
      </c>
      <c r="R36">
        <f>Lookup!R36</f>
        <v>332.06</v>
      </c>
      <c r="S36">
        <f>Lookup!S36</f>
        <v>1132.5319999999999</v>
      </c>
      <c r="T36">
        <f>Lookup!T36</f>
        <v>5429.0230000000001</v>
      </c>
      <c r="U36">
        <f>Lookup!U36</f>
        <v>420.24400000000003</v>
      </c>
      <c r="V36">
        <f>Lookup!V36</f>
        <v>6447.576</v>
      </c>
      <c r="W36">
        <f>Lookup!W36</f>
        <v>0</v>
      </c>
      <c r="X36">
        <f>Lookup!X36</f>
        <v>-63.728999999999999</v>
      </c>
      <c r="Y36">
        <f>Lookup!Y36</f>
        <v>3849.1640000000002</v>
      </c>
      <c r="Z36">
        <f>Lookup!Z36</f>
        <v>9278.1869999999999</v>
      </c>
      <c r="AA36" t="str" cm="1">
        <f t="array" aca="1" ref="AA36" ca="1">MID(CELL("filename",D35),FIND("[",CELL("filename",D35))+1,FIND("]",CELL("filename",D35))-FIND("[",CELL("filename",D35))-1)</f>
        <v>KO_BAL-SH_YR.xlsx</v>
      </c>
      <c r="AB36" t="str">
        <f t="shared" ca="1" si="2"/>
        <v>KO_BAL-SH_YR-002</v>
      </c>
      <c r="AC36" s="15">
        <f t="shared" ca="1" si="1"/>
        <v>46088.851709953706</v>
      </c>
    </row>
    <row r="37" spans="1:29" x14ac:dyDescent="0.25">
      <c r="A37" t="str">
        <f>Lookup!A37</f>
        <v>KO</v>
      </c>
      <c r="B37" s="1">
        <f ca="1">Lookup!B37</f>
        <v>46088</v>
      </c>
      <c r="C37">
        <f>Lookup!C37</f>
        <v>1989</v>
      </c>
      <c r="D37">
        <f>Lookup!D37</f>
        <v>1181.691</v>
      </c>
      <c r="E37">
        <f>Lookup!E37</f>
        <v>820.428</v>
      </c>
      <c r="F37">
        <f>Lookup!F37</f>
        <v>789.077</v>
      </c>
      <c r="G37">
        <f>Lookup!G37</f>
        <v>0</v>
      </c>
      <c r="H37">
        <f>Lookup!H37</f>
        <v>812.30399999999997</v>
      </c>
      <c r="I37">
        <f>Lookup!I37</f>
        <v>3603.5</v>
      </c>
      <c r="J37">
        <f>Lookup!J37</f>
        <v>2021.2190000000001</v>
      </c>
      <c r="K37">
        <f>Lookup!K37</f>
        <v>1930.423</v>
      </c>
      <c r="L37">
        <f>Lookup!L37</f>
        <v>231.99299999999999</v>
      </c>
      <c r="M37">
        <f>Lookup!M37</f>
        <v>495.40100000000001</v>
      </c>
      <c r="N37">
        <f>Lookup!N37</f>
        <v>4679.0360000000001</v>
      </c>
      <c r="O37">
        <f>Lookup!O37</f>
        <v>8282.5360000000001</v>
      </c>
      <c r="P37">
        <f>Lookup!P37</f>
        <v>3657.93</v>
      </c>
      <c r="Q37">
        <f>Lookup!Q37</f>
        <v>548.70799999999997</v>
      </c>
      <c r="R37">
        <f>Lookup!R37</f>
        <v>294.358</v>
      </c>
      <c r="S37">
        <f>Lookup!S37</f>
        <v>1139.1210000000001</v>
      </c>
      <c r="T37">
        <f>Lookup!T37</f>
        <v>4797.0510000000004</v>
      </c>
      <c r="U37">
        <f>Lookup!U37</f>
        <v>418.91</v>
      </c>
      <c r="V37">
        <f>Lookup!V37</f>
        <v>5618.3119999999999</v>
      </c>
      <c r="W37">
        <f>Lookup!W37</f>
        <v>0</v>
      </c>
      <c r="X37">
        <f>Lookup!X37</f>
        <v>-53.097999999999999</v>
      </c>
      <c r="Y37">
        <f>Lookup!Y37</f>
        <v>3485.4850000000001</v>
      </c>
      <c r="Z37">
        <f>Lookup!Z37</f>
        <v>8282.5360000000001</v>
      </c>
      <c r="AA37" t="str" cm="1">
        <f t="array" aca="1" ref="AA37" ca="1">MID(CELL("filename",D36),FIND("[",CELL("filename",D36))+1,FIND("]",CELL("filename",D36))-FIND("[",CELL("filename",D36))-1)</f>
        <v>KO_BAL-SH_YR.xlsx</v>
      </c>
      <c r="AB37" t="str">
        <f t="shared" ca="1" si="2"/>
        <v>KO_BAL-SH_YR-002</v>
      </c>
      <c r="AC37" s="15">
        <f t="shared" ca="1" si="1"/>
        <v>46088.851709953706</v>
      </c>
    </row>
    <row r="38" spans="1:29" x14ac:dyDescent="0.25">
      <c r="A38" t="str">
        <f>Lookup!A38</f>
        <v>KO</v>
      </c>
      <c r="B38" s="1">
        <f ca="1">Lookup!B38</f>
        <v>46088</v>
      </c>
      <c r="C38">
        <f>Lookup!C38</f>
        <v>1988</v>
      </c>
      <c r="D38">
        <f>Lookup!D38</f>
        <v>1231.19</v>
      </c>
      <c r="E38">
        <f>Lookup!E38</f>
        <v>627.24800000000005</v>
      </c>
      <c r="F38">
        <f>Lookup!F38</f>
        <v>778.81600000000003</v>
      </c>
      <c r="G38">
        <f>Lookup!G38</f>
        <v>0</v>
      </c>
      <c r="H38">
        <f>Lookup!H38</f>
        <v>608.178</v>
      </c>
      <c r="I38">
        <f>Lookup!I38</f>
        <v>3245.4319999999998</v>
      </c>
      <c r="J38">
        <f>Lookup!J38</f>
        <v>1759.075</v>
      </c>
      <c r="K38">
        <f>Lookup!K38</f>
        <v>1911.973</v>
      </c>
      <c r="L38">
        <f>Lookup!L38</f>
        <v>56.545999999999999</v>
      </c>
      <c r="M38">
        <f>Lookup!M38</f>
        <v>477.58600000000001</v>
      </c>
      <c r="N38">
        <f>Lookup!N38</f>
        <v>4205.18</v>
      </c>
      <c r="O38">
        <f>Lookup!O38</f>
        <v>7450.6120000000001</v>
      </c>
      <c r="P38">
        <f>Lookup!P38</f>
        <v>2868.8969999999999</v>
      </c>
      <c r="Q38">
        <f>Lookup!Q38</f>
        <v>761.05899999999997</v>
      </c>
      <c r="R38">
        <f>Lookup!R38</f>
        <v>205.702</v>
      </c>
      <c r="S38">
        <f>Lookup!S38</f>
        <v>1236.413</v>
      </c>
      <c r="T38">
        <f>Lookup!T38</f>
        <v>4105.3100000000004</v>
      </c>
      <c r="U38">
        <f>Lookup!U38</f>
        <v>417.39499999999998</v>
      </c>
      <c r="V38">
        <f>Lookup!V38</f>
        <v>4385.1419999999998</v>
      </c>
      <c r="W38">
        <f>Lookup!W38</f>
        <v>0</v>
      </c>
      <c r="X38">
        <f>Lookup!X38</f>
        <v>-68.477000000000004</v>
      </c>
      <c r="Y38">
        <f>Lookup!Y38</f>
        <v>3345.3020000000001</v>
      </c>
      <c r="Z38">
        <f>Lookup!Z38</f>
        <v>7450.6120000000001</v>
      </c>
      <c r="AA38" t="str" cm="1">
        <f t="array" aca="1" ref="AA38" ca="1">MID(CELL("filename",D37),FIND("[",CELL("filename",D37))+1,FIND("]",CELL("filename",D37))-FIND("[",CELL("filename",D37))-1)</f>
        <v>KO_BAL-SH_YR.xlsx</v>
      </c>
      <c r="AB38" t="str">
        <f t="shared" ca="1" si="2"/>
        <v>KO_BAL-SH_YR-002</v>
      </c>
      <c r="AC38" s="15">
        <f t="shared" ca="1" si="1"/>
        <v>46088.851709953706</v>
      </c>
    </row>
    <row r="39" spans="1:29" x14ac:dyDescent="0.25">
      <c r="A39" t="str">
        <f>Lookup!A39</f>
        <v>KO</v>
      </c>
      <c r="B39" s="1">
        <f ca="1">Lookup!B39</f>
        <v>46088</v>
      </c>
      <c r="C39">
        <f>Lookup!C39</f>
        <v>1987</v>
      </c>
      <c r="D39">
        <f>Lookup!D39</f>
        <v>1489.106</v>
      </c>
      <c r="E39">
        <f>Lookup!E39</f>
        <v>672.16</v>
      </c>
      <c r="F39">
        <f>Lookup!F39</f>
        <v>776.74</v>
      </c>
      <c r="G39">
        <f>Lookup!G39</f>
        <v>0</v>
      </c>
      <c r="H39">
        <f>Lookup!H39</f>
        <v>1219.037</v>
      </c>
      <c r="I39">
        <f>Lookup!I39</f>
        <v>4231.9210000000003</v>
      </c>
      <c r="J39">
        <f>Lookup!J39</f>
        <v>1601.528</v>
      </c>
      <c r="K39">
        <f>Lookup!K39</f>
        <v>2258.5450000000001</v>
      </c>
      <c r="L39">
        <f>Lookup!L39</f>
        <v>74.155000000000001</v>
      </c>
      <c r="M39">
        <f>Lookup!M39</f>
        <v>289</v>
      </c>
      <c r="N39">
        <f>Lookup!N39</f>
        <v>4223.2280000000001</v>
      </c>
      <c r="O39">
        <f>Lookup!O39</f>
        <v>8605.5460000000003</v>
      </c>
      <c r="P39">
        <f>Lookup!P39</f>
        <v>4083.3789999999999</v>
      </c>
      <c r="Q39">
        <f>Lookup!Q39</f>
        <v>909.46500000000003</v>
      </c>
      <c r="R39">
        <f>Lookup!R39</f>
        <v>0</v>
      </c>
      <c r="S39">
        <f>Lookup!S39</f>
        <v>1119.345</v>
      </c>
      <c r="T39">
        <f>Lookup!T39</f>
        <v>5418.3720000000003</v>
      </c>
      <c r="U39">
        <f>Lookup!U39</f>
        <v>415.97699999999998</v>
      </c>
      <c r="V39">
        <f>Lookup!V39</f>
        <v>3783.625</v>
      </c>
      <c r="W39">
        <f>Lookup!W39</f>
        <v>0</v>
      </c>
      <c r="X39">
        <f>Lookup!X39</f>
        <v>-5.0469999999999997</v>
      </c>
      <c r="Y39">
        <f>Lookup!Y39</f>
        <v>3187.174</v>
      </c>
      <c r="Z39">
        <f>Lookup!Z39</f>
        <v>8355.56</v>
      </c>
      <c r="AA39" t="str" cm="1">
        <f t="array" aca="1" ref="AA39" ca="1">MID(CELL("filename",D38),FIND("[",CELL("filename",D38))+1,FIND("]",CELL("filename",D38))-FIND("[",CELL("filename",D38))-1)</f>
        <v>KO_BAL-SH_YR.xlsx</v>
      </c>
      <c r="AB39" t="str">
        <f t="shared" ca="1" si="2"/>
        <v>KO_BAL-SH_YR-002</v>
      </c>
      <c r="AC39" s="15">
        <f t="shared" ca="1" si="1"/>
        <v>46088.851709953706</v>
      </c>
    </row>
    <row r="40" spans="1:29" x14ac:dyDescent="0.25">
      <c r="A40" t="str">
        <f>Lookup!A40</f>
        <v>KO</v>
      </c>
      <c r="B40" s="1">
        <f ca="1">Lookup!B40</f>
        <v>46088</v>
      </c>
      <c r="C40">
        <f>Lookup!C40</f>
        <v>1986</v>
      </c>
      <c r="D40">
        <f>Lookup!D40</f>
        <v>868.63310000000001</v>
      </c>
      <c r="E40">
        <f>Lookup!E40</f>
        <v>672.56799999999998</v>
      </c>
      <c r="F40">
        <f>Lookup!F40</f>
        <v>695.43700000000001</v>
      </c>
      <c r="G40">
        <f>Lookup!G40</f>
        <v>0</v>
      </c>
      <c r="H40">
        <f>Lookup!H40</f>
        <v>837.51199999999994</v>
      </c>
      <c r="I40">
        <f>Lookup!I40</f>
        <v>3169.268</v>
      </c>
      <c r="J40">
        <f>Lookup!J40</f>
        <v>1537.5530000000001</v>
      </c>
      <c r="K40">
        <f>Lookup!K40</f>
        <v>1096.442</v>
      </c>
      <c r="L40">
        <f>Lookup!L40</f>
        <v>659.053</v>
      </c>
      <c r="M40">
        <f>Lookup!M40</f>
        <v>1114.8030000000001</v>
      </c>
      <c r="N40">
        <f>Lookup!N40</f>
        <v>4407.8509999999997</v>
      </c>
      <c r="O40">
        <f>Lookup!O40</f>
        <v>7484.1279999999997</v>
      </c>
      <c r="P40">
        <f>Lookup!P40</f>
        <v>2244.9189999999999</v>
      </c>
      <c r="Q40">
        <f>Lookup!Q40</f>
        <v>907.67600000000004</v>
      </c>
      <c r="R40">
        <f>Lookup!R40</f>
        <v>354.05399999999997</v>
      </c>
      <c r="S40">
        <f>Lookup!S40</f>
        <v>2000.136</v>
      </c>
      <c r="T40">
        <f>Lookup!T40</f>
        <v>3969.1489999999999</v>
      </c>
      <c r="U40">
        <f>Lookup!U40</f>
        <v>414.49200000000002</v>
      </c>
      <c r="V40">
        <f>Lookup!V40</f>
        <v>3624.0459999999998</v>
      </c>
      <c r="W40">
        <f>Lookup!W40</f>
        <v>0</v>
      </c>
      <c r="X40">
        <f>Lookup!X40</f>
        <v>-118.087</v>
      </c>
      <c r="Y40">
        <f>Lookup!Y40</f>
        <v>3514.9789999999998</v>
      </c>
      <c r="Z40">
        <f>Lookup!Z40</f>
        <v>8373.4380000000001</v>
      </c>
      <c r="AA40" t="str" cm="1">
        <f t="array" aca="1" ref="AA40" ca="1">MID(CELL("filename",D39),FIND("[",CELL("filename",D39))+1,FIND("]",CELL("filename",D39))-FIND("[",CELL("filename",D39))-1)</f>
        <v>KO_BAL-SH_YR.xlsx</v>
      </c>
      <c r="AB40" t="str">
        <f t="shared" ca="1" si="2"/>
        <v>KO_BAL-SH_YR-002</v>
      </c>
      <c r="AC40" s="15">
        <f t="shared" ca="1" si="1"/>
        <v>46088.851709953706</v>
      </c>
    </row>
    <row r="41" spans="1:29" x14ac:dyDescent="0.25">
      <c r="B41" s="1"/>
      <c r="AC41" s="15"/>
    </row>
    <row r="42" spans="1:29" x14ac:dyDescent="0.25">
      <c r="B42" s="1"/>
      <c r="AC42" s="15"/>
    </row>
    <row r="43" spans="1:29" x14ac:dyDescent="0.25">
      <c r="B43" s="1"/>
      <c r="AC43" s="15"/>
    </row>
    <row r="44" spans="1:29" x14ac:dyDescent="0.25">
      <c r="B44" s="1"/>
      <c r="AC44" s="15"/>
    </row>
    <row r="45" spans="1:29" x14ac:dyDescent="0.25">
      <c r="B45" s="1"/>
      <c r="AC45" s="15"/>
    </row>
    <row r="46" spans="1:29" x14ac:dyDescent="0.25">
      <c r="B46" s="1"/>
      <c r="AC46" s="15"/>
    </row>
    <row r="47" spans="1:29" x14ac:dyDescent="0.25">
      <c r="B47" s="1"/>
      <c r="AC47" s="15"/>
    </row>
    <row r="48" spans="1:29" x14ac:dyDescent="0.25">
      <c r="B48" s="1"/>
      <c r="AC48" s="15"/>
    </row>
    <row r="49" spans="2:29" x14ac:dyDescent="0.25">
      <c r="B49" s="1"/>
      <c r="AC49" s="15"/>
    </row>
    <row r="50" spans="2:29" x14ac:dyDescent="0.25">
      <c r="B50" s="1"/>
      <c r="AC50" s="15"/>
    </row>
    <row r="51" spans="2:29" x14ac:dyDescent="0.25">
      <c r="B51" s="1"/>
      <c r="AC51" s="15"/>
    </row>
    <row r="52" spans="2:29" x14ac:dyDescent="0.25">
      <c r="B52" s="1"/>
      <c r="AC52" s="15"/>
    </row>
    <row r="53" spans="2:29" x14ac:dyDescent="0.25">
      <c r="B53" s="1"/>
      <c r="AC53" s="15"/>
    </row>
    <row r="54" spans="2:29" x14ac:dyDescent="0.25">
      <c r="B54" s="1"/>
      <c r="AC54" s="15"/>
    </row>
    <row r="55" spans="2:29" x14ac:dyDescent="0.25">
      <c r="B55" s="1"/>
      <c r="AC55" s="15"/>
    </row>
    <row r="56" spans="2:29" x14ac:dyDescent="0.25">
      <c r="B56" s="1"/>
      <c r="AC56" s="15"/>
    </row>
    <row r="57" spans="2:29" x14ac:dyDescent="0.25">
      <c r="B57" s="1"/>
      <c r="AC57" s="15"/>
    </row>
    <row r="58" spans="2:29" x14ac:dyDescent="0.25">
      <c r="B58" s="1"/>
      <c r="AC58" s="15"/>
    </row>
    <row r="59" spans="2:29" x14ac:dyDescent="0.25">
      <c r="B59" s="1"/>
      <c r="AC59" s="15"/>
    </row>
    <row r="60" spans="2:29" x14ac:dyDescent="0.25">
      <c r="B60" s="1"/>
      <c r="AC60" s="15"/>
    </row>
    <row r="61" spans="2:29" x14ac:dyDescent="0.25">
      <c r="B61" s="1"/>
      <c r="AC61" s="15"/>
    </row>
    <row r="62" spans="2:29" x14ac:dyDescent="0.25">
      <c r="B62" s="1"/>
      <c r="AC62" s="15"/>
    </row>
    <row r="63" spans="2:29" x14ac:dyDescent="0.25">
      <c r="B63" s="1"/>
      <c r="AC63" s="15"/>
    </row>
    <row r="64" spans="2:29" x14ac:dyDescent="0.25">
      <c r="B64" s="1"/>
      <c r="AC64" s="15"/>
    </row>
    <row r="65" spans="2:29" x14ac:dyDescent="0.25">
      <c r="B65" s="1"/>
      <c r="AC65" s="15"/>
    </row>
    <row r="66" spans="2:29" x14ac:dyDescent="0.25">
      <c r="B66" s="1"/>
      <c r="AC66" s="15"/>
    </row>
    <row r="67" spans="2:29" x14ac:dyDescent="0.25">
      <c r="B67" s="1"/>
      <c r="AC67" s="15"/>
    </row>
    <row r="68" spans="2:29" x14ac:dyDescent="0.25">
      <c r="B68" s="1"/>
      <c r="AC68" s="15"/>
    </row>
    <row r="69" spans="2:29" x14ac:dyDescent="0.25">
      <c r="B69" s="1"/>
      <c r="AC69" s="15"/>
    </row>
    <row r="70" spans="2:29" x14ac:dyDescent="0.25">
      <c r="B70" s="1"/>
      <c r="AC70" s="15"/>
    </row>
    <row r="71" spans="2:29" x14ac:dyDescent="0.25">
      <c r="B71" s="1"/>
      <c r="AC71" s="15"/>
    </row>
    <row r="72" spans="2:29" x14ac:dyDescent="0.25">
      <c r="B72" s="1"/>
      <c r="AC72" s="15"/>
    </row>
    <row r="73" spans="2:29" x14ac:dyDescent="0.25">
      <c r="B73" s="1"/>
      <c r="AC73" s="15"/>
    </row>
    <row r="74" spans="2:29" x14ac:dyDescent="0.25">
      <c r="B74" s="1"/>
      <c r="AC74" s="15"/>
    </row>
    <row r="75" spans="2:29" x14ac:dyDescent="0.25">
      <c r="B75" s="1"/>
      <c r="AC75" s="15"/>
    </row>
    <row r="76" spans="2:29" x14ac:dyDescent="0.25">
      <c r="B76" s="1"/>
      <c r="AC76" s="15"/>
    </row>
    <row r="77" spans="2:29" x14ac:dyDescent="0.25">
      <c r="B77" s="1"/>
      <c r="AC77" s="15"/>
    </row>
    <row r="78" spans="2:29" x14ac:dyDescent="0.25">
      <c r="B78" s="1"/>
      <c r="AC78" s="15"/>
    </row>
    <row r="79" spans="2:29" x14ac:dyDescent="0.25">
      <c r="B79" s="1"/>
      <c r="AC79" s="15"/>
    </row>
    <row r="80" spans="2:29" x14ac:dyDescent="0.25">
      <c r="B80" s="1"/>
      <c r="AC80" s="15"/>
    </row>
    <row r="81" spans="2:29" x14ac:dyDescent="0.25">
      <c r="B81" s="1"/>
      <c r="AC81" s="15"/>
    </row>
    <row r="82" spans="2:29" x14ac:dyDescent="0.25">
      <c r="B82" s="1"/>
      <c r="AC82" s="15"/>
    </row>
    <row r="83" spans="2:29" x14ac:dyDescent="0.25">
      <c r="B83" s="1"/>
      <c r="AC83" s="15"/>
    </row>
    <row r="84" spans="2:29" x14ac:dyDescent="0.25">
      <c r="B84" s="1"/>
      <c r="AC84" s="15"/>
    </row>
    <row r="85" spans="2:29" x14ac:dyDescent="0.25">
      <c r="B85" s="1"/>
      <c r="AC85" s="15"/>
    </row>
    <row r="86" spans="2:29" x14ac:dyDescent="0.25">
      <c r="B86" s="1"/>
      <c r="AC86" s="15"/>
    </row>
    <row r="87" spans="2:29" x14ac:dyDescent="0.25">
      <c r="B87" s="1"/>
      <c r="AC87" s="15"/>
    </row>
    <row r="88" spans="2:29" x14ac:dyDescent="0.25">
      <c r="B88" s="1"/>
      <c r="AC88" s="15"/>
    </row>
    <row r="89" spans="2:29" x14ac:dyDescent="0.25">
      <c r="B89" s="1"/>
      <c r="AC89" s="15"/>
    </row>
    <row r="90" spans="2:29" x14ac:dyDescent="0.25">
      <c r="B90" s="1"/>
      <c r="AC90" s="15"/>
    </row>
    <row r="91" spans="2:29" x14ac:dyDescent="0.25">
      <c r="B91" s="1"/>
      <c r="AC91" s="15"/>
    </row>
    <row r="92" spans="2:29" x14ac:dyDescent="0.25">
      <c r="B92" s="1"/>
      <c r="AC92" s="15"/>
    </row>
    <row r="93" spans="2:29" x14ac:dyDescent="0.25">
      <c r="B93" s="1"/>
      <c r="AC93" s="15"/>
    </row>
    <row r="94" spans="2:29" x14ac:dyDescent="0.25">
      <c r="B94" s="1"/>
      <c r="AC94" s="15"/>
    </row>
    <row r="95" spans="2:29" x14ac:dyDescent="0.25">
      <c r="B95" s="1"/>
      <c r="AC95" s="15"/>
    </row>
    <row r="96" spans="2:29" x14ac:dyDescent="0.25">
      <c r="B96" s="1"/>
      <c r="AC96" s="15"/>
    </row>
    <row r="97" spans="2:29" x14ac:dyDescent="0.25">
      <c r="B97" s="1"/>
      <c r="AC97" s="15"/>
    </row>
    <row r="98" spans="2:29" x14ac:dyDescent="0.25">
      <c r="B98" s="1"/>
      <c r="AC98" s="15"/>
    </row>
    <row r="99" spans="2:29" x14ac:dyDescent="0.25">
      <c r="B99" s="1"/>
      <c r="AC99" s="15"/>
    </row>
    <row r="100" spans="2:29" x14ac:dyDescent="0.25">
      <c r="B100" s="1"/>
      <c r="AC100" s="15"/>
    </row>
    <row r="101" spans="2:29" x14ac:dyDescent="0.25">
      <c r="B101" s="1"/>
      <c r="AC101" s="15"/>
    </row>
    <row r="102" spans="2:29" x14ac:dyDescent="0.25">
      <c r="B102" s="1"/>
      <c r="AC102" s="15"/>
    </row>
    <row r="103" spans="2:29" x14ac:dyDescent="0.25">
      <c r="B103" s="1"/>
      <c r="AC103" s="15"/>
    </row>
    <row r="104" spans="2:29" x14ac:dyDescent="0.25">
      <c r="B104" s="1"/>
      <c r="AC104" s="15"/>
    </row>
    <row r="105" spans="2:29" x14ac:dyDescent="0.25">
      <c r="B105" s="1"/>
      <c r="AC105" s="15"/>
    </row>
    <row r="106" spans="2:29" x14ac:dyDescent="0.25">
      <c r="B106" s="1"/>
      <c r="AC106" s="15"/>
    </row>
    <row r="107" spans="2:29" x14ac:dyDescent="0.25">
      <c r="B107" s="1"/>
      <c r="AC107" s="15"/>
    </row>
    <row r="108" spans="2:29" x14ac:dyDescent="0.25">
      <c r="B108" s="1"/>
      <c r="AC108" s="15"/>
    </row>
    <row r="109" spans="2:29" x14ac:dyDescent="0.25">
      <c r="B109" s="1"/>
      <c r="AC109" s="15"/>
    </row>
    <row r="110" spans="2:29" x14ac:dyDescent="0.25">
      <c r="B110" s="1"/>
      <c r="AC110" s="15"/>
    </row>
    <row r="111" spans="2:29" x14ac:dyDescent="0.25">
      <c r="B111" s="1"/>
      <c r="AC111" s="15"/>
    </row>
    <row r="112" spans="2:29" x14ac:dyDescent="0.25">
      <c r="B112" s="1"/>
      <c r="AC112" s="15"/>
    </row>
    <row r="113" spans="2:29" x14ac:dyDescent="0.25">
      <c r="B113" s="1"/>
      <c r="AC113" s="15"/>
    </row>
    <row r="114" spans="2:29" x14ac:dyDescent="0.25">
      <c r="B114" s="1"/>
      <c r="AC114" s="15"/>
    </row>
    <row r="115" spans="2:29" x14ac:dyDescent="0.25">
      <c r="B115" s="1"/>
      <c r="AC115" s="15"/>
    </row>
    <row r="116" spans="2:29" x14ac:dyDescent="0.25">
      <c r="B116" s="1"/>
      <c r="AC116" s="15"/>
    </row>
    <row r="117" spans="2:29" x14ac:dyDescent="0.25">
      <c r="B117" s="1"/>
      <c r="AC117" s="15"/>
    </row>
    <row r="118" spans="2:29" x14ac:dyDescent="0.25">
      <c r="B118" s="1"/>
      <c r="AC118" s="15"/>
    </row>
    <row r="119" spans="2:29" x14ac:dyDescent="0.25">
      <c r="B119" s="1"/>
      <c r="AC119" s="15"/>
    </row>
    <row r="120" spans="2:29" x14ac:dyDescent="0.25">
      <c r="B120" s="1"/>
      <c r="AC120" s="15"/>
    </row>
    <row r="121" spans="2:29" x14ac:dyDescent="0.25">
      <c r="B121" s="1"/>
      <c r="AC121" s="15"/>
    </row>
    <row r="122" spans="2:29" x14ac:dyDescent="0.25">
      <c r="B122" s="1"/>
      <c r="AC122" s="15"/>
    </row>
    <row r="123" spans="2:29" x14ac:dyDescent="0.25">
      <c r="B123" s="1"/>
      <c r="AC123" s="15"/>
    </row>
    <row r="124" spans="2:29" x14ac:dyDescent="0.25">
      <c r="B124" s="1"/>
      <c r="AC124" s="15"/>
    </row>
    <row r="125" spans="2:29" x14ac:dyDescent="0.25">
      <c r="B125" s="1"/>
      <c r="AC125" s="15"/>
    </row>
    <row r="126" spans="2:29" x14ac:dyDescent="0.25">
      <c r="B126" s="1"/>
      <c r="AC126" s="15"/>
    </row>
    <row r="127" spans="2:29" x14ac:dyDescent="0.25">
      <c r="B127" s="1"/>
      <c r="AC127" s="15"/>
    </row>
    <row r="128" spans="2:29" x14ac:dyDescent="0.25">
      <c r="B128" s="1"/>
      <c r="AC128" s="15"/>
    </row>
    <row r="129" spans="2:29" x14ac:dyDescent="0.25">
      <c r="B129" s="1"/>
      <c r="AC129" s="15"/>
    </row>
    <row r="130" spans="2:29" x14ac:dyDescent="0.25">
      <c r="B130" s="1"/>
      <c r="AC130" s="15"/>
    </row>
    <row r="131" spans="2:29" x14ac:dyDescent="0.25">
      <c r="B131" s="1"/>
      <c r="AC131" s="15"/>
    </row>
    <row r="132" spans="2:29" x14ac:dyDescent="0.25">
      <c r="B132" s="1"/>
      <c r="AC132" s="15"/>
    </row>
    <row r="133" spans="2:29" x14ac:dyDescent="0.25">
      <c r="B133" s="1"/>
      <c r="AC133" s="15"/>
    </row>
    <row r="134" spans="2:29" x14ac:dyDescent="0.25">
      <c r="B134" s="1"/>
      <c r="AC134" s="15"/>
    </row>
    <row r="135" spans="2:29" x14ac:dyDescent="0.25">
      <c r="B135" s="1"/>
      <c r="AC135" s="15"/>
    </row>
    <row r="136" spans="2:29" x14ac:dyDescent="0.25">
      <c r="B136" s="1"/>
      <c r="AC136" s="15"/>
    </row>
    <row r="137" spans="2:29" x14ac:dyDescent="0.25">
      <c r="B137" s="1"/>
      <c r="AC137" s="15"/>
    </row>
    <row r="138" spans="2:29" x14ac:dyDescent="0.25">
      <c r="B138" s="1"/>
      <c r="AC138" s="15"/>
    </row>
    <row r="139" spans="2:29" x14ac:dyDescent="0.25">
      <c r="B139" s="1"/>
      <c r="AC139" s="15"/>
    </row>
    <row r="140" spans="2:29" x14ac:dyDescent="0.25">
      <c r="B140" s="1"/>
      <c r="AC140" s="15"/>
    </row>
    <row r="141" spans="2:29" x14ac:dyDescent="0.25">
      <c r="B141" s="1"/>
      <c r="AC141" s="15"/>
    </row>
    <row r="142" spans="2:29" x14ac:dyDescent="0.25">
      <c r="B142" s="1"/>
      <c r="AC142" s="15"/>
    </row>
    <row r="143" spans="2:29" x14ac:dyDescent="0.25">
      <c r="B143" s="1"/>
      <c r="AC143" s="15"/>
    </row>
    <row r="144" spans="2:29" x14ac:dyDescent="0.25">
      <c r="B144" s="1"/>
      <c r="AC144" s="15"/>
    </row>
    <row r="145" spans="2:29" x14ac:dyDescent="0.25">
      <c r="B145" s="1"/>
      <c r="AC145" s="15"/>
    </row>
    <row r="146" spans="2:29" x14ac:dyDescent="0.25">
      <c r="B146" s="1"/>
      <c r="AC146" s="15"/>
    </row>
    <row r="147" spans="2:29" x14ac:dyDescent="0.25">
      <c r="B147" s="1"/>
      <c r="AC147" s="15"/>
    </row>
    <row r="148" spans="2:29" x14ac:dyDescent="0.25">
      <c r="B148" s="1"/>
      <c r="AC148" s="15"/>
    </row>
    <row r="149" spans="2:29" x14ac:dyDescent="0.25">
      <c r="B149" s="1"/>
      <c r="AC149" s="15"/>
    </row>
    <row r="150" spans="2:29" x14ac:dyDescent="0.25">
      <c r="B150" s="1"/>
      <c r="AC150" s="15"/>
    </row>
    <row r="151" spans="2:29" x14ac:dyDescent="0.25">
      <c r="B151" s="1"/>
      <c r="AC151" s="15"/>
    </row>
    <row r="152" spans="2:29" x14ac:dyDescent="0.25">
      <c r="B152" s="1"/>
      <c r="AC152" s="15"/>
    </row>
    <row r="153" spans="2:29" x14ac:dyDescent="0.25">
      <c r="B153" s="1"/>
      <c r="AC153" s="15"/>
    </row>
    <row r="154" spans="2:29" x14ac:dyDescent="0.25">
      <c r="B154" s="1"/>
      <c r="AC154" s="15"/>
    </row>
    <row r="155" spans="2:29" x14ac:dyDescent="0.25">
      <c r="B155" s="1"/>
      <c r="AC155" s="15"/>
    </row>
    <row r="156" spans="2:29" x14ac:dyDescent="0.25">
      <c r="B156" s="1"/>
      <c r="AC156" s="15"/>
    </row>
    <row r="157" spans="2:29" x14ac:dyDescent="0.25">
      <c r="B157" s="1"/>
      <c r="AC157" s="15"/>
    </row>
    <row r="158" spans="2:29" x14ac:dyDescent="0.25">
      <c r="B158" s="1"/>
      <c r="AC15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Lookup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Elrom</dc:creator>
  <cp:lastModifiedBy>Elrom,Tim</cp:lastModifiedBy>
  <dcterms:created xsi:type="dcterms:W3CDTF">2026-03-08T01:13:31Z</dcterms:created>
  <dcterms:modified xsi:type="dcterms:W3CDTF">2026-03-08T01:26:41Z</dcterms:modified>
</cp:coreProperties>
</file>